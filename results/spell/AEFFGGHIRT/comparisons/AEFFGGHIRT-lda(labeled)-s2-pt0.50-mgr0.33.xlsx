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FGGHIRT/comparisons/"/>
    </mc:Choice>
  </mc:AlternateContent>
  <xr:revisionPtr revIDLastSave="0" documentId="13_ncr:1_{3244ECC9-587C-904E-87C7-FE4C0BAB412C}" xr6:coauthVersionLast="47" xr6:coauthVersionMax="47" xr10:uidLastSave="{00000000-0000-0000-0000-000000000000}"/>
  <bookViews>
    <workbookView xWindow="1140" yWindow="500" windowWidth="38000" windowHeight="20060" xr2:uid="{AAB55906-58C7-F940-B4CF-E7AFA13CA4FF}"/>
  </bookViews>
  <sheets>
    <sheet name="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" l="1" a="1"/>
  <c r="H100" i="1" s="1"/>
  <c r="I100" i="1" a="1"/>
  <c r="I100" i="1"/>
  <c r="J100" i="1" a="1"/>
  <c r="J100" i="1" s="1"/>
  <c r="K100" i="1" a="1"/>
  <c r="K100" i="1" s="1"/>
  <c r="L100" i="1" a="1"/>
  <c r="L100" i="1" s="1"/>
  <c r="M100" i="1" a="1"/>
  <c r="M100" i="1"/>
  <c r="N100" i="1" a="1"/>
  <c r="N100" i="1" s="1"/>
  <c r="O100" i="1" a="1"/>
  <c r="O100" i="1" s="1"/>
  <c r="P100" i="1" a="1"/>
  <c r="P100" i="1" s="1"/>
  <c r="Q100" i="1" a="1"/>
  <c r="Q100" i="1"/>
  <c r="R100" i="1" a="1"/>
  <c r="R100" i="1" s="1"/>
  <c r="S100" i="1" a="1"/>
  <c r="S100" i="1" s="1"/>
  <c r="H101" i="1" a="1"/>
  <c r="H101" i="1"/>
  <c r="I101" i="1" a="1"/>
  <c r="I101" i="1" s="1"/>
  <c r="J101" i="1" a="1"/>
  <c r="J101" i="1" s="1"/>
  <c r="K101" i="1" a="1"/>
  <c r="K101" i="1" s="1"/>
  <c r="L101" i="1" a="1"/>
  <c r="L101" i="1"/>
  <c r="M101" i="1" a="1"/>
  <c r="M101" i="1" s="1"/>
  <c r="N101" i="1" a="1"/>
  <c r="N101" i="1" s="1"/>
  <c r="O101" i="1" a="1"/>
  <c r="O101" i="1" s="1"/>
  <c r="P101" i="1" a="1"/>
  <c r="P101" i="1"/>
  <c r="Q101" i="1" a="1"/>
  <c r="Q101" i="1" s="1"/>
  <c r="R101" i="1" a="1"/>
  <c r="R101" i="1" s="1"/>
  <c r="S101" i="1" a="1"/>
  <c r="S101" i="1" s="1"/>
  <c r="H102" i="1" a="1"/>
  <c r="H102" i="1" s="1"/>
  <c r="I102" i="1" a="1"/>
  <c r="I102" i="1" s="1"/>
  <c r="J102" i="1" a="1"/>
  <c r="J102" i="1" s="1"/>
  <c r="K102" i="1" a="1"/>
  <c r="K102" i="1" s="1"/>
  <c r="L102" i="1" a="1"/>
  <c r="L102" i="1" s="1"/>
  <c r="M102" i="1" a="1"/>
  <c r="M102" i="1" s="1"/>
  <c r="N102" i="1" a="1"/>
  <c r="N102" i="1" s="1"/>
  <c r="O102" i="1" a="1"/>
  <c r="O102" i="1" s="1"/>
  <c r="P102" i="1" a="1"/>
  <c r="P102" i="1" s="1"/>
  <c r="Q102" i="1" a="1"/>
  <c r="Q102" i="1" s="1"/>
  <c r="R102" i="1" a="1"/>
  <c r="R102" i="1" s="1"/>
  <c r="S102" i="1" a="1"/>
  <c r="S102" i="1" s="1"/>
  <c r="H103" i="1" a="1"/>
  <c r="H103" i="1" s="1"/>
  <c r="I103" i="1" a="1"/>
  <c r="I103" i="1" s="1"/>
  <c r="J103" i="1" a="1"/>
  <c r="J103" i="1" s="1"/>
  <c r="K103" i="1" a="1"/>
  <c r="K103" i="1" s="1"/>
  <c r="L103" i="1" a="1"/>
  <c r="L103" i="1" s="1"/>
  <c r="M103" i="1" a="1"/>
  <c r="M103" i="1" s="1"/>
  <c r="N103" i="1" a="1"/>
  <c r="N103" i="1" s="1"/>
  <c r="O103" i="1" a="1"/>
  <c r="O103" i="1" s="1"/>
  <c r="P103" i="1" a="1"/>
  <c r="P103" i="1" s="1"/>
  <c r="Q103" i="1" a="1"/>
  <c r="Q103" i="1" s="1"/>
  <c r="R103" i="1" a="1"/>
  <c r="R103" i="1" s="1"/>
  <c r="S103" i="1" a="1"/>
  <c r="S103" i="1" s="1"/>
  <c r="G103" i="1" a="1"/>
  <c r="G103" i="1" s="1"/>
  <c r="G102" i="1" a="1"/>
  <c r="G102" i="1" s="1"/>
  <c r="G101" i="1" a="1"/>
  <c r="G101" i="1" s="1"/>
  <c r="G100" i="1" a="1"/>
  <c r="G100" i="1" s="1"/>
  <c r="H87" i="1" a="1"/>
  <c r="H87" i="1" s="1"/>
  <c r="I87" i="1" a="1"/>
  <c r="I87" i="1"/>
  <c r="J87" i="1" a="1"/>
  <c r="J87" i="1" s="1"/>
  <c r="K87" i="1" a="1"/>
  <c r="K87" i="1" s="1"/>
  <c r="L87" i="1" a="1"/>
  <c r="L87" i="1" s="1"/>
  <c r="M87" i="1" a="1"/>
  <c r="M87" i="1"/>
  <c r="N87" i="1" a="1"/>
  <c r="N87" i="1" s="1"/>
  <c r="O87" i="1" a="1"/>
  <c r="O87" i="1" s="1"/>
  <c r="P87" i="1" a="1"/>
  <c r="P87" i="1" s="1"/>
  <c r="Q87" i="1" a="1"/>
  <c r="Q87" i="1" s="1"/>
  <c r="R87" i="1" a="1"/>
  <c r="R87" i="1" s="1"/>
  <c r="S87" i="1" a="1"/>
  <c r="S87" i="1" s="1"/>
  <c r="H88" i="1" a="1"/>
  <c r="H88" i="1" s="1"/>
  <c r="I88" i="1" a="1"/>
  <c r="I88" i="1" s="1"/>
  <c r="J88" i="1" a="1"/>
  <c r="J88" i="1" s="1"/>
  <c r="K88" i="1" a="1"/>
  <c r="K88" i="1" s="1"/>
  <c r="L88" i="1" a="1"/>
  <c r="L88" i="1" s="1"/>
  <c r="M88" i="1" a="1"/>
  <c r="M88" i="1" s="1"/>
  <c r="N88" i="1" a="1"/>
  <c r="N88" i="1" s="1"/>
  <c r="O88" i="1" a="1"/>
  <c r="O88" i="1" s="1"/>
  <c r="P88" i="1" a="1"/>
  <c r="P88" i="1" s="1"/>
  <c r="Q88" i="1" a="1"/>
  <c r="Q88" i="1" s="1"/>
  <c r="R88" i="1" a="1"/>
  <c r="R88" i="1" s="1"/>
  <c r="S88" i="1" a="1"/>
  <c r="S88" i="1" s="1"/>
  <c r="H89" i="1" a="1"/>
  <c r="H89" i="1" s="1"/>
  <c r="I89" i="1" a="1"/>
  <c r="I89" i="1" s="1"/>
  <c r="J89" i="1" a="1"/>
  <c r="J89" i="1" s="1"/>
  <c r="K89" i="1" a="1"/>
  <c r="K89" i="1" s="1"/>
  <c r="L89" i="1" a="1"/>
  <c r="L89" i="1" s="1"/>
  <c r="M89" i="1" a="1"/>
  <c r="M89" i="1" s="1"/>
  <c r="N89" i="1" a="1"/>
  <c r="N89" i="1" s="1"/>
  <c r="O89" i="1" a="1"/>
  <c r="O89" i="1" s="1"/>
  <c r="P89" i="1" a="1"/>
  <c r="P89" i="1" s="1"/>
  <c r="Q89" i="1" a="1"/>
  <c r="Q89" i="1" s="1"/>
  <c r="R89" i="1" a="1"/>
  <c r="R89" i="1" s="1"/>
  <c r="S89" i="1" a="1"/>
  <c r="S89" i="1" s="1"/>
  <c r="H90" i="1" a="1"/>
  <c r="H90" i="1" s="1"/>
  <c r="I90" i="1" a="1"/>
  <c r="I90" i="1" s="1"/>
  <c r="J90" i="1" a="1"/>
  <c r="J90" i="1" s="1"/>
  <c r="K90" i="1" a="1"/>
  <c r="K90" i="1" s="1"/>
  <c r="L90" i="1" a="1"/>
  <c r="L90" i="1" s="1"/>
  <c r="M90" i="1" a="1"/>
  <c r="M90" i="1" s="1"/>
  <c r="N90" i="1" a="1"/>
  <c r="N90" i="1" s="1"/>
  <c r="O90" i="1" a="1"/>
  <c r="O90" i="1" s="1"/>
  <c r="P90" i="1" a="1"/>
  <c r="P90" i="1" s="1"/>
  <c r="Q90" i="1" a="1"/>
  <c r="Q90" i="1" s="1"/>
  <c r="R90" i="1" a="1"/>
  <c r="R90" i="1" s="1"/>
  <c r="S90" i="1" a="1"/>
  <c r="S90" i="1" s="1"/>
  <c r="H91" i="1" a="1"/>
  <c r="H91" i="1" s="1"/>
  <c r="I91" i="1" a="1"/>
  <c r="I91" i="1" s="1"/>
  <c r="J91" i="1" a="1"/>
  <c r="J91" i="1" s="1"/>
  <c r="K91" i="1" a="1"/>
  <c r="K91" i="1" s="1"/>
  <c r="L91" i="1" a="1"/>
  <c r="L91" i="1" s="1"/>
  <c r="M91" i="1" a="1"/>
  <c r="M91" i="1" s="1"/>
  <c r="N91" i="1" a="1"/>
  <c r="N91" i="1" s="1"/>
  <c r="O91" i="1" a="1"/>
  <c r="O91" i="1" s="1"/>
  <c r="P91" i="1" a="1"/>
  <c r="P91" i="1" s="1"/>
  <c r="Q91" i="1" a="1"/>
  <c r="Q91" i="1" s="1"/>
  <c r="R91" i="1" a="1"/>
  <c r="R91" i="1" s="1"/>
  <c r="S91" i="1" a="1"/>
  <c r="S91" i="1" s="1"/>
  <c r="H92" i="1" a="1"/>
  <c r="H92" i="1" s="1"/>
  <c r="I92" i="1" a="1"/>
  <c r="I92" i="1" s="1"/>
  <c r="J92" i="1" a="1"/>
  <c r="J92" i="1" s="1"/>
  <c r="K92" i="1" a="1"/>
  <c r="K92" i="1" s="1"/>
  <c r="L92" i="1" a="1"/>
  <c r="L92" i="1" s="1"/>
  <c r="M92" i="1" a="1"/>
  <c r="M92" i="1" s="1"/>
  <c r="N92" i="1" a="1"/>
  <c r="N92" i="1" s="1"/>
  <c r="O92" i="1" a="1"/>
  <c r="O92" i="1" s="1"/>
  <c r="P92" i="1" a="1"/>
  <c r="P92" i="1" s="1"/>
  <c r="Q92" i="1" a="1"/>
  <c r="Q92" i="1" s="1"/>
  <c r="R92" i="1" a="1"/>
  <c r="R92" i="1" s="1"/>
  <c r="S92" i="1" a="1"/>
  <c r="S92" i="1" s="1"/>
  <c r="H93" i="1" a="1"/>
  <c r="H93" i="1" s="1"/>
  <c r="I93" i="1" a="1"/>
  <c r="I93" i="1" s="1"/>
  <c r="J93" i="1" a="1"/>
  <c r="J93" i="1" s="1"/>
  <c r="K93" i="1" a="1"/>
  <c r="K93" i="1" s="1"/>
  <c r="L93" i="1" a="1"/>
  <c r="L93" i="1" s="1"/>
  <c r="M93" i="1" a="1"/>
  <c r="M93" i="1" s="1"/>
  <c r="N93" i="1" a="1"/>
  <c r="N93" i="1" s="1"/>
  <c r="O93" i="1" a="1"/>
  <c r="O93" i="1" s="1"/>
  <c r="P93" i="1" a="1"/>
  <c r="P93" i="1" s="1"/>
  <c r="Q93" i="1" a="1"/>
  <c r="Q93" i="1" s="1"/>
  <c r="R93" i="1" a="1"/>
  <c r="R93" i="1" s="1"/>
  <c r="S93" i="1" a="1"/>
  <c r="S93" i="1" s="1"/>
  <c r="H94" i="1" a="1"/>
  <c r="H94" i="1" s="1"/>
  <c r="I94" i="1" a="1"/>
  <c r="I94" i="1" s="1"/>
  <c r="J94" i="1" a="1"/>
  <c r="J94" i="1" s="1"/>
  <c r="K94" i="1" a="1"/>
  <c r="K94" i="1" s="1"/>
  <c r="L94" i="1" a="1"/>
  <c r="L94" i="1" s="1"/>
  <c r="M94" i="1" a="1"/>
  <c r="M94" i="1" s="1"/>
  <c r="N94" i="1" a="1"/>
  <c r="N94" i="1" s="1"/>
  <c r="O94" i="1" a="1"/>
  <c r="O94" i="1" s="1"/>
  <c r="P94" i="1" a="1"/>
  <c r="P94" i="1" s="1"/>
  <c r="Q94" i="1" a="1"/>
  <c r="Q94" i="1" s="1"/>
  <c r="R94" i="1" a="1"/>
  <c r="R94" i="1" s="1"/>
  <c r="S94" i="1" a="1"/>
  <c r="S94" i="1" s="1"/>
  <c r="H95" i="1" a="1"/>
  <c r="H95" i="1" s="1"/>
  <c r="I95" i="1" a="1"/>
  <c r="I95" i="1" s="1"/>
  <c r="J95" i="1" a="1"/>
  <c r="J95" i="1" s="1"/>
  <c r="K95" i="1" a="1"/>
  <c r="K95" i="1" s="1"/>
  <c r="L95" i="1" a="1"/>
  <c r="L95" i="1" s="1"/>
  <c r="M95" i="1" a="1"/>
  <c r="M95" i="1" s="1"/>
  <c r="N95" i="1" a="1"/>
  <c r="N95" i="1" s="1"/>
  <c r="O95" i="1" a="1"/>
  <c r="O95" i="1" s="1"/>
  <c r="P95" i="1" a="1"/>
  <c r="P95" i="1" s="1"/>
  <c r="Q95" i="1" a="1"/>
  <c r="Q95" i="1" s="1"/>
  <c r="R95" i="1" a="1"/>
  <c r="R95" i="1" s="1"/>
  <c r="S95" i="1" a="1"/>
  <c r="S95" i="1" s="1"/>
  <c r="H96" i="1" a="1"/>
  <c r="H96" i="1" s="1"/>
  <c r="I96" i="1" a="1"/>
  <c r="I96" i="1" s="1"/>
  <c r="J96" i="1" a="1"/>
  <c r="J96" i="1" s="1"/>
  <c r="K96" i="1" a="1"/>
  <c r="K96" i="1" s="1"/>
  <c r="L96" i="1" a="1"/>
  <c r="L96" i="1" s="1"/>
  <c r="M96" i="1" a="1"/>
  <c r="M96" i="1" s="1"/>
  <c r="N96" i="1" a="1"/>
  <c r="N96" i="1" s="1"/>
  <c r="O96" i="1" a="1"/>
  <c r="O96" i="1" s="1"/>
  <c r="P96" i="1" a="1"/>
  <c r="P96" i="1" s="1"/>
  <c r="Q96" i="1" a="1"/>
  <c r="Q96" i="1" s="1"/>
  <c r="R96" i="1" a="1"/>
  <c r="R96" i="1" s="1"/>
  <c r="S96" i="1" a="1"/>
  <c r="S96" i="1" s="1"/>
  <c r="H97" i="1" a="1"/>
  <c r="H97" i="1" s="1"/>
  <c r="I97" i="1" a="1"/>
  <c r="I97" i="1" s="1"/>
  <c r="J97" i="1" a="1"/>
  <c r="J97" i="1" s="1"/>
  <c r="K97" i="1" a="1"/>
  <c r="K97" i="1" s="1"/>
  <c r="L97" i="1" a="1"/>
  <c r="L97" i="1" s="1"/>
  <c r="M97" i="1" a="1"/>
  <c r="M97" i="1" s="1"/>
  <c r="N97" i="1" a="1"/>
  <c r="N97" i="1" s="1"/>
  <c r="O97" i="1" a="1"/>
  <c r="O97" i="1" s="1"/>
  <c r="P97" i="1" a="1"/>
  <c r="P97" i="1" s="1"/>
  <c r="Q97" i="1" a="1"/>
  <c r="Q97" i="1" s="1"/>
  <c r="R97" i="1" a="1"/>
  <c r="R97" i="1" s="1"/>
  <c r="S97" i="1" a="1"/>
  <c r="S97" i="1" s="1"/>
  <c r="H74" i="1"/>
  <c r="I74" i="1"/>
  <c r="J74" i="1"/>
  <c r="K74" i="1"/>
  <c r="L74" i="1"/>
  <c r="M74" i="1"/>
  <c r="N74" i="1"/>
  <c r="O74" i="1"/>
  <c r="P74" i="1"/>
  <c r="Q74" i="1"/>
  <c r="R74" i="1"/>
  <c r="S74" i="1"/>
  <c r="H75" i="1" a="1"/>
  <c r="H75" i="1" s="1"/>
  <c r="I75" i="1" a="1"/>
  <c r="I75" i="1" s="1"/>
  <c r="J75" i="1" a="1"/>
  <c r="J75" i="1" s="1"/>
  <c r="K75" i="1" a="1"/>
  <c r="K75" i="1" s="1"/>
  <c r="L75" i="1" a="1"/>
  <c r="L75" i="1" s="1"/>
  <c r="M75" i="1" a="1"/>
  <c r="M75" i="1" s="1"/>
  <c r="N75" i="1" a="1"/>
  <c r="N75" i="1" s="1"/>
  <c r="O75" i="1" a="1"/>
  <c r="O75" i="1" s="1"/>
  <c r="P75" i="1" a="1"/>
  <c r="P75" i="1"/>
  <c r="Q75" i="1" a="1"/>
  <c r="Q75" i="1" s="1"/>
  <c r="R75" i="1" a="1"/>
  <c r="R75" i="1" s="1"/>
  <c r="S75" i="1" a="1"/>
  <c r="S75" i="1" s="1"/>
  <c r="H76" i="1" a="1"/>
  <c r="H76" i="1" s="1"/>
  <c r="I76" i="1" a="1"/>
  <c r="I76" i="1" s="1"/>
  <c r="J76" i="1" a="1"/>
  <c r="J76" i="1" s="1"/>
  <c r="K76" i="1" a="1"/>
  <c r="K76" i="1"/>
  <c r="L76" i="1" a="1"/>
  <c r="L76" i="1" s="1"/>
  <c r="M76" i="1" a="1"/>
  <c r="M76" i="1" s="1"/>
  <c r="N76" i="1" a="1"/>
  <c r="N76" i="1" s="1"/>
  <c r="O76" i="1" a="1"/>
  <c r="O76" i="1"/>
  <c r="P76" i="1" a="1"/>
  <c r="P76" i="1" s="1"/>
  <c r="Q76" i="1" a="1"/>
  <c r="Q76" i="1" s="1"/>
  <c r="R76" i="1" a="1"/>
  <c r="R76" i="1" s="1"/>
  <c r="S76" i="1" a="1"/>
  <c r="S76" i="1"/>
  <c r="H77" i="1" a="1"/>
  <c r="H77" i="1" s="1"/>
  <c r="I77" i="1" a="1"/>
  <c r="I77" i="1" s="1"/>
  <c r="J77" i="1" a="1"/>
  <c r="J77" i="1"/>
  <c r="K77" i="1" a="1"/>
  <c r="K77" i="1" s="1"/>
  <c r="L77" i="1" a="1"/>
  <c r="L77" i="1" s="1"/>
  <c r="M77" i="1" a="1"/>
  <c r="M77" i="1" s="1"/>
  <c r="N77" i="1" a="1"/>
  <c r="N77" i="1"/>
  <c r="O77" i="1" a="1"/>
  <c r="O77" i="1" s="1"/>
  <c r="P77" i="1" a="1"/>
  <c r="P77" i="1" s="1"/>
  <c r="Q77" i="1" a="1"/>
  <c r="Q77" i="1" s="1"/>
  <c r="R77" i="1" a="1"/>
  <c r="R77" i="1"/>
  <c r="S77" i="1" a="1"/>
  <c r="S77" i="1" s="1"/>
  <c r="H78" i="1" a="1"/>
  <c r="H78" i="1" s="1"/>
  <c r="I78" i="1" a="1"/>
  <c r="I78" i="1" s="1"/>
  <c r="J78" i="1" a="1"/>
  <c r="J78" i="1" s="1"/>
  <c r="K78" i="1" a="1"/>
  <c r="K78" i="1" s="1"/>
  <c r="L78" i="1" a="1"/>
  <c r="L78" i="1" s="1"/>
  <c r="M78" i="1" a="1"/>
  <c r="M78" i="1"/>
  <c r="N78" i="1" a="1"/>
  <c r="N78" i="1" s="1"/>
  <c r="O78" i="1" a="1"/>
  <c r="O78" i="1" s="1"/>
  <c r="P78" i="1" a="1"/>
  <c r="P78" i="1" s="1"/>
  <c r="Q78" i="1" a="1"/>
  <c r="Q78" i="1"/>
  <c r="R78" i="1" a="1"/>
  <c r="R78" i="1" s="1"/>
  <c r="S78" i="1" a="1"/>
  <c r="S78" i="1" s="1"/>
  <c r="H79" i="1" a="1"/>
  <c r="H79" i="1" s="1"/>
  <c r="I79" i="1" a="1"/>
  <c r="I79" i="1" s="1"/>
  <c r="J79" i="1" a="1"/>
  <c r="J79" i="1" s="1"/>
  <c r="K79" i="1" a="1"/>
  <c r="K79" i="1" s="1"/>
  <c r="L79" i="1" a="1"/>
  <c r="L79" i="1"/>
  <c r="M79" i="1" a="1"/>
  <c r="M79" i="1" s="1"/>
  <c r="N79" i="1" a="1"/>
  <c r="N79" i="1" s="1"/>
  <c r="O79" i="1" a="1"/>
  <c r="O79" i="1" s="1"/>
  <c r="P79" i="1" a="1"/>
  <c r="P79" i="1" s="1"/>
  <c r="Q79" i="1" a="1"/>
  <c r="Q79" i="1" s="1"/>
  <c r="R79" i="1" a="1"/>
  <c r="R79" i="1" s="1"/>
  <c r="S79" i="1" a="1"/>
  <c r="S79" i="1" s="1"/>
  <c r="H80" i="1" a="1"/>
  <c r="H80" i="1" s="1"/>
  <c r="I80" i="1" a="1"/>
  <c r="I80" i="1" s="1"/>
  <c r="J80" i="1" a="1"/>
  <c r="J80" i="1" s="1"/>
  <c r="K80" i="1" a="1"/>
  <c r="K80" i="1" s="1"/>
  <c r="L80" i="1" a="1"/>
  <c r="L80" i="1" s="1"/>
  <c r="M80" i="1" a="1"/>
  <c r="M80" i="1" s="1"/>
  <c r="N80" i="1" a="1"/>
  <c r="N80" i="1" s="1"/>
  <c r="O80" i="1" a="1"/>
  <c r="O80" i="1"/>
  <c r="P80" i="1" a="1"/>
  <c r="P80" i="1" s="1"/>
  <c r="Q80" i="1" a="1"/>
  <c r="Q80" i="1" s="1"/>
  <c r="R80" i="1" a="1"/>
  <c r="R80" i="1" s="1"/>
  <c r="S80" i="1" a="1"/>
  <c r="S80" i="1"/>
  <c r="H81" i="1" a="1"/>
  <c r="H81" i="1" s="1"/>
  <c r="I81" i="1" a="1"/>
  <c r="I81" i="1" s="1"/>
  <c r="J81" i="1" a="1"/>
  <c r="J81" i="1" s="1"/>
  <c r="K81" i="1" a="1"/>
  <c r="K81" i="1" s="1"/>
  <c r="L81" i="1" a="1"/>
  <c r="L81" i="1" s="1"/>
  <c r="M81" i="1" a="1"/>
  <c r="M81" i="1" s="1"/>
  <c r="N81" i="1" a="1"/>
  <c r="N81" i="1" s="1"/>
  <c r="O81" i="1" a="1"/>
  <c r="O81" i="1" s="1"/>
  <c r="P81" i="1" a="1"/>
  <c r="P81" i="1" s="1"/>
  <c r="Q81" i="1" a="1"/>
  <c r="Q81" i="1" s="1"/>
  <c r="R81" i="1" a="1"/>
  <c r="R81" i="1" s="1"/>
  <c r="S81" i="1" a="1"/>
  <c r="S81" i="1" s="1"/>
  <c r="H82" i="1" a="1"/>
  <c r="H82" i="1" s="1"/>
  <c r="I82" i="1" a="1"/>
  <c r="I82" i="1" s="1"/>
  <c r="J82" i="1" a="1"/>
  <c r="J82" i="1" s="1"/>
  <c r="K82" i="1" a="1"/>
  <c r="K82" i="1" s="1"/>
  <c r="L82" i="1" a="1"/>
  <c r="L82" i="1" s="1"/>
  <c r="M82" i="1" a="1"/>
  <c r="M82" i="1" s="1"/>
  <c r="N82" i="1" a="1"/>
  <c r="N82" i="1" s="1"/>
  <c r="O82" i="1" a="1"/>
  <c r="O82" i="1" s="1"/>
  <c r="P82" i="1" a="1"/>
  <c r="P82" i="1" s="1"/>
  <c r="Q82" i="1" a="1"/>
  <c r="Q82" i="1" s="1"/>
  <c r="R82" i="1" a="1"/>
  <c r="R82" i="1" s="1"/>
  <c r="S82" i="1" a="1"/>
  <c r="S82" i="1" s="1"/>
  <c r="H83" i="1" a="1"/>
  <c r="H83" i="1" s="1"/>
  <c r="I83" i="1" a="1"/>
  <c r="I83" i="1" s="1"/>
  <c r="J83" i="1" a="1"/>
  <c r="J83" i="1" s="1"/>
  <c r="K83" i="1" a="1"/>
  <c r="K83" i="1" s="1"/>
  <c r="L83" i="1" a="1"/>
  <c r="L83" i="1" s="1"/>
  <c r="M83" i="1" a="1"/>
  <c r="M83" i="1" s="1"/>
  <c r="N83" i="1" a="1"/>
  <c r="N83" i="1" s="1"/>
  <c r="O83" i="1" a="1"/>
  <c r="O83" i="1" s="1"/>
  <c r="P83" i="1" a="1"/>
  <c r="P83" i="1" s="1"/>
  <c r="Q83" i="1" a="1"/>
  <c r="Q83" i="1" s="1"/>
  <c r="R83" i="1" a="1"/>
  <c r="R83" i="1" s="1"/>
  <c r="S83" i="1" a="1"/>
  <c r="S83" i="1" s="1"/>
  <c r="H84" i="1" a="1"/>
  <c r="H84" i="1" s="1"/>
  <c r="I84" i="1" a="1"/>
  <c r="I84" i="1" s="1"/>
  <c r="J84" i="1" a="1"/>
  <c r="J84" i="1" s="1"/>
  <c r="K84" i="1" a="1"/>
  <c r="K84" i="1" s="1"/>
  <c r="L84" i="1" a="1"/>
  <c r="L84" i="1" s="1"/>
  <c r="M84" i="1" a="1"/>
  <c r="M84" i="1" s="1"/>
  <c r="N84" i="1" a="1"/>
  <c r="N84" i="1" s="1"/>
  <c r="O84" i="1" a="1"/>
  <c r="O84" i="1" s="1"/>
  <c r="P84" i="1" a="1"/>
  <c r="P84" i="1" s="1"/>
  <c r="Q84" i="1" a="1"/>
  <c r="Q84" i="1" s="1"/>
  <c r="R84" i="1" a="1"/>
  <c r="R84" i="1" s="1"/>
  <c r="S84" i="1" a="1"/>
  <c r="S84" i="1" s="1"/>
  <c r="G89" i="1" a="1"/>
  <c r="G89" i="1" s="1"/>
  <c r="G90" i="1" a="1"/>
  <c r="G90" i="1"/>
  <c r="G91" i="1" a="1"/>
  <c r="G91" i="1" s="1"/>
  <c r="G92" i="1" a="1"/>
  <c r="G92" i="1"/>
  <c r="G93" i="1" a="1"/>
  <c r="G93" i="1" s="1"/>
  <c r="G94" i="1" a="1"/>
  <c r="G94" i="1"/>
  <c r="G95" i="1" a="1"/>
  <c r="G95" i="1" s="1"/>
  <c r="G96" i="1" a="1"/>
  <c r="G96" i="1" s="1"/>
  <c r="G97" i="1" a="1"/>
  <c r="G97" i="1" s="1"/>
  <c r="G87" i="1" a="1"/>
  <c r="G87" i="1" s="1"/>
  <c r="G88" i="1" a="1"/>
  <c r="G88" i="1" s="1"/>
  <c r="G76" i="1" a="1"/>
  <c r="G76" i="1" s="1"/>
  <c r="G77" i="1" a="1"/>
  <c r="G77" i="1"/>
  <c r="G78" i="1" a="1"/>
  <c r="G78" i="1"/>
  <c r="G79" i="1" a="1"/>
  <c r="G79" i="1" s="1"/>
  <c r="G80" i="1" a="1"/>
  <c r="G80" i="1" s="1"/>
  <c r="G81" i="1" a="1"/>
  <c r="G81" i="1"/>
  <c r="G82" i="1" a="1"/>
  <c r="G82" i="1" s="1"/>
  <c r="G83" i="1" a="1"/>
  <c r="G83" i="1" s="1"/>
  <c r="G84" i="1" a="1"/>
  <c r="G84" i="1" s="1"/>
  <c r="G75" i="1" a="1"/>
  <c r="G75" i="1" s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C4" i="1"/>
  <c r="C5" i="1"/>
  <c r="C6" i="1"/>
  <c r="C7" i="1"/>
  <c r="C8" i="1"/>
  <c r="E8" i="1" s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E24" i="1" s="1"/>
  <c r="C25" i="1"/>
  <c r="E25" i="1" s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D4" i="1"/>
  <c r="D5" i="1"/>
  <c r="E5" i="1" s="1"/>
  <c r="D6" i="1"/>
  <c r="D7" i="1"/>
  <c r="E7" i="1" s="1"/>
  <c r="D8" i="1"/>
  <c r="D9" i="1"/>
  <c r="D10" i="1"/>
  <c r="D11" i="1"/>
  <c r="D12" i="1"/>
  <c r="D13" i="1"/>
  <c r="E13" i="1" s="1"/>
  <c r="D14" i="1"/>
  <c r="D15" i="1"/>
  <c r="E15" i="1" s="1"/>
  <c r="D16" i="1"/>
  <c r="D17" i="1"/>
  <c r="D18" i="1"/>
  <c r="D19" i="1"/>
  <c r="D20" i="1"/>
  <c r="D21" i="1"/>
  <c r="E21" i="1" s="1"/>
  <c r="D22" i="1"/>
  <c r="D23" i="1"/>
  <c r="E23" i="1" s="1"/>
  <c r="D24" i="1"/>
  <c r="D25" i="1"/>
  <c r="D26" i="1"/>
  <c r="D27" i="1"/>
  <c r="D28" i="1"/>
  <c r="D29" i="1"/>
  <c r="E29" i="1" s="1"/>
  <c r="D30" i="1"/>
  <c r="D31" i="1"/>
  <c r="E31" i="1" s="1"/>
  <c r="D32" i="1"/>
  <c r="D33" i="1"/>
  <c r="D34" i="1"/>
  <c r="D35" i="1"/>
  <c r="D36" i="1"/>
  <c r="D37" i="1"/>
  <c r="E37" i="1" s="1"/>
  <c r="D38" i="1"/>
  <c r="D39" i="1"/>
  <c r="E39" i="1" s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A3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B3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C3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D3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T3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D2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C2" i="1"/>
  <c r="C57" i="1"/>
  <c r="E57" i="1" s="1"/>
  <c r="C58" i="1"/>
  <c r="C59" i="1"/>
  <c r="C60" i="1"/>
  <c r="C61" i="1"/>
  <c r="E61" i="1" s="1"/>
  <c r="C62" i="1"/>
  <c r="E62" i="1" s="1"/>
  <c r="C63" i="1"/>
  <c r="C64" i="1"/>
  <c r="C65" i="1"/>
  <c r="E65" i="1" s="1"/>
  <c r="C66" i="1"/>
  <c r="C67" i="1"/>
  <c r="E67" i="1" s="1"/>
  <c r="C68" i="1"/>
  <c r="C69" i="1"/>
  <c r="E69" i="1" s="1"/>
  <c r="C70" i="1"/>
  <c r="E70" i="1" s="1"/>
  <c r="C71" i="1"/>
  <c r="B2" i="1"/>
  <c r="T2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T103" i="1" l="1" a="1"/>
  <c r="T103" i="1" s="1"/>
  <c r="T101" i="1" a="1"/>
  <c r="T101" i="1" s="1"/>
  <c r="T100" i="1" a="1"/>
  <c r="T100" i="1" s="1"/>
  <c r="T102" i="1" a="1"/>
  <c r="T102" i="1" s="1"/>
  <c r="T92" i="1" a="1"/>
  <c r="T92" i="1" s="1"/>
  <c r="T93" i="1" a="1"/>
  <c r="T93" i="1" s="1"/>
  <c r="T97" i="1" a="1"/>
  <c r="T97" i="1" s="1"/>
  <c r="T89" i="1" a="1"/>
  <c r="T89" i="1" s="1"/>
  <c r="T90" i="1" a="1"/>
  <c r="T90" i="1" s="1"/>
  <c r="T83" i="1" a="1"/>
  <c r="T83" i="1" s="1"/>
  <c r="T81" i="1" a="1"/>
  <c r="T81" i="1" s="1"/>
  <c r="T82" i="1" a="1"/>
  <c r="T82" i="1" s="1"/>
  <c r="T88" i="1" a="1"/>
  <c r="T88" i="1" s="1"/>
  <c r="T95" i="1" a="1"/>
  <c r="T95" i="1" s="1"/>
  <c r="T80" i="1" a="1"/>
  <c r="T80" i="1" s="1"/>
  <c r="T84" i="1" a="1"/>
  <c r="T84" i="1" s="1"/>
  <c r="T79" i="1" a="1"/>
  <c r="T79" i="1" s="1"/>
  <c r="T78" i="1" a="1"/>
  <c r="T78" i="1" s="1"/>
  <c r="T77" i="1" a="1"/>
  <c r="T77" i="1" s="1"/>
  <c r="T76" i="1" a="1"/>
  <c r="T76" i="1" s="1"/>
  <c r="T74" i="1"/>
  <c r="T91" i="1" a="1"/>
  <c r="T91" i="1" s="1"/>
  <c r="T96" i="1" a="1"/>
  <c r="T96" i="1" s="1"/>
  <c r="T94" i="1" a="1"/>
  <c r="T94" i="1" s="1"/>
  <c r="T87" i="1" a="1"/>
  <c r="T87" i="1" s="1"/>
  <c r="T75" i="1" a="1"/>
  <c r="T75" i="1" s="1"/>
  <c r="E35" i="1"/>
  <c r="E27" i="1"/>
  <c r="E19" i="1"/>
  <c r="E11" i="1"/>
  <c r="E52" i="1"/>
  <c r="E44" i="1"/>
  <c r="E10" i="1"/>
  <c r="E17" i="1"/>
  <c r="E9" i="1"/>
  <c r="E54" i="1"/>
  <c r="E53" i="1"/>
  <c r="E59" i="1"/>
  <c r="E51" i="1"/>
  <c r="E43" i="1"/>
  <c r="E50" i="1"/>
  <c r="E34" i="1"/>
  <c r="E26" i="1"/>
  <c r="E18" i="1"/>
  <c r="E42" i="1"/>
  <c r="E33" i="1"/>
  <c r="E32" i="1"/>
  <c r="E16" i="1"/>
  <c r="E38" i="1"/>
  <c r="E30" i="1"/>
  <c r="E14" i="1"/>
  <c r="E22" i="1"/>
  <c r="E6" i="1"/>
  <c r="E64" i="1"/>
  <c r="E2" i="1"/>
  <c r="E36" i="1"/>
  <c r="E28" i="1"/>
  <c r="E20" i="1"/>
  <c r="E12" i="1"/>
  <c r="E4" i="1"/>
  <c r="E71" i="1"/>
  <c r="E63" i="1"/>
  <c r="E46" i="1"/>
  <c r="E68" i="1"/>
  <c r="E60" i="1"/>
  <c r="E45" i="1"/>
  <c r="E58" i="1"/>
  <c r="E41" i="1"/>
  <c r="E48" i="1"/>
  <c r="E3" i="1"/>
  <c r="E56" i="1"/>
  <c r="E47" i="1"/>
  <c r="E66" i="1"/>
  <c r="E49" i="1"/>
  <c r="E40" i="1"/>
  <c r="E55" i="1"/>
  <c r="G74" i="1"/>
  <c r="A71" i="1" l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<sst xmlns="http://schemas.openxmlformats.org/spreadsheetml/2006/main" count="119" uniqueCount="103">
  <si>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</si>
  <si>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</si>
  <si>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</si>
  <si>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</si>
  <si>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</si>
  <si>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</si>
  <si>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</si>
  <si>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</si>
  <si>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</si>
  <si>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</si>
  <si>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</si>
  <si>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</si>
  <si>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</si>
  <si>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</si>
  <si>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</si>
  <si>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</si>
  <si>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</si>
  <si>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</si>
  <si>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</si>
  <si>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</si>
  <si>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</si>
  <si>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</si>
  <si>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</si>
  <si>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</si>
  <si>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</si>
  <si>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</si>
  <si>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</si>
  <si>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</si>
  <si>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</si>
  <si>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</si>
  <si>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</si>
  <si>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</si>
  <si>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</si>
  <si>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</si>
  <si>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</si>
  <si>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</si>
  <si>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lang</t>
  </si>
  <si>
    <t>all</t>
  </si>
  <si>
    <t>arabic</t>
  </si>
  <si>
    <t>german</t>
  </si>
  <si>
    <t>english</t>
  </si>
  <si>
    <t>french</t>
  </si>
  <si>
    <t>russian</t>
  </si>
  <si>
    <t>1g</t>
  </si>
  <si>
    <t>1g incluede</t>
  </si>
  <si>
    <t>1g excluded</t>
  </si>
  <si>
    <t>average</t>
  </si>
  <si>
    <t>11</t>
  </si>
  <si>
    <t>13</t>
  </si>
  <si>
    <t>14</t>
  </si>
  <si>
    <t>xsk</t>
  </si>
  <si>
    <t>sk</t>
  </si>
  <si>
    <t>norm</t>
  </si>
  <si>
    <t>arabic-xsk2g</t>
  </si>
  <si>
    <t>arabic-xsk3g</t>
  </si>
  <si>
    <t>english-xsk2g</t>
  </si>
  <si>
    <t>english-xsk3g</t>
  </si>
  <si>
    <t>french-xsk2g</t>
  </si>
  <si>
    <t>french-xsk3g</t>
  </si>
  <si>
    <t>finnish-1g</t>
  </si>
  <si>
    <t>finnish-2g</t>
  </si>
  <si>
    <t>finnish-3g</t>
  </si>
  <si>
    <t>finnish-sk2g</t>
  </si>
  <si>
    <t>finnish-sk3g</t>
  </si>
  <si>
    <t>finnish-xsk2g</t>
  </si>
  <si>
    <t>finnish-xsk3g</t>
  </si>
  <si>
    <t>german-xsk2g</t>
  </si>
  <si>
    <t>german-xsk3g</t>
  </si>
  <si>
    <t>greek-1g</t>
  </si>
  <si>
    <t>greek-2g</t>
  </si>
  <si>
    <t>greek-3g</t>
  </si>
  <si>
    <t>greek-sk2g</t>
  </si>
  <si>
    <t>greek-sk3g</t>
  </si>
  <si>
    <t>greek-xsk2g</t>
  </si>
  <si>
    <t>greek-xsk3g</t>
  </si>
  <si>
    <t>hebrew-1g</t>
  </si>
  <si>
    <t>hebrew-2g</t>
  </si>
  <si>
    <t>hebrew-3g</t>
  </si>
  <si>
    <t>hebrew-sk2g</t>
  </si>
  <si>
    <t>hebrew-sk3g</t>
  </si>
  <si>
    <t>hebrew-xsk2g</t>
  </si>
  <si>
    <t>hebrew-xsk3g</t>
  </si>
  <si>
    <t>icelandic-1g</t>
  </si>
  <si>
    <t>icelandic-2g</t>
  </si>
  <si>
    <t>icelandic-3g</t>
  </si>
  <si>
    <t>icelandic-sk2g</t>
  </si>
  <si>
    <t>icelandic-sk3g</t>
  </si>
  <si>
    <t>icelandic-xsk2g</t>
  </si>
  <si>
    <t>icelandic-xsk3g</t>
  </si>
  <si>
    <t>russian-xsk2g</t>
  </si>
  <si>
    <t>russian-xsk3g</t>
  </si>
  <si>
    <t>turkish-1g</t>
  </si>
  <si>
    <t>turkish-2g</t>
  </si>
  <si>
    <t>turkish-3g</t>
  </si>
  <si>
    <t>turkish-sk2g</t>
  </si>
  <si>
    <t>turkish-sk3g</t>
  </si>
  <si>
    <t>turkish-xsk2g</t>
  </si>
  <si>
    <t>turkish-xsk3g</t>
  </si>
  <si>
    <t>finnish</t>
  </si>
  <si>
    <t>greek</t>
  </si>
  <si>
    <t>hebrew</t>
  </si>
  <si>
    <t>icelandic</t>
  </si>
  <si>
    <t>turkish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</si>
</sst>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encodings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aNA!$F$101</c:f>
              <c:strCache>
                <c:ptCount val="1"/>
                <c:pt idx="0">
                  <c:v>xsk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aNA!$G$101:$S$101</c:f>
              <c:numCache>
                <c:formatCode>0.00</c:formatCode>
                <c:ptCount val="13"/>
                <c:pt idx="0">
                  <c:v>0.74079509189635473</c:v>
                </c:pt>
                <c:pt idx="1">
                  <c:v>0.79540750317446951</c:v>
                </c:pt>
                <c:pt idx="2">
                  <c:v>0.74227878420786897</c:v>
                </c:pt>
                <c:pt idx="3">
                  <c:v>0.7562343126742832</c:v>
                </c:pt>
                <c:pt idx="4">
                  <c:v>0.72584074470907134</c:v>
                </c:pt>
                <c:pt idx="5">
                  <c:v>0.66889837464147361</c:v>
                </c:pt>
                <c:pt idx="6">
                  <c:v>0.70175866879265425</c:v>
                </c:pt>
                <c:pt idx="7">
                  <c:v>0.67155277862622331</c:v>
                </c:pt>
                <c:pt idx="8">
                  <c:v>0.69515144046324351</c:v>
                </c:pt>
                <c:pt idx="9">
                  <c:v>0.66278073245505587</c:v>
                </c:pt>
                <c:pt idx="10">
                  <c:v>0.63248380845375907</c:v>
                </c:pt>
                <c:pt idx="11">
                  <c:v>0.56679624948927843</c:v>
                </c:pt>
                <c:pt idx="12">
                  <c:v>0.54757796133046965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4-744E-B056-3268730A806E}"/>
            </c:ext>
          </c:extLst>
        </c:ser>
        <c:ser>
          <c:idx val="2"/>
          <c:order val="1"/>
          <c:tx>
            <c:strRef>
              <c:f>aNA!$F$102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aNA!$G$102:$S$102</c:f>
              <c:numCache>
                <c:formatCode>0.00</c:formatCode>
                <c:ptCount val="13"/>
                <c:pt idx="0">
                  <c:v>0.78139258872286077</c:v>
                </c:pt>
                <c:pt idx="1">
                  <c:v>0.76199781661274568</c:v>
                </c:pt>
                <c:pt idx="2">
                  <c:v>0.71165728133662021</c:v>
                </c:pt>
                <c:pt idx="3">
                  <c:v>0.75893954210385839</c:v>
                </c:pt>
                <c:pt idx="4">
                  <c:v>0.68680648092575569</c:v>
                </c:pt>
                <c:pt idx="5">
                  <c:v>0.63349704266354234</c:v>
                </c:pt>
                <c:pt idx="6">
                  <c:v>0.65987661232449768</c:v>
                </c:pt>
                <c:pt idx="7">
                  <c:v>0.62852708610939323</c:v>
                </c:pt>
                <c:pt idx="8">
                  <c:v>0.63481941300130829</c:v>
                </c:pt>
                <c:pt idx="9">
                  <c:v>0.59921399856001534</c:v>
                </c:pt>
                <c:pt idx="10">
                  <c:v>0.64791186504350617</c:v>
                </c:pt>
                <c:pt idx="11">
                  <c:v>0.6180829692546479</c:v>
                </c:pt>
                <c:pt idx="12">
                  <c:v>0.63392680738548079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4-744E-B056-3268730A806E}"/>
            </c:ext>
          </c:extLst>
        </c:ser>
        <c:ser>
          <c:idx val="3"/>
          <c:order val="2"/>
          <c:tx>
            <c:strRef>
              <c:f>aNA!$F$103</c:f>
              <c:strCache>
                <c:ptCount val="1"/>
                <c:pt idx="0">
                  <c:v>norm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aNA!$G$103:$S$103</c:f>
              <c:numCache>
                <c:formatCode>0.00</c:formatCode>
                <c:ptCount val="13"/>
                <c:pt idx="0">
                  <c:v>0.78139258872286077</c:v>
                </c:pt>
                <c:pt idx="1">
                  <c:v>0.76199781661274568</c:v>
                </c:pt>
                <c:pt idx="2">
                  <c:v>0.71165728133662021</c:v>
                </c:pt>
                <c:pt idx="3">
                  <c:v>0.75893954210385839</c:v>
                </c:pt>
                <c:pt idx="4">
                  <c:v>0.68680648092575569</c:v>
                </c:pt>
                <c:pt idx="5">
                  <c:v>0.63349704266354234</c:v>
                </c:pt>
                <c:pt idx="6">
                  <c:v>0.65987661232449768</c:v>
                </c:pt>
                <c:pt idx="7">
                  <c:v>0.62852708610939323</c:v>
                </c:pt>
                <c:pt idx="8">
                  <c:v>0.63481941300130829</c:v>
                </c:pt>
                <c:pt idx="9">
                  <c:v>0.59921399856001534</c:v>
                </c:pt>
                <c:pt idx="10">
                  <c:v>0.64791186504350617</c:v>
                </c:pt>
                <c:pt idx="11">
                  <c:v>0.6180829692546479</c:v>
                </c:pt>
                <c:pt idx="12">
                  <c:v>0.63392680738548079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4-744E-B056-3268730A8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657120"/>
        <c:axId val="2105744544"/>
      </c:lineChart>
      <c:catAx>
        <c:axId val="15156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05744544"/>
        <c:crosses val="autoZero"/>
        <c:auto val="1"/>
        <c:lblAlgn val="ctr"/>
        <c:lblOffset val="100"/>
        <c:noMultiLvlLbl val="0"/>
      </c:catAx>
      <c:valAx>
        <c:axId val="21057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156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languages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(s2,</a:t>
            </a:r>
            <a:r>
              <a:rPr lang="ja-JP" altLang="en-US" baseline="0"/>
              <a:t> </a:t>
            </a:r>
            <a:r>
              <a:rPr lang="en-US" altLang="ja-JP" baseline="0"/>
              <a:t>pt</a:t>
            </a:r>
            <a:r>
              <a:rPr lang="ja-JP" altLang="en-US" baseline="0"/>
              <a:t> </a:t>
            </a:r>
            <a:r>
              <a:rPr lang="en-US" altLang="ja-JP" baseline="0"/>
              <a:t>=0.50;</a:t>
            </a:r>
            <a:r>
              <a:rPr lang="ja-JP" altLang="en-US" baseline="0"/>
              <a:t> </a:t>
            </a:r>
            <a:r>
              <a:rPr lang="en-US" altLang="ja-JP" baseline="0"/>
              <a:t>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aNA!$F$88</c:f>
              <c:strCache>
                <c:ptCount val="1"/>
                <c:pt idx="0">
                  <c:v>arabic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aNA!$G$88:$S$88</c:f>
              <c:numCache>
                <c:formatCode>0.00</c:formatCode>
                <c:ptCount val="13"/>
                <c:pt idx="0">
                  <c:v>0.99397717571762867</c:v>
                </c:pt>
                <c:pt idx="1">
                  <c:v>0.99986989204390364</c:v>
                </c:pt>
                <c:pt idx="2">
                  <c:v>0.99689312544121533</c:v>
                </c:pt>
                <c:pt idx="3">
                  <c:v>0.99674753648449854</c:v>
                </c:pt>
                <c:pt idx="4">
                  <c:v>0.99106857948618021</c:v>
                </c:pt>
                <c:pt idx="5">
                  <c:v>0.99452234713376042</c:v>
                </c:pt>
                <c:pt idx="6">
                  <c:v>0.99729416278105221</c:v>
                </c:pt>
                <c:pt idx="7">
                  <c:v>0.97075432963949959</c:v>
                </c:pt>
                <c:pt idx="8">
                  <c:v>0.99957228692786393</c:v>
                </c:pt>
                <c:pt idx="9">
                  <c:v>0.99890227177469149</c:v>
                </c:pt>
                <c:pt idx="10">
                  <c:v>0.99960598309538717</c:v>
                </c:pt>
                <c:pt idx="11">
                  <c:v>0.9996344982365617</c:v>
                </c:pt>
                <c:pt idx="12">
                  <c:v>0.91310617477433675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0-1346-ADFB-B1A9B6FF66F3}"/>
            </c:ext>
          </c:extLst>
        </c:ser>
        <c:ser>
          <c:idx val="2"/>
          <c:order val="1"/>
          <c:tx>
            <c:strRef>
              <c:f>aNA!$F$89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aNA!$G$89:$S$89</c:f>
              <c:numCache>
                <c:formatCode>0.00</c:formatCode>
                <c:ptCount val="13"/>
                <c:pt idx="0">
                  <c:v>0.28231148595546934</c:v>
                </c:pt>
                <c:pt idx="1">
                  <c:v>0.28120755427685651</c:v>
                </c:pt>
                <c:pt idx="2">
                  <c:v>0.12469369542692683</c:v>
                </c:pt>
                <c:pt idx="3">
                  <c:v>0.33882784749884237</c:v>
                </c:pt>
                <c:pt idx="4">
                  <c:v>0.16713360741540217</c:v>
                </c:pt>
                <c:pt idx="5">
                  <c:v>0.18383644599170881</c:v>
                </c:pt>
                <c:pt idx="6">
                  <c:v>0.26450304381374368</c:v>
                </c:pt>
                <c:pt idx="7">
                  <c:v>4.9472551075644002E-2</c:v>
                </c:pt>
                <c:pt idx="8">
                  <c:v>9.0529698875868994E-2</c:v>
                </c:pt>
                <c:pt idx="9">
                  <c:v>9.7631817916712493E-2</c:v>
                </c:pt>
                <c:pt idx="10">
                  <c:v>0.10986109351046085</c:v>
                </c:pt>
                <c:pt idx="11">
                  <c:v>4.3781715543125328E-2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70-1346-ADFB-B1A9B6FF66F3}"/>
            </c:ext>
          </c:extLst>
        </c:ser>
        <c:ser>
          <c:idx val="3"/>
          <c:order val="2"/>
          <c:tx>
            <c:strRef>
              <c:f>aNA!$F$90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aNA!$G$90:$S$90</c:f>
              <c:numCache>
                <c:formatCode>0.00</c:formatCode>
                <c:ptCount val="13"/>
                <c:pt idx="0">
                  <c:v>0.46009839766536986</c:v>
                </c:pt>
                <c:pt idx="1">
                  <c:v>0.21472599933749051</c:v>
                </c:pt>
                <c:pt idx="2">
                  <c:v>0.17483185140883437</c:v>
                </c:pt>
                <c:pt idx="3">
                  <c:v>0.23716737842477531</c:v>
                </c:pt>
                <c:pt idx="4">
                  <c:v>0.13806864556427248</c:v>
                </c:pt>
                <c:pt idx="5">
                  <c:v>0.12912522385505232</c:v>
                </c:pt>
                <c:pt idx="6">
                  <c:v>0.25318155488753863</c:v>
                </c:pt>
                <c:pt idx="7">
                  <c:v>0.12114665734635634</c:v>
                </c:pt>
                <c:pt idx="8">
                  <c:v>3.4093171110133165E-2</c:v>
                </c:pt>
                <c:pt idx="9">
                  <c:v>0.166041870301707</c:v>
                </c:pt>
                <c:pt idx="10">
                  <c:v>0.145856705413905</c:v>
                </c:pt>
                <c:pt idx="11">
                  <c:v>5.8051627996780673E-2</c:v>
                </c:pt>
                <c:pt idx="12">
                  <c:v>8.5323780552935158E-2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70-1346-ADFB-B1A9B6FF66F3}"/>
            </c:ext>
          </c:extLst>
        </c:ser>
        <c:ser>
          <c:idx val="4"/>
          <c:order val="3"/>
          <c:tx>
            <c:strRef>
              <c:f>aNA!$F$91</c:f>
              <c:strCache>
                <c:ptCount val="1"/>
                <c:pt idx="0">
                  <c:v>finnish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aNA!$G$91:$S$91</c:f>
              <c:numCache>
                <c:formatCode>0.00</c:formatCode>
                <c:ptCount val="13"/>
                <c:pt idx="0">
                  <c:v>0.69923203882250284</c:v>
                </c:pt>
                <c:pt idx="1">
                  <c:v>0.7702464326228321</c:v>
                </c:pt>
                <c:pt idx="2">
                  <c:v>0.6445558631235998</c:v>
                </c:pt>
                <c:pt idx="3">
                  <c:v>0.58649572384632542</c:v>
                </c:pt>
                <c:pt idx="4">
                  <c:v>0.61942670009880163</c:v>
                </c:pt>
                <c:pt idx="5">
                  <c:v>0.57496718971856831</c:v>
                </c:pt>
                <c:pt idx="6">
                  <c:v>0.45173972538229307</c:v>
                </c:pt>
                <c:pt idx="7">
                  <c:v>0.60442082271182018</c:v>
                </c:pt>
                <c:pt idx="8">
                  <c:v>0.46704122795556202</c:v>
                </c:pt>
                <c:pt idx="9">
                  <c:v>0.40575739396205734</c:v>
                </c:pt>
                <c:pt idx="10">
                  <c:v>0.50662010639387212</c:v>
                </c:pt>
                <c:pt idx="11">
                  <c:v>0.5056558463656643</c:v>
                </c:pt>
                <c:pt idx="12">
                  <c:v>0.293046258801194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70-1346-ADFB-B1A9B6FF66F3}"/>
            </c:ext>
          </c:extLst>
        </c:ser>
        <c:ser>
          <c:idx val="5"/>
          <c:order val="4"/>
          <c:tx>
            <c:strRef>
              <c:f>aNA!$F$92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aNA!$G$92:$S$92</c:f>
              <c:numCache>
                <c:formatCode>0.00</c:formatCode>
                <c:ptCount val="13"/>
                <c:pt idx="0">
                  <c:v>0.4906432082357477</c:v>
                </c:pt>
                <c:pt idx="1">
                  <c:v>0.58242998483395014</c:v>
                </c:pt>
                <c:pt idx="2">
                  <c:v>0.56163803411263957</c:v>
                </c:pt>
                <c:pt idx="3">
                  <c:v>0.53732592698637904</c:v>
                </c:pt>
                <c:pt idx="4">
                  <c:v>0.49634982255162879</c:v>
                </c:pt>
                <c:pt idx="5">
                  <c:v>0.48477309945184577</c:v>
                </c:pt>
                <c:pt idx="6">
                  <c:v>0.52054232755737828</c:v>
                </c:pt>
                <c:pt idx="7">
                  <c:v>0.45144557412123421</c:v>
                </c:pt>
                <c:pt idx="8">
                  <c:v>0.48499300311803162</c:v>
                </c:pt>
                <c:pt idx="9">
                  <c:v>0.5805103083588149</c:v>
                </c:pt>
                <c:pt idx="10">
                  <c:v>0.43864751737563318</c:v>
                </c:pt>
                <c:pt idx="11">
                  <c:v>0.44852953975620863</c:v>
                </c:pt>
                <c:pt idx="12">
                  <c:v>0.31678440750398318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70-1346-ADFB-B1A9B6FF66F3}"/>
            </c:ext>
          </c:extLst>
        </c:ser>
        <c:ser>
          <c:idx val="6"/>
          <c:order val="5"/>
          <c:tx>
            <c:strRef>
              <c:f>aNA!$F$93</c:f>
              <c:strCache>
                <c:ptCount val="1"/>
                <c:pt idx="0">
                  <c:v>greek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aNA!$G$93:$S$93</c:f>
              <c:numCache>
                <c:formatCode>0.00</c:formatCode>
                <c:ptCount val="13"/>
                <c:pt idx="0">
                  <c:v>0.9723950655435537</c:v>
                </c:pt>
                <c:pt idx="1">
                  <c:v>0.97109180187587085</c:v>
                </c:pt>
                <c:pt idx="2">
                  <c:v>0.97696896684759649</c:v>
                </c:pt>
                <c:pt idx="3">
                  <c:v>0.99987421326329295</c:v>
                </c:pt>
                <c:pt idx="4">
                  <c:v>0.99964911036513726</c:v>
                </c:pt>
                <c:pt idx="5">
                  <c:v>0.9793183532520916</c:v>
                </c:pt>
                <c:pt idx="6">
                  <c:v>0.98773841616275071</c:v>
                </c:pt>
                <c:pt idx="7">
                  <c:v>0.97842249988905206</c:v>
                </c:pt>
                <c:pt idx="8">
                  <c:v>0.99762707803213335</c:v>
                </c:pt>
                <c:pt idx="9">
                  <c:v>0.98108426813455429</c:v>
                </c:pt>
                <c:pt idx="10">
                  <c:v>0.98382465504957084</c:v>
                </c:pt>
                <c:pt idx="11">
                  <c:v>0.97310284030642002</c:v>
                </c:pt>
                <c:pt idx="12">
                  <c:v>0.9283296511864535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70-1346-ADFB-B1A9B6FF66F3}"/>
            </c:ext>
          </c:extLst>
        </c:ser>
        <c:ser>
          <c:idx val="7"/>
          <c:order val="6"/>
          <c:tx>
            <c:strRef>
              <c:f>aNA!$F$94</c:f>
              <c:strCache>
                <c:ptCount val="1"/>
                <c:pt idx="0">
                  <c:v>hebrew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aNA!$G$94:$S$94</c:f>
              <c:numCache>
                <c:formatCode>0.00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0.99532799881126477</c:v>
                </c:pt>
                <c:pt idx="3">
                  <c:v>0.99437068229571501</c:v>
                </c:pt>
                <c:pt idx="4">
                  <c:v>1</c:v>
                </c:pt>
                <c:pt idx="5">
                  <c:v>0.9957547881500739</c:v>
                </c:pt>
                <c:pt idx="6">
                  <c:v>1</c:v>
                </c:pt>
                <c:pt idx="7">
                  <c:v>1</c:v>
                </c:pt>
                <c:pt idx="8">
                  <c:v>0.98352115428960107</c:v>
                </c:pt>
                <c:pt idx="9">
                  <c:v>1</c:v>
                </c:pt>
                <c:pt idx="10">
                  <c:v>0.99651003205220434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70-1346-ADFB-B1A9B6FF66F3}"/>
            </c:ext>
          </c:extLst>
        </c:ser>
        <c:ser>
          <c:idx val="8"/>
          <c:order val="7"/>
          <c:tx>
            <c:strRef>
              <c:f>aNA!$F$95</c:f>
              <c:strCache>
                <c:ptCount val="1"/>
                <c:pt idx="0">
                  <c:v>icelandic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aNA!$G$95:$S$95</c:f>
              <c:numCache>
                <c:formatCode>0.00</c:formatCode>
                <c:ptCount val="13"/>
                <c:pt idx="0">
                  <c:v>0.85607304384238236</c:v>
                </c:pt>
                <c:pt idx="1">
                  <c:v>0.75908904044801406</c:v>
                </c:pt>
                <c:pt idx="2">
                  <c:v>0.80909485421656024</c:v>
                </c:pt>
                <c:pt idx="3">
                  <c:v>0.70040906776086764</c:v>
                </c:pt>
                <c:pt idx="4">
                  <c:v>0.61712192249846298</c:v>
                </c:pt>
                <c:pt idx="5">
                  <c:v>0.69562778917111545</c:v>
                </c:pt>
                <c:pt idx="6">
                  <c:v>0.79207608369473403</c:v>
                </c:pt>
                <c:pt idx="7">
                  <c:v>0.71346862088334351</c:v>
                </c:pt>
                <c:pt idx="8">
                  <c:v>0.68950019615107694</c:v>
                </c:pt>
                <c:pt idx="9">
                  <c:v>0.66614982165083159</c:v>
                </c:pt>
                <c:pt idx="10">
                  <c:v>0.56317122852855028</c:v>
                </c:pt>
                <c:pt idx="11">
                  <c:v>0.58341647702644095</c:v>
                </c:pt>
                <c:pt idx="12">
                  <c:v>0.49274262162550841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70-1346-ADFB-B1A9B6FF66F3}"/>
            </c:ext>
          </c:extLst>
        </c:ser>
        <c:ser>
          <c:idx val="9"/>
          <c:order val="8"/>
          <c:tx>
            <c:strRef>
              <c:f>aNA!$F$96</c:f>
              <c:strCache>
                <c:ptCount val="1"/>
                <c:pt idx="0">
                  <c:v>russian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aNA!$G$96:$S$96</c:f>
              <c:numCache>
                <c:formatCode>0.00</c:formatCode>
                <c:ptCount val="13"/>
                <c:pt idx="0">
                  <c:v>0.99925621025578337</c:v>
                </c:pt>
                <c:pt idx="1">
                  <c:v>0.98684443571112546</c:v>
                </c:pt>
                <c:pt idx="2">
                  <c:v>0.99452842483471882</c:v>
                </c:pt>
                <c:pt idx="3">
                  <c:v>0.9872485992141099</c:v>
                </c:pt>
                <c:pt idx="4">
                  <c:v>0.98479008762260556</c:v>
                </c:pt>
                <c:pt idx="5">
                  <c:v>0.98415580937006952</c:v>
                </c:pt>
                <c:pt idx="6">
                  <c:v>0.90825330429769024</c:v>
                </c:pt>
                <c:pt idx="7">
                  <c:v>0.9872327037955787</c:v>
                </c:pt>
                <c:pt idx="8">
                  <c:v>0.98039438872393081</c:v>
                </c:pt>
                <c:pt idx="9">
                  <c:v>0.91505415860098649</c:v>
                </c:pt>
                <c:pt idx="10">
                  <c:v>0.98510498668277202</c:v>
                </c:pt>
                <c:pt idx="11">
                  <c:v>0.90951669872228835</c:v>
                </c:pt>
                <c:pt idx="12">
                  <c:v>0.99236338132666368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70-1346-ADFB-B1A9B6FF66F3}"/>
            </c:ext>
          </c:extLst>
        </c:ser>
        <c:ser>
          <c:idx val="10"/>
          <c:order val="9"/>
          <c:tx>
            <c:strRef>
              <c:f>aNA!$F$97</c:f>
              <c:strCache>
                <c:ptCount val="1"/>
                <c:pt idx="0">
                  <c:v>turkish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aNA!$G$97:$S$97</c:f>
              <c:numCache>
                <c:formatCode>0.00</c:formatCode>
                <c:ptCount val="13"/>
                <c:pt idx="0">
                  <c:v>0.83104391437785263</c:v>
                </c:pt>
                <c:pt idx="1">
                  <c:v>0.77476981828289293</c:v>
                </c:pt>
                <c:pt idx="2">
                  <c:v>0.75135421581808215</c:v>
                </c:pt>
                <c:pt idx="3">
                  <c:v>0.67050691525021167</c:v>
                </c:pt>
                <c:pt idx="4">
                  <c:v>0.70828412277325226</c:v>
                </c:pt>
                <c:pt idx="5">
                  <c:v>0.52969229019774933</c:v>
                </c:pt>
                <c:pt idx="6">
                  <c:v>0.57892736004924217</c:v>
                </c:pt>
                <c:pt idx="7">
                  <c:v>0.57063523531688365</c:v>
                </c:pt>
                <c:pt idx="8">
                  <c:v>0.62193936315123433</c:v>
                </c:pt>
                <c:pt idx="9">
                  <c:v>0.64524660129495626</c:v>
                </c:pt>
                <c:pt idx="10">
                  <c:v>0.60954016046982673</c:v>
                </c:pt>
                <c:pt idx="11">
                  <c:v>0.39897226096219846</c:v>
                </c:pt>
                <c:pt idx="12">
                  <c:v>0.82264353611149554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70-1346-ADFB-B1A9B6FF6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005344"/>
        <c:axId val="2135655616"/>
      </c:lineChart>
      <c:catAx>
        <c:axId val="21350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655616"/>
        <c:crosses val="autoZero"/>
        <c:auto val="1"/>
        <c:lblAlgn val="ctr"/>
        <c:lblOffset val="100"/>
        <c:noMultiLvlLbl val="0"/>
      </c:catAx>
      <c:valAx>
        <c:axId val="21356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00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882650</xdr:colOff>
      <xdr:row>100</xdr:row>
      <xdr:rowOff>63498</xdr:rowOff>
    </xdr:from>
    <xdr:to>
      <xdr:col>24</xdr:col>
      <xdr:colOff>884650</xdr:colOff>
      <xdr:row>108</xdr:row>
      <xdr:rowOff>255498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E0F10-1F44-87D6-9469-8DE2AB2D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863600</xdr:colOff>
      <xdr:row>86</xdr:row>
      <xdr:rowOff>184147</xdr:rowOff>
    </xdr:from>
    <xdr:to>
      <xdr:col>25</xdr:col>
      <xdr:colOff>146100</xdr:colOff>
      <xdr:row>95</xdr:row>
      <xdr:rowOff>355147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937A4-89BF-0CEC-A1FB-25B756279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T71" totalsRowShown="0">
  <autoFilter ref="A1:T71" xr:uid="{CFFBF5C2-C562-4A4E-B95B-091D1721BBE3}"/>
  <tableColumns count="20">
    <tableColumn id="1" xr3:uid="{B965C989-233C-BA49-B251-382897A2BABE}" name="lang">
      <calculatedColumnFormula>_xlfn.LET(_xlpm.c,$F2,_xlfn.TEXTBEFORE(_xlpm.c,"-"))</calculatedColumnFormula>
    </tableColumn>
    <tableColumn id="13" xr3:uid="{F3AD09D6-DEE4-004B-9353-31CAC865BD48}" name="1g" dataDxfId="17">
      <calculatedColumnFormula>_xlfn.LET(_xlpm.c,_xlfn.SINGLE(Table1[condition]),IF(RIGHT(_xlpm.c,2)="1g",1,0))</calculatedColumnFormula>
    </tableColumn>
    <tableColumn id="18" xr3:uid="{6A766CD9-CC08-B048-BDB2-C5B6C8FBAC9E}" name="xsk" dataDxfId="16">
      <calculatedColumnFormula>_xlfn.LET(_xlpm.c,_xlfn.SINGLE(Table1[condition]),_xlpm.k,CONCATENATE("*","-xsk","*"),IF(COUNTIF(_xlpm.c,_xlpm.k)&gt;0,1,0))</calculatedColumnFormula>
    </tableColumn>
    <tableColumn id="19" xr3:uid="{70CABA00-98B5-654F-8AF7-EF28D5D5FFAE}" name="sk" dataDxfId="15">
      <calculatedColumnFormula>_xlfn.LET(_xlpm.c,_xlfn.SINGLE(Table1[condition]),_xlpm.k,CONCATENATE("*","-sk","*"),IF(COUNTIF(_xlpm.c,_xlpm.k)&gt;0,1,0))</calculatedColumnFormula>
    </tableColumn>
    <tableColumn id="20" xr3:uid="{1055BC00-75EE-C949-95C7-47A8186D731F}" name="norm" dataDxfId="14">
      <calculatedColumnFormula>IF(AND(Table1[[#This Row],[xsk]]=1,Table1[[#This Row],[sk]]=1),0,1)</calculatedColumnFormula>
    </tableColumn>
    <tableColumn id="12" xr3:uid="{67CADDAA-63EE-5F45-989C-A240EB19AD7C}" name="condition"/>
    <tableColumn id="2" xr3:uid="{E49E0B59-37B0-284D-BE77-40B5319AB755}" name="3" dataDxfId="13"/>
    <tableColumn id="3" xr3:uid="{12F044D8-6B04-8146-9059-0DD6BE8C153F}" name="4" dataDxfId="12"/>
    <tableColumn id="4" xr3:uid="{28314014-34F8-EF4B-AF7B-FC88FF8A6DA9}" name="5" dataDxfId="11"/>
    <tableColumn id="5" xr3:uid="{0BD4A703-F893-784A-B65E-DB2D1E798103}" name="6" dataDxfId="10"/>
    <tableColumn id="6" xr3:uid="{50D9F421-0114-CF41-9767-B830E35DC34D}" name="7" dataDxfId="9"/>
    <tableColumn id="7" xr3:uid="{E0DD0445-0346-1E47-9A2C-83486C4A03C4}" name="8" dataDxfId="8"/>
    <tableColumn id="8" xr3:uid="{5556115A-B62B-C140-944D-BADBB061EBB5}" name="9" dataDxfId="7"/>
    <tableColumn id="9" xr3:uid="{1B92E407-F94E-544F-B76D-B160EB3BC0AB}" name="10" dataDxfId="6"/>
    <tableColumn id="15" xr3:uid="{CA9D90BA-009C-464D-BE92-0011909FDA2B}" name="11" dataDxfId="5"/>
    <tableColumn id="10" xr3:uid="{6871B4E2-64FC-EF4F-91D7-DFBFD9EFB3C2}" name="12" dataDxfId="4"/>
    <tableColumn id="16" xr3:uid="{940501F9-5D71-6942-A362-A269C3BC407F}" name="13" dataDxfId="3"/>
    <tableColumn id="17" xr3:uid="{50A93E03-F3FA-1141-B60E-E238694C2C39}" name="14" dataDxfId="2"/>
    <tableColumn id="11" xr3:uid="{059EBDD8-5269-D041-AFDD-56AB88BB8F27}" name="15" dataDxfId="1"/>
    <tableColumn id="14" xr3:uid="{C3D92A6B-91A7-7248-A813-2D0B01CBD1F8}" name="average" dataDxfId="0">
      <calculatedColumnFormula>_xlfn.LET(_xlpm.d,$G2:$S2,AVERAGE(_xlpm.d))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T103"/>
  <sheetViews>
    <sheetView tabSelected="1" workbookViewId="0">
      <pane xSplit="9080" ySplit="3520" topLeftCell="K82" activePane="bottomRight"/>
      <selection sqref="A1:A1048576"/>
      <selection pane="topRight" activeCell="F1" sqref="F1:F1048576"/>
      <selection pane="bottomLeft" activeCell="D96" sqref="D96"/>
      <selection pane="bottomRight" activeCell="AA84" sqref="AA84"/>
    </sheetView>
  </sheetViews>
  <sheetFormatPr baseColWidth="10" defaultRowHeight="30" customHeight="1"/>
  <cols>
    <col min="1" max="1" width="9.25" customWidth="1"/>
    <col min="2" max="5" width="7.5" customWidth="1"/>
    <col min="6" max="6" width="14.25" customWidth="1"/>
    <col min="7" max="20" width="5.625" customWidth="1"/>
  </cols>
  <sheetData>
    <row r="1" spans="1:20" ht="30" customHeight="1">
      <c r="A1" t="s">
        <v>36</v>
      </c>
      <c r="B1" t="s">
        <v>43</v>
      </c>
      <c r="C1" t="s">
        <v>50</v>
      </c>
      <c r="D1" t="s">
        <v>51</v>
      </c>
      <c r="E1" t="s">
        <v>52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47</v>
      </c>
      <c r="P1" t="s">
        <v>9</v>
      </c>
      <c r="Q1" t="s">
        <v>48</v>
      </c>
      <c r="R1" t="s">
        <v>49</v>
      </c>
      <c r="S1" t="s">
        <v>10</v>
      </c>
      <c r="T1" t="s">
        <v>46</v>
      </c>
    </row>
    <row r="2" spans="1:20" ht="30" customHeight="1">
      <c r="A2" t="str">
        <f>_xlfn.LET(_xlpm.c,$F2,_xlfn.TEXTBEFORE(_xlpm.c,"-"))</f>
        <v>arabic</v>
      </c>
      <c r="B2">
        <f>_xlfn.LET(_xlpm.c,_xlfn.SINGLE(Table1[condition]),IF(RIGHT(_xlpm.c,2)="1g",1,0))</f>
        <v>1</v>
      </c>
      <c r="C2">
        <f>_xlfn.LET(_xlpm.c,_xlfn.SINGLE(Table1[condition]),_xlpm.k,CONCATENATE("*","-xsk","*"),IF(COUNTIF(_xlpm.c,_xlpm.k)&gt;0,1,0))</f>
        <v>0</v>
      </c>
      <c r="D2">
        <f>_xlfn.LET(_xlpm.c,_xlfn.SINGLE(Table1[condition]),_xlpm.k,CONCATENATE("*","-sk","*"),IF(COUNTIF(_xlpm.c,_xlpm.k)&gt;0,1,0))</f>
        <v>0</v>
      </c>
      <c r="E2">
        <f>IF(AND(Table1[[#This Row],[xsk]]=1,Table1[[#This Row],[sk]]=1),0,1)</f>
        <v>1</v>
      </c>
      <c r="F2" t="s">
        <v>11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 t="shared" ref="T2:T71" si="0">_xlfn.LET(_xlpm.d,$G2:$S2,AVERAGE(_xlpm.d))</f>
        <v>1</v>
      </c>
    </row>
    <row r="3" spans="1:20" ht="30" customHeight="1">
      <c r="A3" t="str">
        <f t="shared" ref="A3:A56" si="1">_xlfn.LET(_xlpm.c,$F3,_xlfn.TEXTBEFORE(_xlpm.c,"-"))</f>
        <v>arabic</v>
      </c>
      <c r="B3">
        <f>_xlfn.LET(_xlpm.c,_xlfn.SINGLE(Table1[condition]),IF(RIGHT(_xlpm.c,2)="1g",1,0))</f>
        <v>0</v>
      </c>
      <c r="C3">
        <f>_xlfn.LET(_xlpm.c,_xlfn.SINGLE(Table1[condition]),_xlpm.k,CONCATENATE("*","-xsk","*"),IF(COUNTIF(_xlpm.c,_xlpm.k)&gt;0,1,0))</f>
        <v>0</v>
      </c>
      <c r="D3">
        <f>_xlfn.LET(_xlpm.c,_xlfn.SINGLE(Table1[condition]),_xlpm.k,CONCATENATE("*","-sk","*"),IF(COUNTIF(_xlpm.c,_xlpm.k)&gt;0,1,0))</f>
        <v>0</v>
      </c>
      <c r="E3">
        <f>IF(AND(Table1[[#This Row],[xsk]]=1,Table1[[#This Row],[sk]]=1),0,1)</f>
        <v>1</v>
      </c>
      <c r="F3" t="s">
        <v>12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56" si="2">_xlfn.LET(_xlpm.d,$G3:$S3,AVERAGE(_xlpm.d))</f>
        <v>1</v>
      </c>
    </row>
    <row r="4" spans="1:20" ht="30" customHeight="1">
      <c r="A4" t="str">
        <f t="shared" ref="A4:A39" si="3">_xlfn.LET(_xlpm.c,$F4,_xlfn.TEXTBEFORE(_xlpm.c,"-"))</f>
        <v>arabic</v>
      </c>
      <c r="B4">
        <f>_xlfn.LET(_xlpm.c,_xlfn.SINGLE(Table1[condition]),IF(RIGHT(_xlpm.c,2)="1g",1,0))</f>
        <v>0</v>
      </c>
      <c r="C4">
        <f>_xlfn.LET(_xlpm.c,_xlfn.SINGLE(Table1[condition]),_xlpm.k,CONCATENATE("*","-xsk","*"),IF(COUNTIF(_xlpm.c,_xlpm.k)&gt;0,1,0))</f>
        <v>0</v>
      </c>
      <c r="D4">
        <f>_xlfn.LET(_xlpm.c,_xlfn.SINGLE(Table1[condition]),_xlpm.k,CONCATENATE("*","-sk","*"),IF(COUNTIF(_xlpm.c,_xlpm.k)&gt;0,1,0))</f>
        <v>0</v>
      </c>
      <c r="E4">
        <f>IF(AND(Table1[[#This Row],[xsk]]=1,Table1[[#This Row],[sk]]=1),0,1)</f>
        <v>1</v>
      </c>
      <c r="F4" t="s">
        <v>13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ref="T4:T39" si="4">_xlfn.LET(_xlpm.d,$G4:$S4,AVERAGE(_xlpm.d))</f>
        <v>1</v>
      </c>
    </row>
    <row r="5" spans="1:20" ht="30" customHeight="1">
      <c r="A5" t="str">
        <f t="shared" si="3"/>
        <v>arabic</v>
      </c>
      <c r="B5">
        <f>_xlfn.LET(_xlpm.c,_xlfn.SINGLE(Table1[condition]),IF(RIGHT(_xlpm.c,2)="1g",1,0))</f>
        <v>0</v>
      </c>
      <c r="C5">
        <f>_xlfn.LET(_xlpm.c,_xlfn.SINGLE(Table1[condition]),_xlpm.k,CONCATENATE("*","-xsk","*"),IF(COUNTIF(_xlpm.c,_xlpm.k)&gt;0,1,0))</f>
        <v>0</v>
      </c>
      <c r="D5">
        <f>_xlfn.LET(_xlpm.c,_xlfn.SINGLE(Table1[condition]),_xlpm.k,CONCATENATE("*","-sk","*"),IF(COUNTIF(_xlpm.c,_xlpm.k)&gt;0,1,0))</f>
        <v>1</v>
      </c>
      <c r="E5">
        <f>IF(AND(Table1[[#This Row],[xsk]]=1,Table1[[#This Row],[sk]]=1),0,1)</f>
        <v>1</v>
      </c>
      <c r="F5" t="s">
        <v>14</v>
      </c>
      <c r="G5" s="1">
        <v>1</v>
      </c>
      <c r="H5" s="1">
        <v>1</v>
      </c>
      <c r="I5" s="1">
        <v>1</v>
      </c>
      <c r="J5" s="1">
        <v>0.99898681213298401</v>
      </c>
      <c r="K5" s="1">
        <v>0.99814807405175199</v>
      </c>
      <c r="L5" s="1">
        <v>1</v>
      </c>
      <c r="M5" s="1">
        <v>1</v>
      </c>
      <c r="N5" s="1">
        <v>1</v>
      </c>
      <c r="O5" s="1">
        <v>0.99857138192143702</v>
      </c>
      <c r="P5" s="1">
        <v>0.99444244267723003</v>
      </c>
      <c r="Q5" s="1">
        <v>1</v>
      </c>
      <c r="R5" s="1">
        <v>1</v>
      </c>
      <c r="S5" s="1">
        <v>0.99919484093134503</v>
      </c>
      <c r="T5" s="1">
        <f t="shared" si="4"/>
        <v>0.99918027320882685</v>
      </c>
    </row>
    <row r="6" spans="1:20" ht="30" customHeight="1">
      <c r="A6" t="str">
        <f t="shared" si="3"/>
        <v>arabic</v>
      </c>
      <c r="B6">
        <f>_xlfn.LET(_xlpm.c,_xlfn.SINGLE(Table1[condition]),IF(RIGHT(_xlpm.c,2)="1g",1,0))</f>
        <v>0</v>
      </c>
      <c r="C6">
        <f>_xlfn.LET(_xlpm.c,_xlfn.SINGLE(Table1[condition]),_xlpm.k,CONCATENATE("*","-xsk","*"),IF(COUNTIF(_xlpm.c,_xlpm.k)&gt;0,1,0))</f>
        <v>0</v>
      </c>
      <c r="D6">
        <f>_xlfn.LET(_xlpm.c,_xlfn.SINGLE(Table1[condition]),_xlpm.k,CONCATENATE("*","-sk","*"),IF(COUNTIF(_xlpm.c,_xlpm.k)&gt;0,1,0))</f>
        <v>1</v>
      </c>
      <c r="E6">
        <f>IF(AND(Table1[[#This Row],[xsk]]=1,Table1[[#This Row],[sk]]=1),0,1)</f>
        <v>1</v>
      </c>
      <c r="F6" t="s">
        <v>15</v>
      </c>
      <c r="G6" s="1">
        <v>0.99867721164529399</v>
      </c>
      <c r="H6" s="1">
        <v>0.99921935226342196</v>
      </c>
      <c r="I6" s="1">
        <v>0.98803908598560497</v>
      </c>
      <c r="J6" s="1">
        <v>0.998188280927643</v>
      </c>
      <c r="K6" s="1">
        <v>0.99831644264748098</v>
      </c>
      <c r="L6" s="1">
        <v>1</v>
      </c>
      <c r="M6" s="1">
        <v>1</v>
      </c>
      <c r="N6" s="1">
        <v>0.99903474453804297</v>
      </c>
      <c r="O6" s="1">
        <v>0.998862339645747</v>
      </c>
      <c r="P6" s="1">
        <v>1</v>
      </c>
      <c r="Q6" s="1">
        <v>1</v>
      </c>
      <c r="R6" s="1">
        <v>0.99780698941936996</v>
      </c>
      <c r="S6" s="1">
        <v>1</v>
      </c>
      <c r="T6" s="1">
        <f t="shared" si="4"/>
        <v>0.99831880362096959</v>
      </c>
    </row>
    <row r="7" spans="1:20" ht="30" customHeight="1">
      <c r="A7" t="str">
        <f t="shared" si="3"/>
        <v>arabic</v>
      </c>
      <c r="B7">
        <f>_xlfn.LET(_xlpm.c,_xlfn.SINGLE(Table1[condition]),IF(RIGHT(_xlpm.c,2)="1g",1,0))</f>
        <v>0</v>
      </c>
      <c r="C7">
        <f>_xlfn.LET(_xlpm.c,_xlfn.SINGLE(Table1[condition]),_xlpm.k,CONCATENATE("*","-xsk","*"),IF(COUNTIF(_xlpm.c,_xlpm.k)&gt;0,1,0))</f>
        <v>1</v>
      </c>
      <c r="D7">
        <f>_xlfn.LET(_xlpm.c,_xlfn.SINGLE(Table1[condition]),_xlpm.k,CONCATENATE("*","-sk","*"),IF(COUNTIF(_xlpm.c,_xlpm.k)&gt;0,1,0))</f>
        <v>0</v>
      </c>
      <c r="E7">
        <f>IF(AND(Table1[[#This Row],[xsk]]=1,Table1[[#This Row],[sk]]=1),0,1)</f>
        <v>1</v>
      </c>
      <c r="F7" t="s">
        <v>53</v>
      </c>
      <c r="G7" s="1">
        <v>0.99933154452976503</v>
      </c>
      <c r="H7" s="1">
        <v>1</v>
      </c>
      <c r="I7" s="1">
        <v>1</v>
      </c>
      <c r="J7" s="1">
        <v>1</v>
      </c>
      <c r="K7" s="1">
        <v>1</v>
      </c>
      <c r="L7" s="1">
        <v>0.97013715802525602</v>
      </c>
      <c r="M7" s="1">
        <v>0.99755760911090896</v>
      </c>
      <c r="N7" s="1">
        <v>0.82782226940599202</v>
      </c>
      <c r="O7" s="1">
        <v>1</v>
      </c>
      <c r="P7" s="1">
        <v>1</v>
      </c>
      <c r="Q7" s="1">
        <v>1</v>
      </c>
      <c r="R7" s="1">
        <v>1</v>
      </c>
      <c r="S7" s="1">
        <v>0.76075032450684998</v>
      </c>
      <c r="T7" s="1">
        <f t="shared" si="4"/>
        <v>0.96581530042913621</v>
      </c>
    </row>
    <row r="8" spans="1:20" ht="30" customHeight="1">
      <c r="A8" t="str">
        <f t="shared" si="3"/>
        <v>arabic</v>
      </c>
      <c r="B8">
        <f>_xlfn.LET(_xlpm.c,_xlfn.SINGLE(Table1[condition]),IF(RIGHT(_xlpm.c,2)="1g",1,0))</f>
        <v>0</v>
      </c>
      <c r="C8">
        <f>_xlfn.LET(_xlpm.c,_xlfn.SINGLE(Table1[condition]),_xlpm.k,CONCATENATE("*","-xsk","*"),IF(COUNTIF(_xlpm.c,_xlpm.k)&gt;0,1,0))</f>
        <v>1</v>
      </c>
      <c r="D8">
        <f>_xlfn.LET(_xlpm.c,_xlfn.SINGLE(Table1[condition]),_xlpm.k,CONCATENATE("*","-sk","*"),IF(COUNTIF(_xlpm.c,_xlpm.k)&gt;0,1,0))</f>
        <v>0</v>
      </c>
      <c r="E8">
        <f>IF(AND(Table1[[#This Row],[xsk]]=1,Table1[[#This Row],[sk]]=1),0,1)</f>
        <v>1</v>
      </c>
      <c r="F8" t="s">
        <v>54</v>
      </c>
      <c r="G8" s="1">
        <v>0.965854298130713</v>
      </c>
      <c r="H8" s="1">
        <v>1</v>
      </c>
      <c r="I8" s="1">
        <v>0.99331966666168703</v>
      </c>
      <c r="J8" s="1">
        <v>0.98331012584636401</v>
      </c>
      <c r="K8" s="1">
        <v>0.94994696021784897</v>
      </c>
      <c r="L8" s="1">
        <v>0.99699692477730695</v>
      </c>
      <c r="M8" s="1">
        <v>0.98620736757540395</v>
      </c>
      <c r="N8" s="1">
        <v>0.997668963892963</v>
      </c>
      <c r="O8" s="1">
        <v>1</v>
      </c>
      <c r="P8" s="1">
        <v>0.99897118797091899</v>
      </c>
      <c r="Q8" s="1">
        <v>0.99763589857232304</v>
      </c>
      <c r="R8" s="1">
        <v>1</v>
      </c>
      <c r="S8" s="1">
        <v>0.71869188320782595</v>
      </c>
      <c r="T8" s="1">
        <f t="shared" si="4"/>
        <v>0.96835409821948903</v>
      </c>
    </row>
    <row r="9" spans="1:20" ht="30" customHeight="1">
      <c r="A9" t="str">
        <f t="shared" si="3"/>
        <v>english</v>
      </c>
      <c r="B9">
        <f>_xlfn.LET(_xlpm.c,_xlfn.SINGLE(Table1[condition]),IF(RIGHT(_xlpm.c,2)="1g",1,0))</f>
        <v>1</v>
      </c>
      <c r="C9">
        <f>_xlfn.LET(_xlpm.c,_xlfn.SINGLE(Table1[condition]),_xlpm.k,CONCATENATE("*","-xsk","*"),IF(COUNTIF(_xlpm.c,_xlpm.k)&gt;0,1,0))</f>
        <v>0</v>
      </c>
      <c r="D9">
        <f>_xlfn.LET(_xlpm.c,_xlfn.SINGLE(Table1[condition]),_xlpm.k,CONCATENATE("*","-sk","*"),IF(COUNTIF(_xlpm.c,_xlpm.k)&gt;0,1,0))</f>
        <v>0</v>
      </c>
      <c r="E9">
        <f>IF(AND(Table1[[#This Row],[xsk]]=1,Table1[[#This Row],[sk]]=1),0,1)</f>
        <v>1</v>
      </c>
      <c r="F9" t="s">
        <v>16</v>
      </c>
      <c r="G9" s="1">
        <v>0.94563888430947196</v>
      </c>
      <c r="H9" s="1">
        <v>0.56235214316392601</v>
      </c>
      <c r="I9" s="1">
        <v>0.42959471977909702</v>
      </c>
      <c r="J9" s="1">
        <v>0.56401960293519104</v>
      </c>
      <c r="K9" s="1">
        <v>0.33721619771622002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f t="shared" si="4"/>
        <v>0.21837088830030046</v>
      </c>
    </row>
    <row r="10" spans="1:20" ht="30" customHeight="1">
      <c r="A10" t="str">
        <f t="shared" si="3"/>
        <v>english</v>
      </c>
      <c r="B10">
        <f>_xlfn.LET(_xlpm.c,_xlfn.SINGLE(Table1[condition]),IF(RIGHT(_xlpm.c,2)="1g",1,0))</f>
        <v>0</v>
      </c>
      <c r="C10">
        <f>_xlfn.LET(_xlpm.c,_xlfn.SINGLE(Table1[condition]),_xlpm.k,CONCATENATE("*","-xsk","*"),IF(COUNTIF(_xlpm.c,_xlpm.k)&gt;0,1,0))</f>
        <v>0</v>
      </c>
      <c r="D10">
        <f>_xlfn.LET(_xlpm.c,_xlfn.SINGLE(Table1[condition]),_xlpm.k,CONCATENATE("*","-sk","*"),IF(COUNTIF(_xlpm.c,_xlpm.k)&gt;0,1,0))</f>
        <v>0</v>
      </c>
      <c r="E10">
        <f>IF(AND(Table1[[#This Row],[xsk]]=1,Table1[[#This Row],[sk]]=1),0,1)</f>
        <v>1</v>
      </c>
      <c r="F10" t="s">
        <v>17</v>
      </c>
      <c r="G10" s="1">
        <v>0</v>
      </c>
      <c r="H10" s="1">
        <v>0</v>
      </c>
      <c r="I10" s="1">
        <v>0</v>
      </c>
      <c r="J10" s="1">
        <v>0.23353590470789601</v>
      </c>
      <c r="K10" s="1">
        <v>0.23405137605005</v>
      </c>
      <c r="L10" s="1">
        <v>0</v>
      </c>
      <c r="M10" s="1">
        <v>0</v>
      </c>
      <c r="N10" s="1">
        <v>0.29683530645386402</v>
      </c>
      <c r="O10" s="1">
        <v>0</v>
      </c>
      <c r="P10" s="1">
        <v>0.29106592777330398</v>
      </c>
      <c r="Q10" s="1">
        <v>0</v>
      </c>
      <c r="R10" s="1">
        <v>0</v>
      </c>
      <c r="S10" s="1">
        <v>0</v>
      </c>
      <c r="T10" s="1">
        <f t="shared" si="4"/>
        <v>8.1191424229624165E-2</v>
      </c>
    </row>
    <row r="11" spans="1:20" ht="30" customHeight="1">
      <c r="A11" t="str">
        <f t="shared" si="3"/>
        <v>english</v>
      </c>
      <c r="B11">
        <f>_xlfn.LET(_xlpm.c,_xlfn.SINGLE(Table1[condition]),IF(RIGHT(_xlpm.c,2)="1g",1,0))</f>
        <v>0</v>
      </c>
      <c r="C11">
        <f>_xlfn.LET(_xlpm.c,_xlfn.SINGLE(Table1[condition]),_xlpm.k,CONCATENATE("*","-xsk","*"),IF(COUNTIF(_xlpm.c,_xlpm.k)&gt;0,1,0))</f>
        <v>0</v>
      </c>
      <c r="D11">
        <f>_xlfn.LET(_xlpm.c,_xlfn.SINGLE(Table1[condition]),_xlpm.k,CONCATENATE("*","-sk","*"),IF(COUNTIF(_xlpm.c,_xlpm.k)&gt;0,1,0))</f>
        <v>0</v>
      </c>
      <c r="E11">
        <f>IF(AND(Table1[[#This Row],[xsk]]=1,Table1[[#This Row],[sk]]=1),0,1)</f>
        <v>1</v>
      </c>
      <c r="F11" t="s">
        <v>18</v>
      </c>
      <c r="G11" s="1">
        <v>0.318546258812893</v>
      </c>
      <c r="H11" s="1">
        <v>0</v>
      </c>
      <c r="I11" s="1">
        <v>0</v>
      </c>
      <c r="J11" s="1">
        <v>0.27837200121980599</v>
      </c>
      <c r="K11" s="1">
        <v>0</v>
      </c>
      <c r="L11" s="1">
        <v>0.33260476056482802</v>
      </c>
      <c r="M11" s="1">
        <v>0.50381047412122704</v>
      </c>
      <c r="N11" s="1">
        <v>0</v>
      </c>
      <c r="O11" s="1">
        <v>0</v>
      </c>
      <c r="P11" s="1">
        <v>0</v>
      </c>
      <c r="Q11" s="1">
        <v>0.36272324689393198</v>
      </c>
      <c r="R11" s="1">
        <v>0</v>
      </c>
      <c r="S11" s="1">
        <v>0</v>
      </c>
      <c r="T11" s="1">
        <f t="shared" si="4"/>
        <v>0.13815821089328353</v>
      </c>
    </row>
    <row r="12" spans="1:20" ht="30" customHeight="1">
      <c r="A12" t="str">
        <f t="shared" si="3"/>
        <v>english</v>
      </c>
      <c r="B12">
        <f>_xlfn.LET(_xlpm.c,_xlfn.SINGLE(Table1[condition]),IF(RIGHT(_xlpm.c,2)="1g",1,0))</f>
        <v>0</v>
      </c>
      <c r="C12">
        <f>_xlfn.LET(_xlpm.c,_xlfn.SINGLE(Table1[condition]),_xlpm.k,CONCATENATE("*","-xsk","*"),IF(COUNTIF(_xlpm.c,_xlpm.k)&gt;0,1,0))</f>
        <v>0</v>
      </c>
      <c r="D12">
        <f>_xlfn.LET(_xlpm.c,_xlfn.SINGLE(Table1[condition]),_xlpm.k,CONCATENATE("*","-sk","*"),IF(COUNTIF(_xlpm.c,_xlpm.k)&gt;0,1,0))</f>
        <v>1</v>
      </c>
      <c r="E12">
        <f>IF(AND(Table1[[#This Row],[xsk]]=1,Table1[[#This Row],[sk]]=1),0,1)</f>
        <v>1</v>
      </c>
      <c r="F12" t="s">
        <v>19</v>
      </c>
      <c r="G12" s="1">
        <v>0.51753137758833401</v>
      </c>
      <c r="H12" s="1">
        <v>0.43854751868362302</v>
      </c>
      <c r="I12" s="1">
        <v>0</v>
      </c>
      <c r="J12" s="1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/>
      <c r="T12" s="1">
        <f t="shared" si="4"/>
        <v>8.6916263297450641E-2</v>
      </c>
    </row>
    <row r="13" spans="1:20" ht="30" customHeight="1">
      <c r="A13" t="str">
        <f t="shared" si="3"/>
        <v>english</v>
      </c>
      <c r="B13">
        <f>_xlfn.LET(_xlpm.c,_xlfn.SINGLE(Table1[condition]),IF(RIGHT(_xlpm.c,2)="1g",1,0))</f>
        <v>0</v>
      </c>
      <c r="C13">
        <f>_xlfn.LET(_xlpm.c,_xlfn.SINGLE(Table1[condition]),_xlpm.k,CONCATENATE("*","-xsk","*"),IF(COUNTIF(_xlpm.c,_xlpm.k)&gt;0,1,0))</f>
        <v>0</v>
      </c>
      <c r="D13">
        <f>_xlfn.LET(_xlpm.c,_xlfn.SINGLE(Table1[condition]),_xlpm.k,CONCATENATE("*","-sk","*"),IF(COUNTIF(_xlpm.c,_xlpm.k)&gt;0,1,0))</f>
        <v>1</v>
      </c>
      <c r="E13">
        <f>IF(AND(Table1[[#This Row],[xsk]]=1,Table1[[#This Row],[sk]]=1),0,1)</f>
        <v>1</v>
      </c>
      <c r="F13" t="s">
        <v>20</v>
      </c>
      <c r="G13" s="1">
        <v>0.47595991583562802</v>
      </c>
      <c r="H13" s="1">
        <v>0.45050930346232498</v>
      </c>
      <c r="I13" s="1">
        <v>0.39743449753461801</v>
      </c>
      <c r="J13" s="1">
        <v>0.40827532897782398</v>
      </c>
      <c r="K13" s="1">
        <v>0</v>
      </c>
      <c r="L13" s="1">
        <v>0</v>
      </c>
      <c r="M13" s="1">
        <v>0.227234311924291</v>
      </c>
      <c r="N13" s="1">
        <v>0</v>
      </c>
      <c r="O13" s="1">
        <v>0.24515112840657799</v>
      </c>
      <c r="P13" s="1">
        <v>0</v>
      </c>
      <c r="Q13" s="1">
        <v>0</v>
      </c>
      <c r="R13" s="1">
        <v>0</v>
      </c>
      <c r="S13" s="1">
        <v>0</v>
      </c>
      <c r="T13" s="1">
        <f t="shared" si="4"/>
        <v>0.16958188354932802</v>
      </c>
    </row>
    <row r="14" spans="1:20" ht="30" customHeight="1">
      <c r="A14" t="str">
        <f t="shared" si="3"/>
        <v>english</v>
      </c>
      <c r="B14">
        <f>_xlfn.LET(_xlpm.c,_xlfn.SINGLE(Table1[condition]),IF(RIGHT(_xlpm.c,2)="1g",1,0))</f>
        <v>0</v>
      </c>
      <c r="C14">
        <f>_xlfn.LET(_xlpm.c,_xlfn.SINGLE(Table1[condition]),_xlpm.k,CONCATENATE("*","-xsk","*"),IF(COUNTIF(_xlpm.c,_xlpm.k)&gt;0,1,0))</f>
        <v>1</v>
      </c>
      <c r="D14">
        <f>_xlfn.LET(_xlpm.c,_xlfn.SINGLE(Table1[condition]),_xlpm.k,CONCATENATE("*","-sk","*"),IF(COUNTIF(_xlpm.c,_xlpm.k)&gt;0,1,0))</f>
        <v>0</v>
      </c>
      <c r="E14">
        <f>IF(AND(Table1[[#This Row],[xsk]]=1,Table1[[#This Row],[sk]]=1),0,1)</f>
        <v>1</v>
      </c>
      <c r="F14" t="s">
        <v>55</v>
      </c>
      <c r="G14" s="1">
        <v>0</v>
      </c>
      <c r="H14" s="1">
        <v>0.470607813499415</v>
      </c>
      <c r="I14" s="1">
        <v>0.35072767502694302</v>
      </c>
      <c r="J14" s="1">
        <v>0.38926585750209403</v>
      </c>
      <c r="K14" s="1">
        <v>0.38030648191859201</v>
      </c>
      <c r="L14" s="1">
        <v>0.38663770436718398</v>
      </c>
      <c r="M14" s="1">
        <v>0.430552206561298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f t="shared" si="4"/>
        <v>0.18523828760580968</v>
      </c>
    </row>
    <row r="15" spans="1:20" ht="30" customHeight="1">
      <c r="A15" t="str">
        <f t="shared" si="3"/>
        <v>english</v>
      </c>
      <c r="B15">
        <f>_xlfn.LET(_xlpm.c,_xlfn.SINGLE(Table1[condition]),IF(RIGHT(_xlpm.c,2)="1g",1,0))</f>
        <v>0</v>
      </c>
      <c r="C15">
        <f>_xlfn.LET(_xlpm.c,_xlfn.SINGLE(Table1[condition]),_xlpm.k,CONCATENATE("*","-xsk","*"),IF(COUNTIF(_xlpm.c,_xlpm.k)&gt;0,1,0))</f>
        <v>1</v>
      </c>
      <c r="D15">
        <f>_xlfn.LET(_xlpm.c,_xlfn.SINGLE(Table1[condition]),_xlpm.k,CONCATENATE("*","-sk","*"),IF(COUNTIF(_xlpm.c,_xlpm.k)&gt;0,1,0))</f>
        <v>0</v>
      </c>
      <c r="E15">
        <f>IF(AND(Table1[[#This Row],[xsk]]=1,Table1[[#This Row],[sk]]=1),0,1)</f>
        <v>1</v>
      </c>
      <c r="F15" t="s">
        <v>56</v>
      </c>
      <c r="G15" s="1">
        <v>0.38183136349596097</v>
      </c>
      <c r="H15" s="1">
        <v>0.327580690015776</v>
      </c>
      <c r="I15" s="1">
        <v>0</v>
      </c>
      <c r="J15" s="1">
        <v>0.38469014508659199</v>
      </c>
      <c r="K15" s="1">
        <v>0.38844378652377098</v>
      </c>
      <c r="L15" s="1">
        <v>0.383776211018241</v>
      </c>
      <c r="M15" s="1">
        <v>0.42542127027564602</v>
      </c>
      <c r="N15" s="1">
        <v>0</v>
      </c>
      <c r="O15" s="1">
        <v>0.298027064848636</v>
      </c>
      <c r="P15" s="1">
        <v>0.29472497972697098</v>
      </c>
      <c r="Q15" s="1">
        <v>0.29644331416883302</v>
      </c>
      <c r="R15" s="1">
        <v>0.26269029325875198</v>
      </c>
      <c r="S15" s="1">
        <v>0</v>
      </c>
      <c r="T15" s="1">
        <f t="shared" si="4"/>
        <v>0.26489454757070613</v>
      </c>
    </row>
    <row r="16" spans="1:20" ht="30" customHeight="1">
      <c r="A16" t="str">
        <f t="shared" si="3"/>
        <v>french</v>
      </c>
      <c r="B16">
        <f>_xlfn.LET(_xlpm.c,_xlfn.SINGLE(Table1[condition]),IF(RIGHT(_xlpm.c,2)="1g",1,0))</f>
        <v>1</v>
      </c>
      <c r="C16">
        <f>_xlfn.LET(_xlpm.c,_xlfn.SINGLE(Table1[condition]),_xlpm.k,CONCATENATE("*","-xsk","*"),IF(COUNTIF(_xlpm.c,_xlpm.k)&gt;0,1,0))</f>
        <v>0</v>
      </c>
      <c r="D16">
        <f>_xlfn.LET(_xlpm.c,_xlfn.SINGLE(Table1[condition]),_xlpm.k,CONCATENATE("*","-sk","*"),IF(COUNTIF(_xlpm.c,_xlpm.k)&gt;0,1,0))</f>
        <v>0</v>
      </c>
      <c r="E16">
        <f>IF(AND(Table1[[#This Row],[xsk]]=1,Table1[[#This Row],[sk]]=1),0,1)</f>
        <v>1</v>
      </c>
      <c r="F16" t="s">
        <v>21</v>
      </c>
      <c r="G16" s="1">
        <v>0.86287568995827102</v>
      </c>
      <c r="H16" s="1">
        <v>0.91530295387352401</v>
      </c>
      <c r="I16" s="1">
        <v>0.67806614677007004</v>
      </c>
      <c r="J16" s="1">
        <v>0.50602007237596103</v>
      </c>
      <c r="K16" s="1">
        <v>0</v>
      </c>
      <c r="L16" s="1">
        <v>0.27450162332081302</v>
      </c>
      <c r="M16" s="1">
        <v>0.22584520885217499</v>
      </c>
      <c r="N16" s="1">
        <v>0.241594353737623</v>
      </c>
      <c r="O16" s="1">
        <v>0.60890711038865797</v>
      </c>
      <c r="P16" s="1">
        <v>0.36683981087921902</v>
      </c>
      <c r="Q16" s="1">
        <v>0.23030679204111401</v>
      </c>
      <c r="R16" s="1">
        <v>0</v>
      </c>
      <c r="S16" s="1">
        <v>0</v>
      </c>
      <c r="T16" s="1">
        <f t="shared" si="4"/>
        <v>0.37771228939980223</v>
      </c>
    </row>
    <row r="17" spans="1:20" ht="30" customHeight="1">
      <c r="A17" t="str">
        <f t="shared" si="3"/>
        <v>french</v>
      </c>
      <c r="B17">
        <f>_xlfn.LET(_xlpm.c,_xlfn.SINGLE(Table1[condition]),IF(RIGHT(_xlpm.c,2)="1g",1,0))</f>
        <v>0</v>
      </c>
      <c r="C17">
        <f>_xlfn.LET(_xlpm.c,_xlfn.SINGLE(Table1[condition]),_xlpm.k,CONCATENATE("*","-xsk","*"),IF(COUNTIF(_xlpm.c,_xlpm.k)&gt;0,1,0))</f>
        <v>0</v>
      </c>
      <c r="D17">
        <f>_xlfn.LET(_xlpm.c,_xlfn.SINGLE(Table1[condition]),_xlpm.k,CONCATENATE("*","-sk","*"),IF(COUNTIF(_xlpm.c,_xlpm.k)&gt;0,1,0))</f>
        <v>0</v>
      </c>
      <c r="E17">
        <f>IF(AND(Table1[[#This Row],[xsk]]=1,Table1[[#This Row],[sk]]=1),0,1)</f>
        <v>1</v>
      </c>
      <c r="F17" t="s">
        <v>22</v>
      </c>
      <c r="G17" s="1">
        <v>0.44830147899220801</v>
      </c>
      <c r="H17" s="1">
        <v>0</v>
      </c>
      <c r="I17" s="1">
        <v>0.206521092559317</v>
      </c>
      <c r="J17" s="1">
        <v>0</v>
      </c>
      <c r="K17" s="1">
        <v>0.32229166539862097</v>
      </c>
      <c r="L17" s="1">
        <v>0.23885295826806899</v>
      </c>
      <c r="M17" s="1">
        <v>0.48647660095558298</v>
      </c>
      <c r="N17" s="1">
        <v>0.27188448128695603</v>
      </c>
      <c r="O17" s="1">
        <v>0</v>
      </c>
      <c r="P17" s="1">
        <v>0.25581735348922302</v>
      </c>
      <c r="Q17" s="1">
        <v>0</v>
      </c>
      <c r="R17" s="1">
        <v>0.34830976798068403</v>
      </c>
      <c r="S17" s="1">
        <v>0.28715530555400498</v>
      </c>
      <c r="T17" s="1">
        <f t="shared" si="4"/>
        <v>0.2204315926526666</v>
      </c>
    </row>
    <row r="18" spans="1:20" ht="30" customHeight="1">
      <c r="A18" t="str">
        <f t="shared" si="3"/>
        <v>french</v>
      </c>
      <c r="B18">
        <f>_xlfn.LET(_xlpm.c,_xlfn.SINGLE(Table1[condition]),IF(RIGHT(_xlpm.c,2)="1g",1,0))</f>
        <v>0</v>
      </c>
      <c r="C18">
        <f>_xlfn.LET(_xlpm.c,_xlfn.SINGLE(Table1[condition]),_xlpm.k,CONCATENATE("*","-xsk","*"),IF(COUNTIF(_xlpm.c,_xlpm.k)&gt;0,1,0))</f>
        <v>0</v>
      </c>
      <c r="D18">
        <f>_xlfn.LET(_xlpm.c,_xlfn.SINGLE(Table1[condition]),_xlpm.k,CONCATENATE("*","-sk","*"),IF(COUNTIF(_xlpm.c,_xlpm.k)&gt;0,1,0))</f>
        <v>0</v>
      </c>
      <c r="E18">
        <f>IF(AND(Table1[[#This Row],[xsk]]=1,Table1[[#This Row],[sk]]=1),0,1)</f>
        <v>1</v>
      </c>
      <c r="F18" t="s">
        <v>23</v>
      </c>
      <c r="G18" s="1">
        <v>0.47779565095151599</v>
      </c>
      <c r="H18" s="1">
        <v>0.21304354666518599</v>
      </c>
      <c r="I18" s="1">
        <v>0</v>
      </c>
      <c r="J18" s="1">
        <v>0.198157668123812</v>
      </c>
      <c r="K18" s="1">
        <v>0</v>
      </c>
      <c r="L18" s="1">
        <v>0.53589838486224495</v>
      </c>
      <c r="M18" s="1">
        <v>0.239013552861744</v>
      </c>
      <c r="N18" s="1">
        <v>0</v>
      </c>
      <c r="O18" s="1">
        <v>0</v>
      </c>
      <c r="P18" s="1">
        <v>0.44758407153183399</v>
      </c>
      <c r="Q18" s="1">
        <v>0.46098501002037501</v>
      </c>
      <c r="R18" s="1">
        <v>0</v>
      </c>
      <c r="S18" s="1">
        <v>0</v>
      </c>
      <c r="T18" s="1">
        <f t="shared" si="4"/>
        <v>0.19788291423205479</v>
      </c>
    </row>
    <row r="19" spans="1:20" ht="30" customHeight="1">
      <c r="A19" t="str">
        <f t="shared" si="3"/>
        <v>french</v>
      </c>
      <c r="B19">
        <f>_xlfn.LET(_xlpm.c,_xlfn.SINGLE(Table1[condition]),IF(RIGHT(_xlpm.c,2)="1g",1,0))</f>
        <v>0</v>
      </c>
      <c r="C19">
        <f>_xlfn.LET(_xlpm.c,_xlfn.SINGLE(Table1[condition]),_xlpm.k,CONCATENATE("*","-xsk","*"),IF(COUNTIF(_xlpm.c,_xlpm.k)&gt;0,1,0))</f>
        <v>0</v>
      </c>
      <c r="D19">
        <f>_xlfn.LET(_xlpm.c,_xlfn.SINGLE(Table1[condition]),_xlpm.k,CONCATENATE("*","-sk","*"),IF(COUNTIF(_xlpm.c,_xlpm.k)&gt;0,1,0))</f>
        <v>1</v>
      </c>
      <c r="E19">
        <f>IF(AND(Table1[[#This Row],[xsk]]=1,Table1[[#This Row],[sk]]=1),0,1)</f>
        <v>1</v>
      </c>
      <c r="F19" t="s">
        <v>24</v>
      </c>
      <c r="G19" s="1">
        <v>0.46953524718495998</v>
      </c>
      <c r="H19" s="1">
        <v>0.29067018704018399</v>
      </c>
      <c r="I19" s="1">
        <v>0.15950301381277701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0.41415522246305497</v>
      </c>
      <c r="R19" s="1">
        <v>0</v>
      </c>
      <c r="S19" s="1">
        <v>0</v>
      </c>
      <c r="T19" s="1">
        <f t="shared" si="4"/>
        <v>0.1026048977308443</v>
      </c>
    </row>
    <row r="20" spans="1:20" ht="30" customHeight="1">
      <c r="A20" t="str">
        <f t="shared" si="3"/>
        <v>french</v>
      </c>
      <c r="B20">
        <f>_xlfn.LET(_xlpm.c,_xlfn.SINGLE(Table1[condition]),IF(RIGHT(_xlpm.c,2)="1g",1,0))</f>
        <v>0</v>
      </c>
      <c r="C20">
        <f>_xlfn.LET(_xlpm.c,_xlfn.SINGLE(Table1[condition]),_xlpm.k,CONCATENATE("*","-xsk","*"),IF(COUNTIF(_xlpm.c,_xlpm.k)&gt;0,1,0))</f>
        <v>0</v>
      </c>
      <c r="D20">
        <f>_xlfn.LET(_xlpm.c,_xlfn.SINGLE(Table1[condition]),_xlpm.k,CONCATENATE("*","-sk","*"),IF(COUNTIF(_xlpm.c,_xlpm.k)&gt;0,1,0))</f>
        <v>1</v>
      </c>
      <c r="E20">
        <f>IF(AND(Table1[[#This Row],[xsk]]=1,Table1[[#This Row],[sk]]=1),0,1)</f>
        <v>1</v>
      </c>
      <c r="F20" t="s">
        <v>25</v>
      </c>
      <c r="G20" s="1">
        <v>0.40480634932458298</v>
      </c>
      <c r="H20" s="1">
        <v>0</v>
      </c>
      <c r="I20" s="1">
        <v>0.45123658960854202</v>
      </c>
      <c r="J20" s="1">
        <v>0.42860770131231202</v>
      </c>
      <c r="K20" s="1">
        <v>0.317329088495652</v>
      </c>
      <c r="L20" s="1">
        <v>0</v>
      </c>
      <c r="M20" s="1">
        <v>0.19598628558001899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f t="shared" si="4"/>
        <v>0.1383050780247006</v>
      </c>
    </row>
    <row r="21" spans="1:20" ht="30" customHeight="1">
      <c r="A21" t="str">
        <f t="shared" si="3"/>
        <v>french</v>
      </c>
      <c r="B21">
        <f>_xlfn.LET(_xlpm.c,_xlfn.SINGLE(Table1[condition]),IF(RIGHT(_xlpm.c,2)="1g",1,0))</f>
        <v>0</v>
      </c>
      <c r="C21">
        <f>_xlfn.LET(_xlpm.c,_xlfn.SINGLE(Table1[condition]),_xlpm.k,CONCATENATE("*","-xsk","*"),IF(COUNTIF(_xlpm.c,_xlpm.k)&gt;0,1,0))</f>
        <v>1</v>
      </c>
      <c r="D21">
        <f>_xlfn.LET(_xlpm.c,_xlfn.SINGLE(Table1[condition]),_xlpm.k,CONCATENATE("*","-sk","*"),IF(COUNTIF(_xlpm.c,_xlpm.k)&gt;0,1,0))</f>
        <v>0</v>
      </c>
      <c r="E21">
        <f>IF(AND(Table1[[#This Row],[xsk]]=1,Table1[[#This Row],[sk]]=1),0,1)</f>
        <v>1</v>
      </c>
      <c r="F21" t="s">
        <v>57</v>
      </c>
      <c r="G21" s="1">
        <v>0.308113513716748</v>
      </c>
      <c r="H21" s="1">
        <v>0.23807057999237599</v>
      </c>
      <c r="I21" s="1">
        <v>0.23173041247237</v>
      </c>
      <c r="J21" s="1">
        <v>0.42287357334597098</v>
      </c>
      <c r="K21" s="1">
        <v>0.18879111949136201</v>
      </c>
      <c r="L21" s="1">
        <v>0</v>
      </c>
      <c r="M21" s="1">
        <v>0.59761288992788597</v>
      </c>
      <c r="N21" s="1">
        <v>0.45499546279118203</v>
      </c>
      <c r="O21" s="1">
        <v>0</v>
      </c>
      <c r="P21" s="1">
        <v>0.29284979678918499</v>
      </c>
      <c r="Q21" s="1">
        <v>0</v>
      </c>
      <c r="R21" s="1">
        <v>0</v>
      </c>
      <c r="S21" s="1">
        <v>0</v>
      </c>
      <c r="T21" s="1">
        <f t="shared" si="4"/>
        <v>0.21038748834823695</v>
      </c>
    </row>
    <row r="22" spans="1:20" ht="30" customHeight="1">
      <c r="A22" t="str">
        <f t="shared" si="3"/>
        <v>french</v>
      </c>
      <c r="B22">
        <f>_xlfn.LET(_xlpm.c,_xlfn.SINGLE(Table1[condition]),IF(RIGHT(_xlpm.c,2)="1g",1,0))</f>
        <v>0</v>
      </c>
      <c r="C22">
        <f>_xlfn.LET(_xlpm.c,_xlfn.SINGLE(Table1[condition]),_xlpm.k,CONCATENATE("*","-xsk","*"),IF(COUNTIF(_xlpm.c,_xlpm.k)&gt;0,1,0))</f>
        <v>1</v>
      </c>
      <c r="D22">
        <f>_xlfn.LET(_xlpm.c,_xlfn.SINGLE(Table1[condition]),_xlpm.k,CONCATENATE("*","-sk","*"),IF(COUNTIF(_xlpm.c,_xlpm.k)&gt;0,1,0))</f>
        <v>0</v>
      </c>
      <c r="E22">
        <f>IF(AND(Table1[[#This Row],[xsk]]=1,Table1[[#This Row],[sk]]=1),0,1)</f>
        <v>1</v>
      </c>
      <c r="F22" t="s">
        <v>58</v>
      </c>
      <c r="G22" s="1">
        <v>0.65203814582220398</v>
      </c>
      <c r="H22" s="1">
        <v>0.54657168232719699</v>
      </c>
      <c r="I22" s="1">
        <v>0</v>
      </c>
      <c r="J22" s="1">
        <v>0.37336532776655701</v>
      </c>
      <c r="K22" s="1">
        <v>0</v>
      </c>
      <c r="L22" s="1">
        <v>0</v>
      </c>
      <c r="M22" s="1">
        <v>0</v>
      </c>
      <c r="N22" s="1">
        <v>0</v>
      </c>
      <c r="O22" s="1">
        <v>0.204559026660799</v>
      </c>
      <c r="P22" s="1">
        <v>0</v>
      </c>
      <c r="Q22" s="1">
        <v>0</v>
      </c>
      <c r="R22" s="1">
        <v>0</v>
      </c>
      <c r="S22" s="1">
        <v>0.22478737776360599</v>
      </c>
      <c r="T22" s="1">
        <f t="shared" si="4"/>
        <v>0.15394781233387406</v>
      </c>
    </row>
    <row r="23" spans="1:20" ht="30" customHeight="1">
      <c r="A23" t="str">
        <f t="shared" si="3"/>
        <v>finnish</v>
      </c>
      <c r="B23">
        <f>_xlfn.LET(_xlpm.c,_xlfn.SINGLE(Table1[condition]),IF(RIGHT(_xlpm.c,2)="1g",1,0))</f>
        <v>1</v>
      </c>
      <c r="C23">
        <f>_xlfn.LET(_xlpm.c,_xlfn.SINGLE(Table1[condition]),_xlpm.k,CONCATENATE("*","-xsk","*"),IF(COUNTIF(_xlpm.c,_xlpm.k)&gt;0,1,0))</f>
        <v>0</v>
      </c>
      <c r="D23">
        <f>_xlfn.LET(_xlpm.c,_xlfn.SINGLE(Table1[condition]),_xlpm.k,CONCATENATE("*","-sk","*"),IF(COUNTIF(_xlpm.c,_xlpm.k)&gt;0,1,0))</f>
        <v>0</v>
      </c>
      <c r="E23">
        <f>IF(AND(Table1[[#This Row],[xsk]]=1,Table1[[#This Row],[sk]]=1),0,1)</f>
        <v>1</v>
      </c>
      <c r="F23" t="s">
        <v>59</v>
      </c>
      <c r="G23" s="1">
        <v>0.94721573309305596</v>
      </c>
      <c r="H23" s="1">
        <v>0.76071311403244701</v>
      </c>
      <c r="I23" s="1">
        <v>0.65241368101486696</v>
      </c>
      <c r="J23" s="1">
        <v>0.70048387524088296</v>
      </c>
      <c r="K23" s="1">
        <v>0.37655041010185297</v>
      </c>
      <c r="L23" s="1">
        <v>0.50803648357613296</v>
      </c>
      <c r="M23" s="1">
        <v>0.44085043046035599</v>
      </c>
      <c r="N23" s="1">
        <v>0.49414016454579501</v>
      </c>
      <c r="O23" s="1">
        <v>0.322874495805272</v>
      </c>
      <c r="P23" s="1">
        <v>0</v>
      </c>
      <c r="Q23" s="1">
        <v>0</v>
      </c>
      <c r="R23" s="1">
        <v>0.47428779830260498</v>
      </c>
      <c r="S23" s="1">
        <v>0.60232723393577803</v>
      </c>
      <c r="T23" s="1">
        <f t="shared" si="4"/>
        <v>0.48306872462377271</v>
      </c>
    </row>
    <row r="24" spans="1:20" ht="30" customHeight="1">
      <c r="A24" t="str">
        <f t="shared" si="3"/>
        <v>finnish</v>
      </c>
      <c r="B24">
        <f>_xlfn.LET(_xlpm.c,_xlfn.SINGLE(Table1[condition]),IF(RIGHT(_xlpm.c,2)="1g",1,0))</f>
        <v>0</v>
      </c>
      <c r="C24">
        <f>_xlfn.LET(_xlpm.c,_xlfn.SINGLE(Table1[condition]),_xlpm.k,CONCATENATE("*","-xsk","*"),IF(COUNTIF(_xlpm.c,_xlpm.k)&gt;0,1,0))</f>
        <v>0</v>
      </c>
      <c r="D24">
        <f>_xlfn.LET(_xlpm.c,_xlfn.SINGLE(Table1[condition]),_xlpm.k,CONCATENATE("*","-sk","*"),IF(COUNTIF(_xlpm.c,_xlpm.k)&gt;0,1,0))</f>
        <v>0</v>
      </c>
      <c r="E24">
        <f>IF(AND(Table1[[#This Row],[xsk]]=1,Table1[[#This Row],[sk]]=1),0,1)</f>
        <v>1</v>
      </c>
      <c r="F24" t="s">
        <v>60</v>
      </c>
      <c r="G24" s="1">
        <v>0.80202122437875001</v>
      </c>
      <c r="H24" s="1">
        <v>0.70585133832316505</v>
      </c>
      <c r="I24" s="1">
        <v>0.59851431509111397</v>
      </c>
      <c r="J24" s="1">
        <v>0.52063433358011402</v>
      </c>
      <c r="K24" s="1">
        <v>0.54163002831028495</v>
      </c>
      <c r="L24" s="1">
        <v>0.50731640168788705</v>
      </c>
      <c r="M24" s="1">
        <v>0.36178452836737202</v>
      </c>
      <c r="N24" s="1">
        <v>0.52603862045318295</v>
      </c>
      <c r="O24" s="1">
        <v>0.36441807983040703</v>
      </c>
      <c r="P24" s="1">
        <v>0.30851130454889703</v>
      </c>
      <c r="Q24" s="1">
        <v>0.62431748218905703</v>
      </c>
      <c r="R24" s="1">
        <v>0.35799171662352502</v>
      </c>
      <c r="S24" s="1">
        <v>0.52896072314675802</v>
      </c>
      <c r="T24" s="1">
        <f t="shared" si="4"/>
        <v>0.51907616127157807</v>
      </c>
    </row>
    <row r="25" spans="1:20" ht="30" customHeight="1">
      <c r="A25" t="str">
        <f t="shared" si="3"/>
        <v>finnish</v>
      </c>
      <c r="B25">
        <f>_xlfn.LET(_xlpm.c,_xlfn.SINGLE(Table1[condition]),IF(RIGHT(_xlpm.c,2)="1g",1,0))</f>
        <v>0</v>
      </c>
      <c r="C25">
        <f>_xlfn.LET(_xlpm.c,_xlfn.SINGLE(Table1[condition]),_xlpm.k,CONCATENATE("*","-xsk","*"),IF(COUNTIF(_xlpm.c,_xlpm.k)&gt;0,1,0))</f>
        <v>0</v>
      </c>
      <c r="D25">
        <f>_xlfn.LET(_xlpm.c,_xlfn.SINGLE(Table1[condition]),_xlpm.k,CONCATENATE("*","-sk","*"),IF(COUNTIF(_xlpm.c,_xlpm.k)&gt;0,1,0))</f>
        <v>0</v>
      </c>
      <c r="E25">
        <f>IF(AND(Table1[[#This Row],[xsk]]=1,Table1[[#This Row],[sk]]=1),0,1)</f>
        <v>1</v>
      </c>
      <c r="F25" t="s">
        <v>61</v>
      </c>
      <c r="G25" s="1">
        <v>0.69846254160170396</v>
      </c>
      <c r="H25" s="1">
        <v>0.60598814710850601</v>
      </c>
      <c r="I25" s="1">
        <v>0.68398066284192505</v>
      </c>
      <c r="J25" s="1">
        <v>0.562762543601802</v>
      </c>
      <c r="K25" s="1">
        <v>0.31172039352862002</v>
      </c>
      <c r="L25" s="1">
        <v>0.92785020685351105</v>
      </c>
      <c r="M25" s="1">
        <v>0.43412616872360099</v>
      </c>
      <c r="N25" s="1">
        <v>0.63191771546726705</v>
      </c>
      <c r="O25" s="1">
        <v>0.56933229010791098</v>
      </c>
      <c r="P25" s="1">
        <v>0.50928867696302205</v>
      </c>
      <c r="Q25" s="1">
        <v>0.394210586940485</v>
      </c>
      <c r="R25" s="1">
        <v>0.503049026096826</v>
      </c>
      <c r="S25" s="1">
        <v>0.439467299100399</v>
      </c>
      <c r="T25" s="1">
        <f t="shared" si="4"/>
        <v>0.55939663530273687</v>
      </c>
    </row>
    <row r="26" spans="1:20" ht="30" customHeight="1">
      <c r="A26" t="str">
        <f t="shared" si="3"/>
        <v>finnish</v>
      </c>
      <c r="B26">
        <f>_xlfn.LET(_xlpm.c,_xlfn.SINGLE(Table1[condition]),IF(RIGHT(_xlpm.c,2)="1g",1,0))</f>
        <v>0</v>
      </c>
      <c r="C26">
        <f>_xlfn.LET(_xlpm.c,_xlfn.SINGLE(Table1[condition]),_xlpm.k,CONCATENATE("*","-xsk","*"),IF(COUNTIF(_xlpm.c,_xlpm.k)&gt;0,1,0))</f>
        <v>0</v>
      </c>
      <c r="D26">
        <f>_xlfn.LET(_xlpm.c,_xlfn.SINGLE(Table1[condition]),_xlpm.k,CONCATENATE("*","-sk","*"),IF(COUNTIF(_xlpm.c,_xlpm.k)&gt;0,1,0))</f>
        <v>1</v>
      </c>
      <c r="E26">
        <f>IF(AND(Table1[[#This Row],[xsk]]=1,Table1[[#This Row],[sk]]=1),0,1)</f>
        <v>1</v>
      </c>
      <c r="F26" t="s">
        <v>62</v>
      </c>
      <c r="G26" s="1">
        <v>0.52915017827250299</v>
      </c>
      <c r="H26" s="1">
        <v>0.77729812314723701</v>
      </c>
      <c r="I26" s="1">
        <v>0.56159115033585805</v>
      </c>
      <c r="J26" s="1">
        <v>0.72</v>
      </c>
      <c r="K26" s="1">
        <v>0.637465770015056</v>
      </c>
      <c r="L26" s="1">
        <v>0.80902511255457699</v>
      </c>
      <c r="M26" s="1">
        <v>0.30527254425053202</v>
      </c>
      <c r="N26" s="1">
        <v>0.63866337082262203</v>
      </c>
      <c r="O26" s="1">
        <v>0.417034987508272</v>
      </c>
      <c r="P26" s="1">
        <v>0.23437788439173299</v>
      </c>
      <c r="Q26" s="1">
        <v>0.59998060564261002</v>
      </c>
      <c r="R26" s="1">
        <v>0.477405160819036</v>
      </c>
      <c r="S26" s="1">
        <v>0</v>
      </c>
      <c r="T26" s="1">
        <f t="shared" si="4"/>
        <v>0.51594345290461807</v>
      </c>
    </row>
    <row r="27" spans="1:20" ht="30" customHeight="1">
      <c r="A27" t="str">
        <f t="shared" si="3"/>
        <v>finnish</v>
      </c>
      <c r="B27">
        <f>_xlfn.LET(_xlpm.c,_xlfn.SINGLE(Table1[condition]),IF(RIGHT(_xlpm.c,2)="1g",1,0))</f>
        <v>0</v>
      </c>
      <c r="C27">
        <f>_xlfn.LET(_xlpm.c,_xlfn.SINGLE(Table1[condition]),_xlpm.k,CONCATENATE("*","-xsk","*"),IF(COUNTIF(_xlpm.c,_xlpm.k)&gt;0,1,0))</f>
        <v>0</v>
      </c>
      <c r="D27">
        <f>_xlfn.LET(_xlpm.c,_xlfn.SINGLE(Table1[condition]),_xlpm.k,CONCATENATE("*","-sk","*"),IF(COUNTIF(_xlpm.c,_xlpm.k)&gt;0,1,0))</f>
        <v>1</v>
      </c>
      <c r="E27">
        <f>IF(AND(Table1[[#This Row],[xsk]]=1,Table1[[#This Row],[sk]]=1),0,1)</f>
        <v>1</v>
      </c>
      <c r="F27" t="s">
        <v>63</v>
      </c>
      <c r="G27" s="1">
        <v>0.80095614494543599</v>
      </c>
      <c r="H27" s="1">
        <v>0.83283821350164</v>
      </c>
      <c r="I27" s="1">
        <v>0.51598480878653497</v>
      </c>
      <c r="J27" s="1">
        <v>0.53095331766378395</v>
      </c>
      <c r="K27" s="1">
        <v>0.787834040477566</v>
      </c>
      <c r="L27" s="1">
        <v>0.57062835199761497</v>
      </c>
      <c r="M27" s="1">
        <v>0.78799211388319301</v>
      </c>
      <c r="N27" s="1">
        <v>0.39027425410564398</v>
      </c>
      <c r="O27" s="1">
        <v>0.39413501003845303</v>
      </c>
      <c r="P27" s="1">
        <v>0.29891413073277601</v>
      </c>
      <c r="Q27" s="1">
        <v>0.33109455429270301</v>
      </c>
      <c r="R27" s="1">
        <v>0.832665633339148</v>
      </c>
      <c r="S27" s="1">
        <v>0.31131390341765502</v>
      </c>
      <c r="T27" s="1">
        <f t="shared" si="4"/>
        <v>0.56812188286016507</v>
      </c>
    </row>
    <row r="28" spans="1:20" ht="30" customHeight="1">
      <c r="A28" t="str">
        <f t="shared" si="3"/>
        <v>finnish</v>
      </c>
      <c r="B28">
        <f>_xlfn.LET(_xlpm.c,_xlfn.SINGLE(Table1[condition]),IF(RIGHT(_xlpm.c,2)="1g",1,0))</f>
        <v>0</v>
      </c>
      <c r="C28">
        <f>_xlfn.LET(_xlpm.c,_xlfn.SINGLE(Table1[condition]),_xlpm.k,CONCATENATE("*","-xsk","*"),IF(COUNTIF(_xlpm.c,_xlpm.k)&gt;0,1,0))</f>
        <v>1</v>
      </c>
      <c r="D28">
        <f>_xlfn.LET(_xlpm.c,_xlfn.SINGLE(Table1[condition]),_xlpm.k,CONCATENATE("*","-sk","*"),IF(COUNTIF(_xlpm.c,_xlpm.k)&gt;0,1,0))</f>
        <v>0</v>
      </c>
      <c r="E28">
        <f>IF(AND(Table1[[#This Row],[xsk]]=1,Table1[[#This Row],[sk]]=1),0,1)</f>
        <v>1</v>
      </c>
      <c r="F28" t="s">
        <v>64</v>
      </c>
      <c r="G28" s="1">
        <v>0.68431184834918102</v>
      </c>
      <c r="H28" s="1">
        <v>0.83800209310446605</v>
      </c>
      <c r="I28" s="1">
        <v>0.80525042223476995</v>
      </c>
      <c r="J28" s="1">
        <v>0.51978178494544103</v>
      </c>
      <c r="K28" s="1">
        <v>0.88317252473201802</v>
      </c>
      <c r="L28" s="1">
        <v>0</v>
      </c>
      <c r="M28" s="1">
        <v>0.49939990903680598</v>
      </c>
      <c r="N28" s="1">
        <v>0.59335820073319201</v>
      </c>
      <c r="O28" s="1">
        <v>0.66704837839904096</v>
      </c>
      <c r="P28" s="1">
        <v>0.60575605195510196</v>
      </c>
      <c r="Q28" s="1">
        <v>0.64613748443071795</v>
      </c>
      <c r="R28" s="1">
        <v>0.57304837936781305</v>
      </c>
      <c r="S28" s="1">
        <v>0</v>
      </c>
      <c r="T28" s="1">
        <f t="shared" si="4"/>
        <v>0.56271285209911914</v>
      </c>
    </row>
    <row r="29" spans="1:20" ht="30" customHeight="1">
      <c r="A29" t="str">
        <f t="shared" si="3"/>
        <v>finnish</v>
      </c>
      <c r="B29">
        <f>_xlfn.LET(_xlpm.c,_xlfn.SINGLE(Table1[condition]),IF(RIGHT(_xlpm.c,2)="1g",1,0))</f>
        <v>0</v>
      </c>
      <c r="C29">
        <f>_xlfn.LET(_xlpm.c,_xlfn.SINGLE(Table1[condition]),_xlpm.k,CONCATENATE("*","-xsk","*"),IF(COUNTIF(_xlpm.c,_xlpm.k)&gt;0,1,0))</f>
        <v>1</v>
      </c>
      <c r="D29">
        <f>_xlfn.LET(_xlpm.c,_xlfn.SINGLE(Table1[condition]),_xlpm.k,CONCATENATE("*","-sk","*"),IF(COUNTIF(_xlpm.c,_xlpm.k)&gt;0,1,0))</f>
        <v>0</v>
      </c>
      <c r="E29">
        <f>IF(AND(Table1[[#This Row],[xsk]]=1,Table1[[#This Row],[sk]]=1),0,1)</f>
        <v>1</v>
      </c>
      <c r="F29" t="s">
        <v>65</v>
      </c>
      <c r="G29" s="1">
        <v>0.68049029538744299</v>
      </c>
      <c r="H29" s="1">
        <v>0.86150068055197904</v>
      </c>
      <c r="I29" s="1">
        <v>0.70201381945139696</v>
      </c>
      <c r="J29" s="1">
        <v>0.66484236328681101</v>
      </c>
      <c r="K29" s="1">
        <v>0.55473744352926502</v>
      </c>
      <c r="L29" s="1">
        <v>0.63498306521782</v>
      </c>
      <c r="M29" s="1">
        <v>0.321863088032255</v>
      </c>
      <c r="N29" s="1">
        <v>0.84627277468901296</v>
      </c>
      <c r="O29" s="1">
        <v>0.39027862184928802</v>
      </c>
      <c r="P29" s="1">
        <v>0.47769631518081401</v>
      </c>
      <c r="Q29" s="1">
        <v>0.44397992486766003</v>
      </c>
      <c r="R29" s="1">
        <v>0.28977516194763703</v>
      </c>
      <c r="S29" s="1">
        <v>0.47853562714235198</v>
      </c>
      <c r="T29" s="1">
        <f t="shared" si="4"/>
        <v>0.56515147547182576</v>
      </c>
    </row>
    <row r="30" spans="1:20" ht="30" customHeight="1">
      <c r="A30" t="str">
        <f t="shared" si="3"/>
        <v>german</v>
      </c>
      <c r="B30">
        <f>_xlfn.LET(_xlpm.c,_xlfn.SINGLE(Table1[condition]),IF(RIGHT(_xlpm.c,2)="1g",1,0))</f>
        <v>1</v>
      </c>
      <c r="C30">
        <f>_xlfn.LET(_xlpm.c,_xlfn.SINGLE(Table1[condition]),_xlpm.k,CONCATENATE("*","-xsk","*"),IF(COUNTIF(_xlpm.c,_xlpm.k)&gt;0,1,0))</f>
        <v>0</v>
      </c>
      <c r="D30">
        <f>_xlfn.LET(_xlpm.c,_xlfn.SINGLE(Table1[condition]),_xlpm.k,CONCATENATE("*","-sk","*"),IF(COUNTIF(_xlpm.c,_xlpm.k)&gt;0,1,0))</f>
        <v>0</v>
      </c>
      <c r="E30">
        <f>IF(AND(Table1[[#This Row],[xsk]]=1,Table1[[#This Row],[sk]]=1),0,1)</f>
        <v>1</v>
      </c>
      <c r="F30" t="s">
        <v>26</v>
      </c>
      <c r="G30" s="1">
        <v>1</v>
      </c>
      <c r="H30" s="1">
        <v>0.92310873301031904</v>
      </c>
      <c r="I30" s="1">
        <v>0.62789539515876402</v>
      </c>
      <c r="J30" s="1">
        <v>0.61939766929137197</v>
      </c>
      <c r="K30" s="1">
        <v>0.47374003726798303</v>
      </c>
      <c r="L30" s="1">
        <v>0.204972193908177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f t="shared" si="4"/>
        <v>0.29608569451050887</v>
      </c>
    </row>
    <row r="31" spans="1:20" ht="30" customHeight="1">
      <c r="A31" t="str">
        <f t="shared" si="3"/>
        <v>german</v>
      </c>
      <c r="B31">
        <f>_xlfn.LET(_xlpm.c,_xlfn.SINGLE(Table1[condition]),IF(RIGHT(_xlpm.c,2)="1g",1,0))</f>
        <v>0</v>
      </c>
      <c r="C31">
        <f>_xlfn.LET(_xlpm.c,_xlfn.SINGLE(Table1[condition]),_xlpm.k,CONCATENATE("*","-xsk","*"),IF(COUNTIF(_xlpm.c,_xlpm.k)&gt;0,1,0))</f>
        <v>0</v>
      </c>
      <c r="D31">
        <f>_xlfn.LET(_xlpm.c,_xlfn.SINGLE(Table1[condition]),_xlpm.k,CONCATENATE("*","-sk","*"),IF(COUNTIF(_xlpm.c,_xlpm.k)&gt;0,1,0))</f>
        <v>0</v>
      </c>
      <c r="E31">
        <f>IF(AND(Table1[[#This Row],[xsk]]=1,Table1[[#This Row],[sk]]=1),0,1)</f>
        <v>1</v>
      </c>
      <c r="F31" t="s">
        <v>27</v>
      </c>
      <c r="G31" s="1">
        <v>0.59939312705292702</v>
      </c>
      <c r="H31" s="1">
        <v>0.21064720903933901</v>
      </c>
      <c r="I31" s="1">
        <v>0.24221675701631001</v>
      </c>
      <c r="J31" s="1">
        <v>0.20738917626599301</v>
      </c>
      <c r="K31" s="1">
        <v>0.57417811397874097</v>
      </c>
      <c r="L31" s="1">
        <v>0.410443235542651</v>
      </c>
      <c r="M31" s="1">
        <v>0.93233082706766901</v>
      </c>
      <c r="N31" s="1">
        <v>0.42921226806641899</v>
      </c>
      <c r="O31" s="1">
        <v>0</v>
      </c>
      <c r="P31" s="1">
        <v>0.39067101034356</v>
      </c>
      <c r="Q31" s="1">
        <v>0.311353558835544</v>
      </c>
      <c r="R31" s="1">
        <v>0.55500556793563505</v>
      </c>
      <c r="S31" s="1">
        <v>0.52938037553210104</v>
      </c>
      <c r="T31" s="1">
        <f t="shared" si="4"/>
        <v>0.41478624820591453</v>
      </c>
    </row>
    <row r="32" spans="1:20" ht="30" customHeight="1">
      <c r="A32" t="str">
        <f t="shared" si="3"/>
        <v>german</v>
      </c>
      <c r="B32">
        <f>_xlfn.LET(_xlpm.c,_xlfn.SINGLE(Table1[condition]),IF(RIGHT(_xlpm.c,2)="1g",1,0))</f>
        <v>0</v>
      </c>
      <c r="C32">
        <f>_xlfn.LET(_xlpm.c,_xlfn.SINGLE(Table1[condition]),_xlpm.k,CONCATENATE("*","-xsk","*"),IF(COUNTIF(_xlpm.c,_xlpm.k)&gt;0,1,0))</f>
        <v>0</v>
      </c>
      <c r="D32">
        <f>_xlfn.LET(_xlpm.c,_xlfn.SINGLE(Table1[condition]),_xlpm.k,CONCATENATE("*","-sk","*"),IF(COUNTIF(_xlpm.c,_xlpm.k)&gt;0,1,0))</f>
        <v>0</v>
      </c>
      <c r="E32">
        <f>IF(AND(Table1[[#This Row],[xsk]]=1,Table1[[#This Row],[sk]]=1),0,1)</f>
        <v>1</v>
      </c>
      <c r="F32" t="s">
        <v>28</v>
      </c>
      <c r="G32" s="1">
        <v>0.48389336408941003</v>
      </c>
      <c r="H32" s="1">
        <v>0.38936032336230098</v>
      </c>
      <c r="I32" s="1">
        <v>0.33491961986209001</v>
      </c>
      <c r="J32" s="1">
        <v>0.49866271753833602</v>
      </c>
      <c r="K32" s="1">
        <v>0.31236278419583402</v>
      </c>
      <c r="L32" s="1">
        <v>0.32441210462150299</v>
      </c>
      <c r="M32" s="1">
        <v>0.27322969757793503</v>
      </c>
      <c r="N32" s="1">
        <v>0.38762899440225002</v>
      </c>
      <c r="O32" s="1">
        <v>0.215278614937889</v>
      </c>
      <c r="P32" s="1">
        <v>0.5</v>
      </c>
      <c r="Q32" s="1">
        <v>0.31343301597673701</v>
      </c>
      <c r="R32" s="1">
        <v>0.30646042929588302</v>
      </c>
      <c r="S32" s="1">
        <v>0.25899733940943198</v>
      </c>
      <c r="T32" s="1">
        <f t="shared" si="4"/>
        <v>0.35374146194381539</v>
      </c>
    </row>
    <row r="33" spans="1:20" ht="30" customHeight="1">
      <c r="A33" t="str">
        <f t="shared" si="3"/>
        <v>german</v>
      </c>
      <c r="B33">
        <f>_xlfn.LET(_xlpm.c,_xlfn.SINGLE(Table1[condition]),IF(RIGHT(_xlpm.c,2)="1g",1,0))</f>
        <v>0</v>
      </c>
      <c r="C33">
        <f>_xlfn.LET(_xlpm.c,_xlfn.SINGLE(Table1[condition]),_xlpm.k,CONCATENATE("*","-xsk","*"),IF(COUNTIF(_xlpm.c,_xlpm.k)&gt;0,1,0))</f>
        <v>0</v>
      </c>
      <c r="D33">
        <f>_xlfn.LET(_xlpm.c,_xlfn.SINGLE(Table1[condition]),_xlpm.k,CONCATENATE("*","-sk","*"),IF(COUNTIF(_xlpm.c,_xlpm.k)&gt;0,1,0))</f>
        <v>1</v>
      </c>
      <c r="E33">
        <f>IF(AND(Table1[[#This Row],[xsk]]=1,Table1[[#This Row],[sk]]=1),0,1)</f>
        <v>1</v>
      </c>
      <c r="F33" t="s">
        <v>29</v>
      </c>
      <c r="G33" s="1">
        <v>0.91101412419447103</v>
      </c>
      <c r="H33" s="1">
        <v>0.73632511514979404</v>
      </c>
      <c r="I33" s="1">
        <v>0.75488580599120603</v>
      </c>
      <c r="J33" s="1">
        <v>1</v>
      </c>
      <c r="K33" s="1">
        <v>1</v>
      </c>
      <c r="L33" s="1">
        <v>0.39618141564936799</v>
      </c>
      <c r="M33" s="1">
        <v>0.32019361995235601</v>
      </c>
      <c r="N33" s="1">
        <v>0.50926243676795802</v>
      </c>
      <c r="O33" s="1">
        <v>1</v>
      </c>
      <c r="P33" s="1">
        <v>0.48914575079236999</v>
      </c>
      <c r="Q33" s="1">
        <v>0.52178038130519999</v>
      </c>
      <c r="R33" s="1">
        <v>0.56210038112863503</v>
      </c>
      <c r="S33" s="1"/>
      <c r="T33" s="1">
        <f t="shared" si="4"/>
        <v>0.68340741924427995</v>
      </c>
    </row>
    <row r="34" spans="1:20" ht="30" customHeight="1">
      <c r="A34" t="str">
        <f t="shared" si="3"/>
        <v>german</v>
      </c>
      <c r="B34">
        <f>_xlfn.LET(_xlpm.c,_xlfn.SINGLE(Table1[condition]),IF(RIGHT(_xlpm.c,2)="1g",1,0))</f>
        <v>0</v>
      </c>
      <c r="C34">
        <f>_xlfn.LET(_xlpm.c,_xlfn.SINGLE(Table1[condition]),_xlpm.k,CONCATENATE("*","-xsk","*"),IF(COUNTIF(_xlpm.c,_xlpm.k)&gt;0,1,0))</f>
        <v>0</v>
      </c>
      <c r="D34">
        <f>_xlfn.LET(_xlpm.c,_xlfn.SINGLE(Table1[condition]),_xlpm.k,CONCATENATE("*","-sk","*"),IF(COUNTIF(_xlpm.c,_xlpm.k)&gt;0,1,0))</f>
        <v>1</v>
      </c>
      <c r="E34">
        <f>IF(AND(Table1[[#This Row],[xsk]]=1,Table1[[#This Row],[sk]]=1),0,1)</f>
        <v>1</v>
      </c>
      <c r="F34" t="s">
        <v>30</v>
      </c>
      <c r="G34" s="1">
        <v>0.41677114418768901</v>
      </c>
      <c r="H34" s="1">
        <v>0.686120444386216</v>
      </c>
      <c r="I34" s="1">
        <v>0.50550332871225101</v>
      </c>
      <c r="J34" s="1">
        <v>0.29329052117285098</v>
      </c>
      <c r="K34" s="1">
        <v>0.256695993675218</v>
      </c>
      <c r="L34" s="1">
        <v>0.39781989405532298</v>
      </c>
      <c r="M34" s="1">
        <v>0.40575265699441398</v>
      </c>
      <c r="N34" s="1">
        <v>0.39776644275627099</v>
      </c>
      <c r="O34" s="1">
        <v>0.32026175298089299</v>
      </c>
      <c r="P34" s="1">
        <v>0.292639028410899</v>
      </c>
      <c r="Q34" s="1">
        <v>0.52786404500041995</v>
      </c>
      <c r="R34" s="1">
        <v>0.54261502217327795</v>
      </c>
      <c r="S34" s="1">
        <v>0.40965146683404702</v>
      </c>
      <c r="T34" s="1">
        <f t="shared" si="4"/>
        <v>0.41944244164152072</v>
      </c>
    </row>
    <row r="35" spans="1:20" ht="30" customHeight="1">
      <c r="A35" t="str">
        <f t="shared" si="3"/>
        <v>german</v>
      </c>
      <c r="B35">
        <f>_xlfn.LET(_xlpm.c,_xlfn.SINGLE(Table1[condition]),IF(RIGHT(_xlpm.c,2)="1g",1,0))</f>
        <v>0</v>
      </c>
      <c r="C35">
        <f>_xlfn.LET(_xlpm.c,_xlfn.SINGLE(Table1[condition]),_xlpm.k,CONCATENATE("*","-xsk","*"),IF(COUNTIF(_xlpm.c,_xlpm.k)&gt;0,1,0))</f>
        <v>1</v>
      </c>
      <c r="D35">
        <f>_xlfn.LET(_xlpm.c,_xlfn.SINGLE(Table1[condition]),_xlpm.k,CONCATENATE("*","-sk","*"),IF(COUNTIF(_xlpm.c,_xlpm.k)&gt;0,1,0))</f>
        <v>0</v>
      </c>
      <c r="E35">
        <f>IF(AND(Table1[[#This Row],[xsk]]=1,Table1[[#This Row],[sk]]=1),0,1)</f>
        <v>1</v>
      </c>
      <c r="F35" t="s">
        <v>66</v>
      </c>
      <c r="G35" s="1">
        <v>0.53278748988998903</v>
      </c>
      <c r="H35" s="1">
        <v>0.65574002135034704</v>
      </c>
      <c r="I35" s="1">
        <v>0.82827443470895301</v>
      </c>
      <c r="J35" s="1">
        <v>0.68741284441751205</v>
      </c>
      <c r="K35" s="1">
        <v>0.52375656585905905</v>
      </c>
      <c r="L35" s="1">
        <v>0.86446145393388596</v>
      </c>
      <c r="M35" s="1">
        <v>0.53491904910562904</v>
      </c>
      <c r="N35" s="1">
        <v>0.48738069080594298</v>
      </c>
      <c r="O35" s="1">
        <v>0.37441765078940797</v>
      </c>
      <c r="P35" s="1">
        <v>1</v>
      </c>
      <c r="Q35" s="1">
        <v>0.47007669491344001</v>
      </c>
      <c r="R35" s="1">
        <v>0.328483705348663</v>
      </c>
      <c r="S35" s="1">
        <v>0</v>
      </c>
      <c r="T35" s="1">
        <f t="shared" si="4"/>
        <v>0.56059312316329468</v>
      </c>
    </row>
    <row r="36" spans="1:20" ht="30" customHeight="1">
      <c r="A36" t="str">
        <f t="shared" si="3"/>
        <v>german</v>
      </c>
      <c r="B36">
        <f>_xlfn.LET(_xlpm.c,_xlfn.SINGLE(Table1[condition]),IF(RIGHT(_xlpm.c,2)="1g",1,0))</f>
        <v>0</v>
      </c>
      <c r="C36">
        <f>_xlfn.LET(_xlpm.c,_xlfn.SINGLE(Table1[condition]),_xlpm.k,CONCATENATE("*","-xsk","*"),IF(COUNTIF(_xlpm.c,_xlpm.k)&gt;0,1,0))</f>
        <v>1</v>
      </c>
      <c r="D36">
        <f>_xlfn.LET(_xlpm.c,_xlfn.SINGLE(Table1[condition]),_xlpm.k,CONCATENATE("*","-sk","*"),IF(COUNTIF(_xlpm.c,_xlpm.k)&gt;0,1,0))</f>
        <v>0</v>
      </c>
      <c r="E36">
        <f>IF(AND(Table1[[#This Row],[xsk]]=1,Table1[[#This Row],[sk]]=1),0,1)</f>
        <v>1</v>
      </c>
      <c r="F36" t="s">
        <v>67</v>
      </c>
      <c r="G36" s="1">
        <v>0</v>
      </c>
      <c r="H36" s="1">
        <v>0.81638679571570405</v>
      </c>
      <c r="I36" s="1">
        <v>0.70402825838502703</v>
      </c>
      <c r="J36" s="1">
        <v>0.53720030252358197</v>
      </c>
      <c r="K36" s="1">
        <v>0.311105477600921</v>
      </c>
      <c r="L36" s="1">
        <v>0.51532049290834403</v>
      </c>
      <c r="M36" s="1">
        <v>0.656828114646267</v>
      </c>
      <c r="N36" s="1">
        <v>0.49742261192856402</v>
      </c>
      <c r="O36" s="1">
        <v>1</v>
      </c>
      <c r="P36" s="1">
        <v>0.81060606060606</v>
      </c>
      <c r="Q36" s="1">
        <v>0.48737740822245801</v>
      </c>
      <c r="R36" s="1">
        <v>0.396512132655158</v>
      </c>
      <c r="S36" s="1">
        <v>0.38589285574433602</v>
      </c>
      <c r="T36" s="1">
        <f t="shared" si="4"/>
        <v>0.54759080853357078</v>
      </c>
    </row>
    <row r="37" spans="1:20" ht="30" customHeight="1">
      <c r="A37" t="str">
        <f t="shared" si="3"/>
        <v>greek</v>
      </c>
      <c r="B37">
        <f>_xlfn.LET(_xlpm.c,_xlfn.SINGLE(Table1[condition]),IF(RIGHT(_xlpm.c,2)="1g",1,0))</f>
        <v>1</v>
      </c>
      <c r="C37">
        <f>_xlfn.LET(_xlpm.c,_xlfn.SINGLE(Table1[condition]),_xlpm.k,CONCATENATE("*","-xsk","*"),IF(COUNTIF(_xlpm.c,_xlpm.k)&gt;0,1,0))</f>
        <v>0</v>
      </c>
      <c r="D37">
        <f>_xlfn.LET(_xlpm.c,_xlfn.SINGLE(Table1[condition]),_xlpm.k,CONCATENATE("*","-sk","*"),IF(COUNTIF(_xlpm.c,_xlpm.k)&gt;0,1,0))</f>
        <v>0</v>
      </c>
      <c r="E37">
        <f>IF(AND(Table1[[#This Row],[xsk]]=1,Table1[[#This Row],[sk]]=1),0,1)</f>
        <v>1</v>
      </c>
      <c r="F37" t="s">
        <v>68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f t="shared" si="4"/>
        <v>1</v>
      </c>
    </row>
    <row r="38" spans="1:20" ht="30" customHeight="1">
      <c r="A38" t="str">
        <f t="shared" si="3"/>
        <v>greek</v>
      </c>
      <c r="B38">
        <f>_xlfn.LET(_xlpm.c,_xlfn.SINGLE(Table1[condition]),IF(RIGHT(_xlpm.c,2)="1g",1,0))</f>
        <v>0</v>
      </c>
      <c r="C38">
        <f>_xlfn.LET(_xlpm.c,_xlfn.SINGLE(Table1[condition]),_xlpm.k,CONCATENATE("*","-xsk","*"),IF(COUNTIF(_xlpm.c,_xlpm.k)&gt;0,1,0))</f>
        <v>0</v>
      </c>
      <c r="D38">
        <f>_xlfn.LET(_xlpm.c,_xlfn.SINGLE(Table1[condition]),_xlpm.k,CONCATENATE("*","-sk","*"),IF(COUNTIF(_xlpm.c,_xlpm.k)&gt;0,1,0))</f>
        <v>0</v>
      </c>
      <c r="E38">
        <f>IF(AND(Table1[[#This Row],[xsk]]=1,Table1[[#This Row],[sk]]=1),0,1)</f>
        <v>1</v>
      </c>
      <c r="F38" t="s">
        <v>69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f t="shared" si="4"/>
        <v>1</v>
      </c>
    </row>
    <row r="39" spans="1:20" ht="30" customHeight="1">
      <c r="A39" t="str">
        <f t="shared" si="3"/>
        <v>greek</v>
      </c>
      <c r="B39">
        <f>_xlfn.LET(_xlpm.c,_xlfn.SINGLE(Table1[condition]),IF(RIGHT(_xlpm.c,2)="1g",1,0))</f>
        <v>0</v>
      </c>
      <c r="C39">
        <f>_xlfn.LET(_xlpm.c,_xlfn.SINGLE(Table1[condition]),_xlpm.k,CONCATENATE("*","-xsk","*"),IF(COUNTIF(_xlpm.c,_xlpm.k)&gt;0,1,0))</f>
        <v>0</v>
      </c>
      <c r="D39">
        <f>_xlfn.LET(_xlpm.c,_xlfn.SINGLE(Table1[condition]),_xlpm.k,CONCATENATE("*","-sk","*"),IF(COUNTIF(_xlpm.c,_xlpm.k)&gt;0,1,0))</f>
        <v>0</v>
      </c>
      <c r="E39">
        <f>IF(AND(Table1[[#This Row],[xsk]]=1,Table1[[#This Row],[sk]]=1),0,1)</f>
        <v>1</v>
      </c>
      <c r="F39" t="s">
        <v>70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f t="shared" si="4"/>
        <v>1</v>
      </c>
    </row>
    <row r="40" spans="1:20" ht="30" customHeight="1">
      <c r="A40" t="str">
        <f t="shared" si="1"/>
        <v>greek</v>
      </c>
      <c r="B40">
        <f>_xlfn.LET(_xlpm.c,_xlfn.SINGLE(Table1[condition]),IF(RIGHT(_xlpm.c,2)="1g",1,0))</f>
        <v>0</v>
      </c>
      <c r="C40">
        <f>_xlfn.LET(_xlpm.c,_xlfn.SINGLE(Table1[condition]),_xlpm.k,CONCATENATE("*","-xsk","*"),IF(COUNTIF(_xlpm.c,_xlpm.k)&gt;0,1,0))</f>
        <v>0</v>
      </c>
      <c r="D40">
        <f>_xlfn.LET(_xlpm.c,_xlfn.SINGLE(Table1[condition]),_xlpm.k,CONCATENATE("*","-sk","*"),IF(COUNTIF(_xlpm.c,_xlpm.k)&gt;0,1,0))</f>
        <v>1</v>
      </c>
      <c r="E40">
        <f>IF(AND(Table1[[#This Row],[xsk]]=1,Table1[[#This Row],[sk]]=1),0,1)</f>
        <v>1</v>
      </c>
      <c r="F40" t="s">
        <v>71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0.99800399201596801</v>
      </c>
      <c r="T40" s="1">
        <f t="shared" si="2"/>
        <v>0.99984646092430529</v>
      </c>
    </row>
    <row r="41" spans="1:20" ht="30" customHeight="1">
      <c r="A41" t="str">
        <f t="shared" si="1"/>
        <v>greek</v>
      </c>
      <c r="B41">
        <f>_xlfn.LET(_xlpm.c,_xlfn.SINGLE(Table1[condition]),IF(RIGHT(_xlpm.c,2)="1g",1,0))</f>
        <v>0</v>
      </c>
      <c r="C41">
        <f>_xlfn.LET(_xlpm.c,_xlfn.SINGLE(Table1[condition]),_xlpm.k,CONCATENATE("*","-xsk","*"),IF(COUNTIF(_xlpm.c,_xlpm.k)&gt;0,1,0))</f>
        <v>0</v>
      </c>
      <c r="D41">
        <f>_xlfn.LET(_xlpm.c,_xlfn.SINGLE(Table1[condition]),_xlpm.k,CONCATENATE("*","-sk","*"),IF(COUNTIF(_xlpm.c,_xlpm.k)&gt;0,1,0))</f>
        <v>1</v>
      </c>
      <c r="E41">
        <f>IF(AND(Table1[[#This Row],[xsk]]=1,Table1[[#This Row],[sk]]=1),0,1)</f>
        <v>1</v>
      </c>
      <c r="F41" t="s">
        <v>72</v>
      </c>
      <c r="G41" s="1">
        <v>0.99719852781796703</v>
      </c>
      <c r="H41" s="1">
        <v>1</v>
      </c>
      <c r="I41" s="1">
        <v>0.99736832992567004</v>
      </c>
      <c r="J41" s="1">
        <v>1</v>
      </c>
      <c r="K41" s="1">
        <v>0.99789466219082401</v>
      </c>
      <c r="L41" s="1">
        <v>0.93938592049006497</v>
      </c>
      <c r="M41" s="1">
        <v>0.93938592049006497</v>
      </c>
      <c r="N41" s="1">
        <v>0.94565416716071204</v>
      </c>
      <c r="O41" s="1">
        <v>0.99659860010366896</v>
      </c>
      <c r="P41" s="1">
        <v>0.98741607222205496</v>
      </c>
      <c r="Q41" s="1">
        <v>0.98549912035660403</v>
      </c>
      <c r="R41" s="1">
        <v>1</v>
      </c>
      <c r="S41" s="1">
        <v>0.57197391510275297</v>
      </c>
      <c r="T41" s="1">
        <f t="shared" si="2"/>
        <v>0.95064424891233723</v>
      </c>
    </row>
    <row r="42" spans="1:20" ht="30" customHeight="1">
      <c r="A42" t="str">
        <f t="shared" si="1"/>
        <v>greek</v>
      </c>
      <c r="B42">
        <f>_xlfn.LET(_xlpm.c,_xlfn.SINGLE(Table1[condition]),IF(RIGHT(_xlpm.c,2)="1g",1,0))</f>
        <v>0</v>
      </c>
      <c r="C42">
        <f>_xlfn.LET(_xlpm.c,_xlfn.SINGLE(Table1[condition]),_xlpm.k,CONCATENATE("*","-xsk","*"),IF(COUNTIF(_xlpm.c,_xlpm.k)&gt;0,1,0))</f>
        <v>1</v>
      </c>
      <c r="D42">
        <f>_xlfn.LET(_xlpm.c,_xlfn.SINGLE(Table1[condition]),_xlpm.k,CONCATENATE("*","-sk","*"),IF(COUNTIF(_xlpm.c,_xlpm.k)&gt;0,1,0))</f>
        <v>0</v>
      </c>
      <c r="E42">
        <f>IF(AND(Table1[[#This Row],[xsk]]=1,Table1[[#This Row],[sk]]=1),0,1)</f>
        <v>1</v>
      </c>
      <c r="F42" t="s">
        <v>73</v>
      </c>
      <c r="G42" s="1">
        <v>0.85853688277156104</v>
      </c>
      <c r="H42" s="1">
        <v>0.95803988996929801</v>
      </c>
      <c r="I42" s="1">
        <v>1</v>
      </c>
      <c r="J42" s="1">
        <v>1</v>
      </c>
      <c r="K42" s="1">
        <v>1</v>
      </c>
      <c r="L42" s="1">
        <v>1</v>
      </c>
      <c r="M42" s="1">
        <v>0.99910152546928699</v>
      </c>
      <c r="N42" s="1">
        <v>0.99607827053716902</v>
      </c>
      <c r="O42" s="1">
        <v>0.98916386808913104</v>
      </c>
      <c r="P42" s="1">
        <v>0.94879736670696901</v>
      </c>
      <c r="Q42" s="1">
        <v>1</v>
      </c>
      <c r="R42" s="1">
        <v>0.863348665114818</v>
      </c>
      <c r="S42" s="1">
        <v>1</v>
      </c>
      <c r="T42" s="1">
        <f t="shared" si="2"/>
        <v>0.97023588220447965</v>
      </c>
    </row>
    <row r="43" spans="1:20" ht="30" customHeight="1">
      <c r="A43" t="str">
        <f t="shared" si="1"/>
        <v>greek</v>
      </c>
      <c r="B43">
        <f>_xlfn.LET(_xlpm.c,_xlfn.SINGLE(Table1[condition]),IF(RIGHT(_xlpm.c,2)="1g",1,0))</f>
        <v>0</v>
      </c>
      <c r="C43">
        <f>_xlfn.LET(_xlpm.c,_xlfn.SINGLE(Table1[condition]),_xlpm.k,CONCATENATE("*","-xsk","*"),IF(COUNTIF(_xlpm.c,_xlpm.k)&gt;0,1,0))</f>
        <v>1</v>
      </c>
      <c r="D43">
        <f>_xlfn.LET(_xlpm.c,_xlfn.SINGLE(Table1[condition]),_xlpm.k,CONCATENATE("*","-sk","*"),IF(COUNTIF(_xlpm.c,_xlpm.k)&gt;0,1,0))</f>
        <v>0</v>
      </c>
      <c r="E43">
        <f>IF(AND(Table1[[#This Row],[xsk]]=1,Table1[[#This Row],[sk]]=1),0,1)</f>
        <v>1</v>
      </c>
      <c r="F43" t="s">
        <v>74</v>
      </c>
      <c r="G43" s="1">
        <v>0.97863498267179405</v>
      </c>
      <c r="H43" s="1">
        <v>0.868510921285927</v>
      </c>
      <c r="I43" s="1">
        <v>0.864445471159908</v>
      </c>
      <c r="J43" s="1">
        <v>0.99924527957975795</v>
      </c>
      <c r="K43" s="1">
        <v>1</v>
      </c>
      <c r="L43" s="1">
        <v>0.93652419902248396</v>
      </c>
      <c r="M43" s="1">
        <v>0.98794305101715196</v>
      </c>
      <c r="N43" s="1">
        <v>0.92880256163643105</v>
      </c>
      <c r="O43" s="1">
        <v>1</v>
      </c>
      <c r="P43" s="1">
        <v>0.95029216987830201</v>
      </c>
      <c r="Q43" s="1">
        <v>0.91744880994082101</v>
      </c>
      <c r="R43" s="1">
        <v>0.97526837672370303</v>
      </c>
      <c r="S43" s="1">
        <v>1</v>
      </c>
      <c r="T43" s="1">
        <f t="shared" si="2"/>
        <v>0.95439352483971374</v>
      </c>
    </row>
    <row r="44" spans="1:20" ht="30" customHeight="1">
      <c r="A44" t="str">
        <f t="shared" si="1"/>
        <v>hebrew</v>
      </c>
      <c r="B44">
        <f>_xlfn.LET(_xlpm.c,_xlfn.SINGLE(Table1[condition]),IF(RIGHT(_xlpm.c,2)="1g",1,0))</f>
        <v>1</v>
      </c>
      <c r="C44">
        <f>_xlfn.LET(_xlpm.c,_xlfn.SINGLE(Table1[condition]),_xlpm.k,CONCATENATE("*","-xsk","*"),IF(COUNTIF(_xlpm.c,_xlpm.k)&gt;0,1,0))</f>
        <v>0</v>
      </c>
      <c r="D44">
        <f>_xlfn.LET(_xlpm.c,_xlfn.SINGLE(Table1[condition]),_xlpm.k,CONCATENATE("*","-sk","*"),IF(COUNTIF(_xlpm.c,_xlpm.k)&gt;0,1,0))</f>
        <v>0</v>
      </c>
      <c r="E44">
        <f>IF(AND(Table1[[#This Row],[xsk]]=1,Table1[[#This Row],[sk]]=1),0,1)</f>
        <v>1</v>
      </c>
      <c r="F44" t="s">
        <v>75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f t="shared" si="2"/>
        <v>1</v>
      </c>
    </row>
    <row r="45" spans="1:20" ht="30" customHeight="1">
      <c r="A45" t="str">
        <f t="shared" si="1"/>
        <v>hebrew</v>
      </c>
      <c r="B45">
        <f>_xlfn.LET(_xlpm.c,_xlfn.SINGLE(Table1[condition]),IF(RIGHT(_xlpm.c,2)="1g",1,0))</f>
        <v>0</v>
      </c>
      <c r="C45">
        <f>_xlfn.LET(_xlpm.c,_xlfn.SINGLE(Table1[condition]),_xlpm.k,CONCATENATE("*","-xsk","*"),IF(COUNTIF(_xlpm.c,_xlpm.k)&gt;0,1,0))</f>
        <v>0</v>
      </c>
      <c r="D45">
        <f>_xlfn.LET(_xlpm.c,_xlfn.SINGLE(Table1[condition]),_xlpm.k,CONCATENATE("*","-sk","*"),IF(COUNTIF(_xlpm.c,_xlpm.k)&gt;0,1,0))</f>
        <v>0</v>
      </c>
      <c r="E45">
        <f>IF(AND(Table1[[#This Row],[xsk]]=1,Table1[[#This Row],[sk]]=1),0,1)</f>
        <v>1</v>
      </c>
      <c r="F45" t="s">
        <v>76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f t="shared" si="2"/>
        <v>1</v>
      </c>
    </row>
    <row r="46" spans="1:20" ht="30" customHeight="1">
      <c r="A46" t="str">
        <f t="shared" si="1"/>
        <v>hebrew</v>
      </c>
      <c r="B46">
        <f>_xlfn.LET(_xlpm.c,_xlfn.SINGLE(Table1[condition]),IF(RIGHT(_xlpm.c,2)="1g",1,0))</f>
        <v>0</v>
      </c>
      <c r="C46">
        <f>_xlfn.LET(_xlpm.c,_xlfn.SINGLE(Table1[condition]),_xlpm.k,CONCATENATE("*","-xsk","*"),IF(COUNTIF(_xlpm.c,_xlpm.k)&gt;0,1,0))</f>
        <v>0</v>
      </c>
      <c r="D46">
        <f>_xlfn.LET(_xlpm.c,_xlfn.SINGLE(Table1[condition]),_xlpm.k,CONCATENATE("*","-sk","*"),IF(COUNTIF(_xlpm.c,_xlpm.k)&gt;0,1,0))</f>
        <v>0</v>
      </c>
      <c r="E46">
        <f>IF(AND(Table1[[#This Row],[xsk]]=1,Table1[[#This Row],[sk]]=1),0,1)</f>
        <v>1</v>
      </c>
      <c r="F46" t="s">
        <v>77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f t="shared" si="2"/>
        <v>1</v>
      </c>
    </row>
    <row r="47" spans="1:20" ht="30" customHeight="1">
      <c r="A47" t="str">
        <f t="shared" si="1"/>
        <v>hebrew</v>
      </c>
      <c r="B47">
        <f>_xlfn.LET(_xlpm.c,_xlfn.SINGLE(Table1[condition]),IF(RIGHT(_xlpm.c,2)="1g",1,0))</f>
        <v>0</v>
      </c>
      <c r="C47">
        <f>_xlfn.LET(_xlpm.c,_xlfn.SINGLE(Table1[condition]),_xlpm.k,CONCATENATE("*","-xsk","*"),IF(COUNTIF(_xlpm.c,_xlpm.k)&gt;0,1,0))</f>
        <v>0</v>
      </c>
      <c r="D47">
        <f>_xlfn.LET(_xlpm.c,_xlfn.SINGLE(Table1[condition]),_xlpm.k,CONCATENATE("*","-sk","*"),IF(COUNTIF(_xlpm.c,_xlpm.k)&gt;0,1,0))</f>
        <v>1</v>
      </c>
      <c r="E47">
        <f>IF(AND(Table1[[#This Row],[xsk]]=1,Table1[[#This Row],[sk]]=1),0,1)</f>
        <v>1</v>
      </c>
      <c r="F47" t="s">
        <v>78</v>
      </c>
      <c r="G47" s="1">
        <v>1</v>
      </c>
      <c r="H47" s="1">
        <v>1</v>
      </c>
      <c r="I47" s="1">
        <v>0.97196799286758895</v>
      </c>
      <c r="J47" s="1">
        <v>0.96622409377428997</v>
      </c>
      <c r="K47" s="1">
        <v>1</v>
      </c>
      <c r="L47" s="1">
        <v>0.97452872890044295</v>
      </c>
      <c r="M47" s="1">
        <v>1</v>
      </c>
      <c r="N47" s="1">
        <v>1</v>
      </c>
      <c r="O47" s="1">
        <v>0.99591727883894798</v>
      </c>
      <c r="P47" s="1">
        <v>1</v>
      </c>
      <c r="Q47" s="1">
        <v>1</v>
      </c>
      <c r="R47" s="1">
        <v>1</v>
      </c>
      <c r="S47" s="1">
        <v>1</v>
      </c>
      <c r="T47" s="1">
        <f t="shared" si="2"/>
        <v>0.99297216110625164</v>
      </c>
    </row>
    <row r="48" spans="1:20" ht="30" customHeight="1">
      <c r="A48" t="str">
        <f t="shared" si="1"/>
        <v>hebrew</v>
      </c>
      <c r="B48">
        <f>_xlfn.LET(_xlpm.c,_xlfn.SINGLE(Table1[condition]),IF(RIGHT(_xlpm.c,2)="1g",1,0))</f>
        <v>0</v>
      </c>
      <c r="C48">
        <f>_xlfn.LET(_xlpm.c,_xlfn.SINGLE(Table1[condition]),_xlpm.k,CONCATENATE("*","-xsk","*"),IF(COUNTIF(_xlpm.c,_xlpm.k)&gt;0,1,0))</f>
        <v>0</v>
      </c>
      <c r="D48">
        <f>_xlfn.LET(_xlpm.c,_xlfn.SINGLE(Table1[condition]),_xlpm.k,CONCATENATE("*","-sk","*"),IF(COUNTIF(_xlpm.c,_xlpm.k)&gt;0,1,0))</f>
        <v>1</v>
      </c>
      <c r="E48">
        <f>IF(AND(Table1[[#This Row],[xsk]]=1,Table1[[#This Row],[sk]]=1),0,1)</f>
        <v>1</v>
      </c>
      <c r="F48" t="s">
        <v>79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f t="shared" si="2"/>
        <v>1</v>
      </c>
    </row>
    <row r="49" spans="1:20" ht="30" customHeight="1">
      <c r="A49" t="str">
        <f t="shared" si="1"/>
        <v>hebrew</v>
      </c>
      <c r="B49">
        <f>_xlfn.LET(_xlpm.c,_xlfn.SINGLE(Table1[condition]),IF(RIGHT(_xlpm.c,2)="1g",1,0))</f>
        <v>0</v>
      </c>
      <c r="C49">
        <f>_xlfn.LET(_xlpm.c,_xlfn.SINGLE(Table1[condition]),_xlpm.k,CONCATENATE("*","-xsk","*"),IF(COUNTIF(_xlpm.c,_xlpm.k)&gt;0,1,0))</f>
        <v>1</v>
      </c>
      <c r="D49">
        <f>_xlfn.LET(_xlpm.c,_xlfn.SINGLE(Table1[condition]),_xlpm.k,CONCATENATE("*","-sk","*"),IF(COUNTIF(_xlpm.c,_xlpm.k)&gt;0,1,0))</f>
        <v>0</v>
      </c>
      <c r="E49">
        <f>IF(AND(Table1[[#This Row],[xsk]]=1,Table1[[#This Row],[sk]]=1),0,1)</f>
        <v>1</v>
      </c>
      <c r="F49" t="s">
        <v>80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0.97906019231322605</v>
      </c>
      <c r="R49" s="1">
        <v>1</v>
      </c>
      <c r="S49" s="1">
        <v>1</v>
      </c>
      <c r="T49" s="1">
        <f t="shared" si="2"/>
        <v>0.99838924556255582</v>
      </c>
    </row>
    <row r="50" spans="1:20" ht="30" customHeight="1">
      <c r="A50" t="str">
        <f t="shared" si="1"/>
        <v>hebrew</v>
      </c>
      <c r="B50">
        <f>_xlfn.LET(_xlpm.c,_xlfn.SINGLE(Table1[condition]),IF(RIGHT(_xlpm.c,2)="1g",1,0))</f>
        <v>0</v>
      </c>
      <c r="C50">
        <f>_xlfn.LET(_xlpm.c,_xlfn.SINGLE(Table1[condition]),_xlpm.k,CONCATENATE("*","-xsk","*"),IF(COUNTIF(_xlpm.c,_xlpm.k)&gt;0,1,0))</f>
        <v>1</v>
      </c>
      <c r="D50">
        <f>_xlfn.LET(_xlpm.c,_xlfn.SINGLE(Table1[condition]),_xlpm.k,CONCATENATE("*","-sk","*"),IF(COUNTIF(_xlpm.c,_xlpm.k)&gt;0,1,0))</f>
        <v>0</v>
      </c>
      <c r="E50">
        <f>IF(AND(Table1[[#This Row],[xsk]]=1,Table1[[#This Row],[sk]]=1),0,1)</f>
        <v>1</v>
      </c>
      <c r="F50" t="s">
        <v>81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0.90520964689865802</v>
      </c>
      <c r="P50" s="1">
        <v>1</v>
      </c>
      <c r="Q50" s="1">
        <v>1</v>
      </c>
      <c r="R50" s="1">
        <v>1</v>
      </c>
      <c r="S50" s="1">
        <v>1</v>
      </c>
      <c r="T50" s="1">
        <f t="shared" si="2"/>
        <v>0.99270843437681988</v>
      </c>
    </row>
    <row r="51" spans="1:20" ht="30" customHeight="1">
      <c r="A51" t="str">
        <f t="shared" si="1"/>
        <v>icelandic</v>
      </c>
      <c r="B51">
        <f>_xlfn.LET(_xlpm.c,_xlfn.SINGLE(Table1[condition]),IF(RIGHT(_xlpm.c,2)="1g",1,0))</f>
        <v>1</v>
      </c>
      <c r="C51">
        <f>_xlfn.LET(_xlpm.c,_xlfn.SINGLE(Table1[condition]),_xlpm.k,CONCATENATE("*","-xsk","*"),IF(COUNTIF(_xlpm.c,_xlpm.k)&gt;0,1,0))</f>
        <v>0</v>
      </c>
      <c r="D51">
        <f>_xlfn.LET(_xlpm.c,_xlfn.SINGLE(Table1[condition]),_xlpm.k,CONCATENATE("*","-sk","*"),IF(COUNTIF(_xlpm.c,_xlpm.k)&gt;0,1,0))</f>
        <v>0</v>
      </c>
      <c r="E51">
        <f>IF(AND(Table1[[#This Row],[xsk]]=1,Table1[[#This Row],[sk]]=1),0,1)</f>
        <v>1</v>
      </c>
      <c r="F51" t="s">
        <v>82</v>
      </c>
      <c r="G51" s="1">
        <v>0.97993562360453801</v>
      </c>
      <c r="H51" s="1">
        <v>0.55688429185879496</v>
      </c>
      <c r="I51" s="1">
        <v>0.693449752422308</v>
      </c>
      <c r="J51" s="1">
        <v>0.58754268375451202</v>
      </c>
      <c r="K51" s="1">
        <v>0.81041513150412503</v>
      </c>
      <c r="L51" s="1">
        <v>0.79850976479441704</v>
      </c>
      <c r="M51" s="1">
        <v>0.38066992180983</v>
      </c>
      <c r="N51" s="1">
        <v>0.45131209455377302</v>
      </c>
      <c r="O51" s="1">
        <v>0.52575429821492503</v>
      </c>
      <c r="P51" s="1">
        <v>0.37717484240170301</v>
      </c>
      <c r="Q51" s="1">
        <v>0.31692388108846598</v>
      </c>
      <c r="R51" s="1">
        <v>0.67782021395731995</v>
      </c>
      <c r="S51" s="1">
        <v>0.69094165738857805</v>
      </c>
      <c r="T51" s="1">
        <f t="shared" si="2"/>
        <v>0.60364108902717628</v>
      </c>
    </row>
    <row r="52" spans="1:20" ht="30" customHeight="1">
      <c r="A52" t="str">
        <f t="shared" si="1"/>
        <v>icelandic</v>
      </c>
      <c r="B52">
        <f>_xlfn.LET(_xlpm.c,_xlfn.SINGLE(Table1[condition]),IF(RIGHT(_xlpm.c,2)="1g",1,0))</f>
        <v>0</v>
      </c>
      <c r="C52">
        <f>_xlfn.LET(_xlpm.c,_xlfn.SINGLE(Table1[condition]),_xlpm.k,CONCATENATE("*","-xsk","*"),IF(COUNTIF(_xlpm.c,_xlpm.k)&gt;0,1,0))</f>
        <v>0</v>
      </c>
      <c r="D52">
        <f>_xlfn.LET(_xlpm.c,_xlfn.SINGLE(Table1[condition]),_xlpm.k,CONCATENATE("*","-sk","*"),IF(COUNTIF(_xlpm.c,_xlpm.k)&gt;0,1,0))</f>
        <v>0</v>
      </c>
      <c r="E52">
        <f>IF(AND(Table1[[#This Row],[xsk]]=1,Table1[[#This Row],[sk]]=1),0,1)</f>
        <v>1</v>
      </c>
      <c r="F52" t="s">
        <v>83</v>
      </c>
      <c r="G52" s="1">
        <v>0.91773694725152799</v>
      </c>
      <c r="H52" s="1">
        <v>0.59710359242119004</v>
      </c>
      <c r="I52" s="1">
        <v>0.94835350551860997</v>
      </c>
      <c r="J52" s="1">
        <v>0.39341552064233398</v>
      </c>
      <c r="K52" s="1">
        <v>0.33727011819272501</v>
      </c>
      <c r="L52" s="1">
        <v>0.67073425994173397</v>
      </c>
      <c r="M52" s="1">
        <v>0.44998173842785599</v>
      </c>
      <c r="N52" s="1">
        <v>0.53811378446421998</v>
      </c>
      <c r="O52" s="1">
        <v>0.53502748173277404</v>
      </c>
      <c r="P52" s="1">
        <v>0.98823529411764699</v>
      </c>
      <c r="Q52" s="1">
        <v>0.38419170590116097</v>
      </c>
      <c r="R52" s="1">
        <v>0.43820977565485902</v>
      </c>
      <c r="S52" s="1">
        <v>0.61228496341748795</v>
      </c>
      <c r="T52" s="1">
        <f t="shared" si="2"/>
        <v>0.60081989905262512</v>
      </c>
    </row>
    <row r="53" spans="1:20" ht="30" customHeight="1">
      <c r="A53" t="str">
        <f t="shared" si="1"/>
        <v>icelandic</v>
      </c>
      <c r="B53">
        <f>_xlfn.LET(_xlpm.c,_xlfn.SINGLE(Table1[condition]),IF(RIGHT(_xlpm.c,2)="1g",1,0))</f>
        <v>0</v>
      </c>
      <c r="C53">
        <f>_xlfn.LET(_xlpm.c,_xlfn.SINGLE(Table1[condition]),_xlpm.k,CONCATENATE("*","-xsk","*"),IF(COUNTIF(_xlpm.c,_xlpm.k)&gt;0,1,0))</f>
        <v>0</v>
      </c>
      <c r="D53">
        <f>_xlfn.LET(_xlpm.c,_xlfn.SINGLE(Table1[condition]),_xlpm.k,CONCATENATE("*","-sk","*"),IF(COUNTIF(_xlpm.c,_xlpm.k)&gt;0,1,0))</f>
        <v>0</v>
      </c>
      <c r="E53">
        <f>IF(AND(Table1[[#This Row],[xsk]]=1,Table1[[#This Row],[sk]]=1),0,1)</f>
        <v>1</v>
      </c>
      <c r="F53" t="s">
        <v>84</v>
      </c>
      <c r="G53" s="1">
        <v>0.85045810831122404</v>
      </c>
      <c r="H53" s="1">
        <v>0.69245424653950205</v>
      </c>
      <c r="I53" s="1">
        <v>0.92820323027550899</v>
      </c>
      <c r="J53" s="1">
        <v>0.68904869798164503</v>
      </c>
      <c r="K53" s="1">
        <v>0.58648077130936704</v>
      </c>
      <c r="L53" s="1">
        <v>0</v>
      </c>
      <c r="M53" s="1">
        <v>0.55858801472139297</v>
      </c>
      <c r="N53" s="1">
        <v>0.98351200240552705</v>
      </c>
      <c r="O53" s="1">
        <v>0.28430845418372902</v>
      </c>
      <c r="P53" s="1">
        <v>0.37825726564313</v>
      </c>
      <c r="Q53" s="1">
        <v>0.49096090221847999</v>
      </c>
      <c r="R53" s="1">
        <v>0.51934591161877397</v>
      </c>
      <c r="S53" s="1">
        <v>0.68789441130353401</v>
      </c>
      <c r="T53" s="1">
        <f t="shared" si="2"/>
        <v>0.5884240012701395</v>
      </c>
    </row>
    <row r="54" spans="1:20" ht="30" customHeight="1">
      <c r="A54" t="str">
        <f t="shared" si="1"/>
        <v>icelandic</v>
      </c>
      <c r="B54">
        <f>_xlfn.LET(_xlpm.c,_xlfn.SINGLE(Table1[condition]),IF(RIGHT(_xlpm.c,2)="1g",1,0))</f>
        <v>0</v>
      </c>
      <c r="C54">
        <f>_xlfn.LET(_xlpm.c,_xlfn.SINGLE(Table1[condition]),_xlpm.k,CONCATENATE("*","-xsk","*"),IF(COUNTIF(_xlpm.c,_xlpm.k)&gt;0,1,0))</f>
        <v>0</v>
      </c>
      <c r="D54">
        <f>_xlfn.LET(_xlpm.c,_xlfn.SINGLE(Table1[condition]),_xlpm.k,CONCATENATE("*","-sk","*"),IF(COUNTIF(_xlpm.c,_xlpm.k)&gt;0,1,0))</f>
        <v>1</v>
      </c>
      <c r="E54">
        <f>IF(AND(Table1[[#This Row],[xsk]]=1,Table1[[#This Row],[sk]]=1),0,1)</f>
        <v>1</v>
      </c>
      <c r="F54" t="s">
        <v>85</v>
      </c>
      <c r="G54" s="1">
        <v>0.62111470528374901</v>
      </c>
      <c r="H54" s="1">
        <v>1</v>
      </c>
      <c r="I54" s="1">
        <v>0.69276661537996997</v>
      </c>
      <c r="J54" s="1">
        <v>0.698251966200793</v>
      </c>
      <c r="K54" s="1">
        <v>0.48834112193298401</v>
      </c>
      <c r="L54" s="1">
        <v>0.87767283296009302</v>
      </c>
      <c r="M54" s="1">
        <v>0.87320053378573503</v>
      </c>
      <c r="N54" s="1">
        <v>0.65843286623757102</v>
      </c>
      <c r="O54" s="1">
        <v>0.49311660391331702</v>
      </c>
      <c r="P54" s="1">
        <v>0.36786103277929799</v>
      </c>
      <c r="Q54" s="1">
        <v>0.593801260303495</v>
      </c>
      <c r="R54" s="1">
        <v>0.70498960488095297</v>
      </c>
      <c r="S54" s="1">
        <v>0.90400000000000003</v>
      </c>
      <c r="T54" s="1">
        <f t="shared" si="2"/>
        <v>0.69027301105061223</v>
      </c>
    </row>
    <row r="55" spans="1:20" ht="30" customHeight="1">
      <c r="A55" t="str">
        <f t="shared" si="1"/>
        <v>icelandic</v>
      </c>
      <c r="B55">
        <f>_xlfn.LET(_xlpm.c,_xlfn.SINGLE(Table1[condition]),IF(RIGHT(_xlpm.c,2)="1g",1,0))</f>
        <v>0</v>
      </c>
      <c r="C55">
        <f>_xlfn.LET(_xlpm.c,_xlfn.SINGLE(Table1[condition]),_xlpm.k,CONCATENATE("*","-xsk","*"),IF(COUNTIF(_xlpm.c,_xlpm.k)&gt;0,1,0))</f>
        <v>0</v>
      </c>
      <c r="D55">
        <f>_xlfn.LET(_xlpm.c,_xlfn.SINGLE(Table1[condition]),_xlpm.k,CONCATENATE("*","-sk","*"),IF(COUNTIF(_xlpm.c,_xlpm.k)&gt;0,1,0))</f>
        <v>1</v>
      </c>
      <c r="E55">
        <f>IF(AND(Table1[[#This Row],[xsk]]=1,Table1[[#This Row],[sk]]=1),0,1)</f>
        <v>1</v>
      </c>
      <c r="F55" t="s">
        <v>86</v>
      </c>
      <c r="G55" s="1">
        <v>0.83231863069263701</v>
      </c>
      <c r="H55" s="1">
        <v>0.69610417724253104</v>
      </c>
      <c r="I55" s="1">
        <v>0.59324032806785099</v>
      </c>
      <c r="J55" s="1">
        <v>0.88757745030997104</v>
      </c>
      <c r="K55" s="1">
        <v>0.73500818461318795</v>
      </c>
      <c r="L55" s="1">
        <v>0.79285150861277998</v>
      </c>
      <c r="M55" s="1">
        <v>0.87487031565183004</v>
      </c>
      <c r="N55" s="1">
        <v>0.58428389088180999</v>
      </c>
      <c r="O55" s="1">
        <v>0.95488721804511201</v>
      </c>
      <c r="P55" s="1">
        <v>0.90566037735849003</v>
      </c>
      <c r="Q55" s="1">
        <v>0.94163424124513595</v>
      </c>
      <c r="R55" s="1">
        <v>0.39368166000490201</v>
      </c>
      <c r="S55" s="1">
        <v>0.36754368881247301</v>
      </c>
      <c r="T55" s="1">
        <f t="shared" si="2"/>
        <v>0.73535859011836235</v>
      </c>
    </row>
    <row r="56" spans="1:20" ht="30" customHeight="1">
      <c r="A56" t="str">
        <f t="shared" si="1"/>
        <v>icelandic</v>
      </c>
      <c r="B56">
        <f>_xlfn.LET(_xlpm.c,_xlfn.SINGLE(Table1[condition]),IF(RIGHT(_xlpm.c,2)="1g",1,0))</f>
        <v>0</v>
      </c>
      <c r="C56">
        <f>_xlfn.LET(_xlpm.c,_xlfn.SINGLE(Table1[condition]),_xlpm.k,CONCATENATE("*","-xsk","*"),IF(COUNTIF(_xlpm.c,_xlpm.k)&gt;0,1,0))</f>
        <v>1</v>
      </c>
      <c r="D56">
        <f>_xlfn.LET(_xlpm.c,_xlfn.SINGLE(Table1[condition]),_xlpm.k,CONCATENATE("*","-sk","*"),IF(COUNTIF(_xlpm.c,_xlpm.k)&gt;0,1,0))</f>
        <v>0</v>
      </c>
      <c r="E56">
        <f>IF(AND(Table1[[#This Row],[xsk]]=1,Table1[[#This Row],[sk]]=1),0,1)</f>
        <v>1</v>
      </c>
      <c r="F56" t="s">
        <v>87</v>
      </c>
      <c r="G56" s="1">
        <v>0.94814053909496898</v>
      </c>
      <c r="H56" s="1">
        <v>0.61167613647809405</v>
      </c>
      <c r="I56" s="1">
        <v>0.69200544605742198</v>
      </c>
      <c r="J56" s="1">
        <v>0.66232831193382902</v>
      </c>
      <c r="K56" s="1">
        <v>0.55563133894251404</v>
      </c>
      <c r="L56" s="1">
        <v>0.83250813351208597</v>
      </c>
      <c r="M56" s="1">
        <v>1</v>
      </c>
      <c r="N56" s="1">
        <v>0.516469181310933</v>
      </c>
      <c r="O56" s="1">
        <v>0.87418630590935797</v>
      </c>
      <c r="P56" s="1">
        <v>0.491113147925889</v>
      </c>
      <c r="Q56" s="1">
        <v>0.593372029858802</v>
      </c>
      <c r="R56" s="1">
        <v>0.944271909999158</v>
      </c>
      <c r="S56" s="1">
        <v>0</v>
      </c>
      <c r="T56" s="1">
        <f t="shared" si="2"/>
        <v>0.67090019084792729</v>
      </c>
    </row>
    <row r="57" spans="1:20" ht="30" customHeight="1">
      <c r="A57" t="str">
        <f t="shared" ref="A57:A71" si="5">_xlfn.LET(_xlpm.c,$F57,_xlfn.TEXTBEFORE(_xlpm.c,"-"))</f>
        <v>icelandic</v>
      </c>
      <c r="B57">
        <f>_xlfn.LET(_xlpm.c,_xlfn.SINGLE(Table1[condition]),IF(RIGHT(_xlpm.c,2)="1g",1,0))</f>
        <v>0</v>
      </c>
      <c r="C57">
        <f>_xlfn.LET(_xlpm.c,_xlfn.SINGLE(Table1[condition]),_xlpm.k,CONCATENATE("*","-xsk","*"),IF(COUNTIF(_xlpm.c,_xlpm.k)&gt;0,1,0))</f>
        <v>1</v>
      </c>
      <c r="D57">
        <f>_xlfn.LET(_xlpm.c,_xlfn.SINGLE(Table1[condition]),_xlpm.k,CONCATENATE("*","-sk","*"),IF(COUNTIF(_xlpm.c,_xlpm.k)&gt;0,1,0))</f>
        <v>0</v>
      </c>
      <c r="E57">
        <f>IF(AND(Table1[[#This Row],[xsk]]=1,Table1[[#This Row],[sk]]=1),0,1)</f>
        <v>1</v>
      </c>
      <c r="F57" t="s">
        <v>88</v>
      </c>
      <c r="G57" s="1">
        <v>0.96666933242018704</v>
      </c>
      <c r="H57" s="1">
        <v>0.95719609000676698</v>
      </c>
      <c r="I57" s="1">
        <v>1</v>
      </c>
      <c r="J57" s="1">
        <v>0.87183245949663402</v>
      </c>
      <c r="K57" s="1">
        <v>1</v>
      </c>
      <c r="L57" s="1">
        <v>1</v>
      </c>
      <c r="M57" s="1">
        <v>0.99581589958159</v>
      </c>
      <c r="N57" s="1">
        <v>1</v>
      </c>
      <c r="O57" s="1">
        <v>0.99547511312217096</v>
      </c>
      <c r="P57" s="1">
        <v>0.865771812080536</v>
      </c>
      <c r="Q57" s="1">
        <v>0.37506723164422801</v>
      </c>
      <c r="R57" s="1">
        <v>0.5</v>
      </c>
      <c r="S57" s="1">
        <v>0.38473266621955499</v>
      </c>
      <c r="T57" s="1">
        <f t="shared" si="0"/>
        <v>0.83942773881320543</v>
      </c>
    </row>
    <row r="58" spans="1:20" ht="30" customHeight="1">
      <c r="A58" t="str">
        <f t="shared" si="5"/>
        <v>russian</v>
      </c>
      <c r="B58">
        <f>_xlfn.LET(_xlpm.c,_xlfn.SINGLE(Table1[condition]),IF(RIGHT(_xlpm.c,2)="1g",1,0))</f>
        <v>1</v>
      </c>
      <c r="C58">
        <f>_xlfn.LET(_xlpm.c,_xlfn.SINGLE(Table1[condition]),_xlpm.k,CONCATENATE("*","-xsk","*"),IF(COUNTIF(_xlpm.c,_xlpm.k)&gt;0,1,0))</f>
        <v>0</v>
      </c>
      <c r="D58">
        <f>_xlfn.LET(_xlpm.c,_xlfn.SINGLE(Table1[condition]),_xlpm.k,CONCATENATE("*","-sk","*"),IF(COUNTIF(_xlpm.c,_xlpm.k)&gt;0,1,0))</f>
        <v>0</v>
      </c>
      <c r="E58">
        <f>IF(AND(Table1[[#This Row],[xsk]]=1,Table1[[#This Row],[sk]]=1),0,1)</f>
        <v>1</v>
      </c>
      <c r="F58" t="s">
        <v>31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f t="shared" si="0"/>
        <v>1</v>
      </c>
    </row>
    <row r="59" spans="1:20" ht="30" customHeight="1">
      <c r="A59" t="str">
        <f t="shared" si="5"/>
        <v>russian</v>
      </c>
      <c r="B59">
        <f>_xlfn.LET(_xlpm.c,_xlfn.SINGLE(Table1[condition]),IF(RIGHT(_xlpm.c,2)="1g",1,0))</f>
        <v>0</v>
      </c>
      <c r="C59">
        <f>_xlfn.LET(_xlpm.c,_xlfn.SINGLE(Table1[condition]),_xlpm.k,CONCATENATE("*","-xsk","*"),IF(COUNTIF(_xlpm.c,_xlpm.k)&gt;0,1,0))</f>
        <v>0</v>
      </c>
      <c r="D59">
        <f>_xlfn.LET(_xlpm.c,_xlfn.SINGLE(Table1[condition]),_xlpm.k,CONCATENATE("*","-sk","*"),IF(COUNTIF(_xlpm.c,_xlpm.k)&gt;0,1,0))</f>
        <v>0</v>
      </c>
      <c r="E59">
        <f>IF(AND(Table1[[#This Row],[xsk]]=1,Table1[[#This Row],[sk]]=1),0,1)</f>
        <v>1</v>
      </c>
      <c r="F59" t="s">
        <v>32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f t="shared" si="0"/>
        <v>1</v>
      </c>
    </row>
    <row r="60" spans="1:20" ht="30" customHeight="1">
      <c r="A60" t="str">
        <f t="shared" si="5"/>
        <v>russian</v>
      </c>
      <c r="B60">
        <f>_xlfn.LET(_xlpm.c,_xlfn.SINGLE(Table1[condition]),IF(RIGHT(_xlpm.c,2)="1g",1,0))</f>
        <v>0</v>
      </c>
      <c r="C60">
        <f>_xlfn.LET(_xlpm.c,_xlfn.SINGLE(Table1[condition]),_xlpm.k,CONCATENATE("*","-xsk","*"),IF(COUNTIF(_xlpm.c,_xlpm.k)&gt;0,1,0))</f>
        <v>0</v>
      </c>
      <c r="D60">
        <f>_xlfn.LET(_xlpm.c,_xlfn.SINGLE(Table1[condition]),_xlpm.k,CONCATENATE("*","-sk","*"),IF(COUNTIF(_xlpm.c,_xlpm.k)&gt;0,1,0))</f>
        <v>0</v>
      </c>
      <c r="E60">
        <f>IF(AND(Table1[[#This Row],[xsk]]=1,Table1[[#This Row],[sk]]=1),0,1)</f>
        <v>1</v>
      </c>
      <c r="F60" t="s">
        <v>33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f t="shared" si="0"/>
        <v>1</v>
      </c>
    </row>
    <row r="61" spans="1:20" ht="30" customHeight="1">
      <c r="A61" t="str">
        <f t="shared" si="5"/>
        <v>russian</v>
      </c>
      <c r="B61">
        <f>_xlfn.LET(_xlpm.c,_xlfn.SINGLE(Table1[condition]),IF(RIGHT(_xlpm.c,2)="1g",1,0))</f>
        <v>0</v>
      </c>
      <c r="C61">
        <f>_xlfn.LET(_xlpm.c,_xlfn.SINGLE(Table1[condition]),_xlpm.k,CONCATENATE("*","-xsk","*"),IF(COUNTIF(_xlpm.c,_xlpm.k)&gt;0,1,0))</f>
        <v>0</v>
      </c>
      <c r="D61">
        <f>_xlfn.LET(_xlpm.c,_xlfn.SINGLE(Table1[condition]),_xlpm.k,CONCATENATE("*","-sk","*"),IF(COUNTIF(_xlpm.c,_xlpm.k)&gt;0,1,0))</f>
        <v>1</v>
      </c>
      <c r="E61">
        <f>IF(AND(Table1[[#This Row],[xsk]]=1,Table1[[#This Row],[sk]]=1),0,1)</f>
        <v>1</v>
      </c>
      <c r="F61" t="s">
        <v>34</v>
      </c>
      <c r="G61" s="1">
        <v>0.997530743759519</v>
      </c>
      <c r="H61" s="1">
        <v>0.960271623576472</v>
      </c>
      <c r="I61" s="1">
        <v>0.99924584718298004</v>
      </c>
      <c r="J61" s="1">
        <v>1</v>
      </c>
      <c r="K61" s="1">
        <v>0.97025361112743802</v>
      </c>
      <c r="L61" s="1">
        <v>0.98697776782947799</v>
      </c>
      <c r="M61" s="1">
        <v>0.99381253859166196</v>
      </c>
      <c r="N61" s="1">
        <v>1</v>
      </c>
      <c r="O61" s="1">
        <v>0.99037422338366499</v>
      </c>
      <c r="P61" s="1">
        <v>0.93298377104119701</v>
      </c>
      <c r="Q61" s="1">
        <v>0.99305164441303295</v>
      </c>
      <c r="R61" s="1">
        <v>1</v>
      </c>
      <c r="S61" s="1">
        <v>0.98856993546999805</v>
      </c>
      <c r="T61" s="1">
        <f t="shared" si="0"/>
        <v>0.98562090049041862</v>
      </c>
    </row>
    <row r="62" spans="1:20" ht="30" customHeight="1">
      <c r="A62" t="str">
        <f t="shared" si="5"/>
        <v>russian</v>
      </c>
      <c r="B62">
        <f>_xlfn.LET(_xlpm.c,_xlfn.SINGLE(Table1[condition]),IF(RIGHT(_xlpm.c,2)="1g",1,0))</f>
        <v>0</v>
      </c>
      <c r="C62">
        <f>_xlfn.LET(_xlpm.c,_xlfn.SINGLE(Table1[condition]),_xlpm.k,CONCATENATE("*","-xsk","*"),IF(COUNTIF(_xlpm.c,_xlpm.k)&gt;0,1,0))</f>
        <v>0</v>
      </c>
      <c r="D62">
        <f>_xlfn.LET(_xlpm.c,_xlfn.SINGLE(Table1[condition]),_xlpm.k,CONCATENATE("*","-sk","*"),IF(COUNTIF(_xlpm.c,_xlpm.k)&gt;0,1,0))</f>
        <v>1</v>
      </c>
      <c r="E62">
        <f>IF(AND(Table1[[#This Row],[xsk]]=1,Table1[[#This Row],[sk]]=1),0,1)</f>
        <v>1</v>
      </c>
      <c r="F62" t="s">
        <v>35</v>
      </c>
      <c r="G62" s="1">
        <v>1</v>
      </c>
      <c r="H62" s="1">
        <v>0.96324408779446902</v>
      </c>
      <c r="I62" s="1">
        <v>1</v>
      </c>
      <c r="J62" s="1">
        <v>0.99682514083584794</v>
      </c>
      <c r="K62" s="1">
        <v>0.97117873587275305</v>
      </c>
      <c r="L62" s="1">
        <v>0.97153403628016999</v>
      </c>
      <c r="M62" s="1">
        <v>0.84802995000805803</v>
      </c>
      <c r="N62" s="1">
        <v>1</v>
      </c>
      <c r="O62" s="1">
        <v>0.99877750428545697</v>
      </c>
      <c r="P62" s="1">
        <v>0.99784943584275798</v>
      </c>
      <c r="Q62" s="1">
        <v>0.99875155536042204</v>
      </c>
      <c r="R62" s="1">
        <v>0.945190851870787</v>
      </c>
      <c r="S62" s="1">
        <v>0.96744186046511604</v>
      </c>
      <c r="T62" s="1">
        <f t="shared" si="0"/>
        <v>0.97375562758583378</v>
      </c>
    </row>
    <row r="63" spans="1:20" ht="30" customHeight="1">
      <c r="A63" t="str">
        <f t="shared" si="5"/>
        <v>russian</v>
      </c>
      <c r="B63">
        <f>_xlfn.LET(_xlpm.c,_xlfn.SINGLE(Table1[condition]),IF(RIGHT(_xlpm.c,2)="1g",1,0))</f>
        <v>0</v>
      </c>
      <c r="C63">
        <f>_xlfn.LET(_xlpm.c,_xlfn.SINGLE(Table1[condition]),_xlpm.k,CONCATENATE("*","-xsk","*"),IF(COUNTIF(_xlpm.c,_xlpm.k)&gt;0,1,0))</f>
        <v>1</v>
      </c>
      <c r="D63">
        <f>_xlfn.LET(_xlpm.c,_xlfn.SINGLE(Table1[condition]),_xlpm.k,CONCATENATE("*","-sk","*"),IF(COUNTIF(_xlpm.c,_xlpm.k)&gt;0,1,0))</f>
        <v>0</v>
      </c>
      <c r="E63">
        <f>IF(AND(Table1[[#This Row],[xsk]]=1,Table1[[#This Row],[sk]]=1),0,1)</f>
        <v>1</v>
      </c>
      <c r="F63" t="s">
        <v>89</v>
      </c>
      <c r="G63" s="1">
        <v>0.99800651777518101</v>
      </c>
      <c r="H63" s="1">
        <v>1</v>
      </c>
      <c r="I63" s="1">
        <v>0.96792470182533297</v>
      </c>
      <c r="J63" s="1">
        <v>0.97063321958987303</v>
      </c>
      <c r="K63" s="1">
        <v>0.99605584724725604</v>
      </c>
      <c r="L63" s="1">
        <v>0.94642305211076905</v>
      </c>
      <c r="M63" s="1">
        <v>0.99903938284268901</v>
      </c>
      <c r="N63" s="1">
        <v>1</v>
      </c>
      <c r="O63" s="1">
        <v>0.98112775138222597</v>
      </c>
      <c r="P63" s="1">
        <v>0.99502454719832401</v>
      </c>
      <c r="Q63" s="1">
        <v>0.91882672032317703</v>
      </c>
      <c r="R63" s="1">
        <v>0.99683541134613496</v>
      </c>
      <c r="S63" s="1">
        <v>1</v>
      </c>
      <c r="T63" s="1">
        <f t="shared" si="0"/>
        <v>0.98229978089545866</v>
      </c>
    </row>
    <row r="64" spans="1:20" ht="30" customHeight="1">
      <c r="A64" t="str">
        <f t="shared" si="5"/>
        <v>russian</v>
      </c>
      <c r="B64">
        <f>_xlfn.LET(_xlpm.c,_xlfn.SINGLE(Table1[condition]),IF(RIGHT(_xlpm.c,2)="1g",1,0))</f>
        <v>0</v>
      </c>
      <c r="C64">
        <f>_xlfn.LET(_xlpm.c,_xlfn.SINGLE(Table1[condition]),_xlpm.k,CONCATENATE("*","-xsk","*"),IF(COUNTIF(_xlpm.c,_xlpm.k)&gt;0,1,0))</f>
        <v>1</v>
      </c>
      <c r="D64">
        <f>_xlfn.LET(_xlpm.c,_xlfn.SINGLE(Table1[condition]),_xlpm.k,CONCATENATE("*","-sk","*"),IF(COUNTIF(_xlpm.c,_xlpm.k)&gt;0,1,0))</f>
        <v>0</v>
      </c>
      <c r="E64">
        <f>IF(AND(Table1[[#This Row],[xsk]]=1,Table1[[#This Row],[sk]]=1),0,1)</f>
        <v>1</v>
      </c>
      <c r="F64" t="s">
        <v>90</v>
      </c>
      <c r="G64" s="1">
        <v>1</v>
      </c>
      <c r="H64" s="1">
        <v>0.99755090289581205</v>
      </c>
      <c r="I64" s="1">
        <v>1</v>
      </c>
      <c r="J64" s="1">
        <v>0.95603323485893799</v>
      </c>
      <c r="K64" s="1">
        <v>0.97125233148818702</v>
      </c>
      <c r="L64" s="1">
        <v>1</v>
      </c>
      <c r="M64" s="1">
        <v>0.60863795434373202</v>
      </c>
      <c r="N64" s="1">
        <v>0.923396222773472</v>
      </c>
      <c r="O64" s="1">
        <v>0.91208685329223704</v>
      </c>
      <c r="P64" s="1">
        <v>0.56446719752364005</v>
      </c>
      <c r="Q64" s="1">
        <v>1</v>
      </c>
      <c r="R64" s="1">
        <v>0.51507392911680805</v>
      </c>
      <c r="S64" s="1">
        <v>0.99816849202486901</v>
      </c>
      <c r="T64" s="1">
        <f t="shared" si="0"/>
        <v>0.88051285525520728</v>
      </c>
    </row>
    <row r="65" spans="1:20" ht="30" customHeight="1">
      <c r="A65" t="str">
        <f t="shared" si="5"/>
        <v>turkish</v>
      </c>
      <c r="B65">
        <f>_xlfn.LET(_xlpm.c,_xlfn.SINGLE(Table1[condition]),IF(RIGHT(_xlpm.c,2)="1g",1,0))</f>
        <v>1</v>
      </c>
      <c r="C65">
        <f>_xlfn.LET(_xlpm.c,_xlfn.SINGLE(Table1[condition]),_xlpm.k,CONCATENATE("*","-xsk","*"),IF(COUNTIF(_xlpm.c,_xlpm.k)&gt;0,1,0))</f>
        <v>0</v>
      </c>
      <c r="D65">
        <f>_xlfn.LET(_xlpm.c,_xlfn.SINGLE(Table1[condition]),_xlpm.k,CONCATENATE("*","-sk","*"),IF(COUNTIF(_xlpm.c,_xlpm.k)&gt;0,1,0))</f>
        <v>0</v>
      </c>
      <c r="E65">
        <f>IF(AND(Table1[[#This Row],[xsk]]=1,Table1[[#This Row],[sk]]=1),0,1)</f>
        <v>1</v>
      </c>
      <c r="F65" t="s">
        <v>91</v>
      </c>
      <c r="G65" s="1">
        <v>0.88076386946136898</v>
      </c>
      <c r="H65" s="1">
        <v>0.85983553826168202</v>
      </c>
      <c r="I65" s="1">
        <v>1</v>
      </c>
      <c r="J65" s="1">
        <v>0.88074296725646795</v>
      </c>
      <c r="K65" s="1">
        <v>0.86065733813697698</v>
      </c>
      <c r="L65" s="1">
        <v>0.61998364524550298</v>
      </c>
      <c r="M65" s="1">
        <v>0.738200927870723</v>
      </c>
      <c r="N65" s="1">
        <v>0.481639271593017</v>
      </c>
      <c r="O65" s="1">
        <v>0.58087119417715105</v>
      </c>
      <c r="P65" s="1">
        <v>0.94722181384559201</v>
      </c>
      <c r="Q65" s="1">
        <v>0.46982146320293</v>
      </c>
      <c r="R65" s="1">
        <v>0.72214472724684697</v>
      </c>
      <c r="S65" s="1">
        <v>0.303059983577882</v>
      </c>
      <c r="T65" s="1">
        <f t="shared" si="0"/>
        <v>0.71884174922124155</v>
      </c>
    </row>
    <row r="66" spans="1:20" ht="30" customHeight="1">
      <c r="A66" t="str">
        <f t="shared" si="5"/>
        <v>turkish</v>
      </c>
      <c r="B66">
        <f>_xlfn.LET(_xlpm.c,_xlfn.SINGLE(Table1[condition]),IF(RIGHT(_xlpm.c,2)="1g",1,0))</f>
        <v>0</v>
      </c>
      <c r="C66">
        <f>_xlfn.LET(_xlpm.c,_xlfn.SINGLE(Table1[condition]),_xlpm.k,CONCATENATE("*","-xsk","*"),IF(COUNTIF(_xlpm.c,_xlpm.k)&gt;0,1,0))</f>
        <v>0</v>
      </c>
      <c r="D66">
        <f>_xlfn.LET(_xlpm.c,_xlfn.SINGLE(Table1[condition]),_xlpm.k,CONCATENATE("*","-sk","*"),IF(COUNTIF(_xlpm.c,_xlpm.k)&gt;0,1,0))</f>
        <v>0</v>
      </c>
      <c r="E66">
        <f>IF(AND(Table1[[#This Row],[xsk]]=1,Table1[[#This Row],[sk]]=1),0,1)</f>
        <v>1</v>
      </c>
      <c r="F66" t="s">
        <v>92</v>
      </c>
      <c r="G66" s="1">
        <v>0.73722768876264899</v>
      </c>
      <c r="H66" s="1">
        <v>0.63790768385602203</v>
      </c>
      <c r="I66" s="1">
        <v>0.55265742051067801</v>
      </c>
      <c r="J66" s="1">
        <v>0.51342658583629996</v>
      </c>
      <c r="K66" s="1">
        <v>0.39924691624245001</v>
      </c>
      <c r="L66" s="1">
        <v>0.314619359309464</v>
      </c>
      <c r="M66" s="1">
        <v>0.47415277105987202</v>
      </c>
      <c r="N66" s="1">
        <v>0.61525350096445697</v>
      </c>
      <c r="O66" s="1">
        <v>1</v>
      </c>
      <c r="P66" s="1">
        <v>0.78504672897196204</v>
      </c>
      <c r="Q66" s="1">
        <v>0.53262417939472895</v>
      </c>
      <c r="R66" s="1">
        <v>0.50067478434091495</v>
      </c>
      <c r="S66" s="1">
        <v>0.49987369774026902</v>
      </c>
      <c r="T66" s="1">
        <f t="shared" si="0"/>
        <v>0.58174702438382819</v>
      </c>
    </row>
    <row r="67" spans="1:20" ht="30" customHeight="1">
      <c r="A67" t="str">
        <f t="shared" si="5"/>
        <v>turkish</v>
      </c>
      <c r="B67">
        <f>_xlfn.LET(_xlpm.c,_xlfn.SINGLE(Table1[condition]),IF(RIGHT(_xlpm.c,2)="1g",1,0))</f>
        <v>0</v>
      </c>
      <c r="C67">
        <f>_xlfn.LET(_xlpm.c,_xlfn.SINGLE(Table1[condition]),_xlpm.k,CONCATENATE("*","-xsk","*"),IF(COUNTIF(_xlpm.c,_xlpm.k)&gt;0,1,0))</f>
        <v>0</v>
      </c>
      <c r="D67">
        <f>_xlfn.LET(_xlpm.c,_xlfn.SINGLE(Table1[condition]),_xlpm.k,CONCATENATE("*","-sk","*"),IF(COUNTIF(_xlpm.c,_xlpm.k)&gt;0,1,0))</f>
        <v>0</v>
      </c>
      <c r="E67">
        <f>IF(AND(Table1[[#This Row],[xsk]]=1,Table1[[#This Row],[sk]]=1),0,1)</f>
        <v>1</v>
      </c>
      <c r="F67" t="s">
        <v>93</v>
      </c>
      <c r="G67" s="1">
        <v>0.73259323990862402</v>
      </c>
      <c r="H67" s="1">
        <v>0.84118727353809897</v>
      </c>
      <c r="I67" s="1">
        <v>0.60523426568329097</v>
      </c>
      <c r="J67" s="1">
        <v>0.40350542254789801</v>
      </c>
      <c r="K67" s="1">
        <v>0.45917891035122899</v>
      </c>
      <c r="L67" s="1">
        <v>1</v>
      </c>
      <c r="M67" s="1">
        <v>0.57933587553125099</v>
      </c>
      <c r="N67" s="1">
        <v>0</v>
      </c>
      <c r="O67" s="1">
        <v>0.52748741992886905</v>
      </c>
      <c r="P67" s="1">
        <v>0.64389881828786699</v>
      </c>
      <c r="Q67" s="1">
        <v>0.54974165311729195</v>
      </c>
      <c r="R67" s="1">
        <v>0.297337675068504</v>
      </c>
      <c r="S67" s="1">
        <v>0.54299858903940601</v>
      </c>
      <c r="T67" s="1">
        <f t="shared" si="0"/>
        <v>0.55249993407710229</v>
      </c>
    </row>
    <row r="68" spans="1:20" ht="30" customHeight="1">
      <c r="A68" t="str">
        <f t="shared" si="5"/>
        <v>turkish</v>
      </c>
      <c r="B68">
        <f>_xlfn.LET(_xlpm.c,_xlfn.SINGLE(Table1[condition]),IF(RIGHT(_xlpm.c,2)="1g",1,0))</f>
        <v>0</v>
      </c>
      <c r="C68">
        <f>_xlfn.LET(_xlpm.c,_xlfn.SINGLE(Table1[condition]),_xlpm.k,CONCATENATE("*","-xsk","*"),IF(COUNTIF(_xlpm.c,_xlpm.k)&gt;0,1,0))</f>
        <v>0</v>
      </c>
      <c r="D68">
        <f>_xlfn.LET(_xlpm.c,_xlfn.SINGLE(Table1[condition]),_xlpm.k,CONCATENATE("*","-sk","*"),IF(COUNTIF(_xlpm.c,_xlpm.k)&gt;0,1,0))</f>
        <v>1</v>
      </c>
      <c r="E68">
        <f>IF(AND(Table1[[#This Row],[xsk]]=1,Table1[[#This Row],[sk]]=1),0,1)</f>
        <v>1</v>
      </c>
      <c r="F68" t="s">
        <v>94</v>
      </c>
      <c r="G68" s="1">
        <v>0.83057124152346096</v>
      </c>
      <c r="H68" s="1">
        <v>0.80527157426464102</v>
      </c>
      <c r="I68" s="1">
        <v>0.64437823254095306</v>
      </c>
      <c r="J68" s="1"/>
      <c r="K68" s="1">
        <v>0.57766389341520097</v>
      </c>
      <c r="L68" s="1">
        <v>0.38610486667868699</v>
      </c>
      <c r="M68" s="1">
        <v>0.91388993707931299</v>
      </c>
      <c r="N68" s="1">
        <v>0.44716954891723198</v>
      </c>
      <c r="O68" s="1">
        <v>0.37221553755658499</v>
      </c>
      <c r="P68" s="1">
        <v>1</v>
      </c>
      <c r="Q68" s="1">
        <v>0.51668522645211701</v>
      </c>
      <c r="R68" s="1">
        <v>0.53406911768305099</v>
      </c>
      <c r="S68" s="1">
        <v>0.89298892988929801</v>
      </c>
      <c r="T68" s="1">
        <f t="shared" si="0"/>
        <v>0.66008400883337826</v>
      </c>
    </row>
    <row r="69" spans="1:20" ht="30" customHeight="1">
      <c r="A69" t="str">
        <f t="shared" si="5"/>
        <v>turkish</v>
      </c>
      <c r="B69">
        <f>_xlfn.LET(_xlpm.c,_xlfn.SINGLE(Table1[condition]),IF(RIGHT(_xlpm.c,2)="1g",1,0))</f>
        <v>0</v>
      </c>
      <c r="C69">
        <f>_xlfn.LET(_xlpm.c,_xlfn.SINGLE(Table1[condition]),_xlpm.k,CONCATENATE("*","-xsk","*"),IF(COUNTIF(_xlpm.c,_xlpm.k)&gt;0,1,0))</f>
        <v>0</v>
      </c>
      <c r="D69">
        <f>_xlfn.LET(_xlpm.c,_xlfn.SINGLE(Table1[condition]),_xlpm.k,CONCATENATE("*","-sk","*"),IF(COUNTIF(_xlpm.c,_xlpm.k)&gt;0,1,0))</f>
        <v>1</v>
      </c>
      <c r="E69">
        <f>IF(AND(Table1[[#This Row],[xsk]]=1,Table1[[#This Row],[sk]]=1),0,1)</f>
        <v>1</v>
      </c>
      <c r="F69" t="s">
        <v>95</v>
      </c>
      <c r="G69" s="1">
        <v>0.824716232200982</v>
      </c>
      <c r="H69" s="1">
        <v>0.60353661174236195</v>
      </c>
      <c r="I69" s="1">
        <v>1</v>
      </c>
      <c r="J69" s="1">
        <v>0.73373114456115096</v>
      </c>
      <c r="K69" s="1">
        <v>1</v>
      </c>
      <c r="L69" s="1">
        <v>0.56723041726224899</v>
      </c>
      <c r="M69" s="1">
        <v>0.51191151829848403</v>
      </c>
      <c r="N69" s="1">
        <v>1</v>
      </c>
      <c r="O69" s="1">
        <v>0.52048469339803405</v>
      </c>
      <c r="P69" s="1">
        <v>0.482990044951502</v>
      </c>
      <c r="Q69" s="1">
        <v>0.533939444035328</v>
      </c>
      <c r="R69" s="1">
        <v>0.37113496377379701</v>
      </c>
      <c r="S69" s="1">
        <v>1</v>
      </c>
      <c r="T69" s="1">
        <f t="shared" si="0"/>
        <v>0.70382115924799149</v>
      </c>
    </row>
    <row r="70" spans="1:20" ht="30" customHeight="1">
      <c r="A70" t="str">
        <f t="shared" si="5"/>
        <v>turkish</v>
      </c>
      <c r="B70">
        <f>_xlfn.LET(_xlpm.c,_xlfn.SINGLE(Table1[condition]),IF(RIGHT(_xlpm.c,2)="1g",1,0))</f>
        <v>0</v>
      </c>
      <c r="C70">
        <f>_xlfn.LET(_xlpm.c,_xlfn.SINGLE(Table1[condition]),_xlpm.k,CONCATENATE("*","-xsk","*"),IF(COUNTIF(_xlpm.c,_xlpm.k)&gt;0,1,0))</f>
        <v>1</v>
      </c>
      <c r="D70">
        <f>_xlfn.LET(_xlpm.c,_xlfn.SINGLE(Table1[condition]),_xlpm.k,CONCATENATE("*","-sk","*"),IF(COUNTIF(_xlpm.c,_xlpm.k)&gt;0,1,0))</f>
        <v>0</v>
      </c>
      <c r="E70">
        <f>IF(AND(Table1[[#This Row],[xsk]]=1,Table1[[#This Row],[sk]]=1),0,1)</f>
        <v>1</v>
      </c>
      <c r="F70" t="s">
        <v>96</v>
      </c>
      <c r="G70" s="1">
        <v>0.86115508387139905</v>
      </c>
      <c r="H70" s="1">
        <v>1</v>
      </c>
      <c r="I70" s="1">
        <v>0.73480907474853796</v>
      </c>
      <c r="J70" s="1">
        <v>0.98415736243820295</v>
      </c>
      <c r="K70" s="1">
        <v>0.81361501663063296</v>
      </c>
      <c r="L70" s="1">
        <v>0.41167840082566498</v>
      </c>
      <c r="M70" s="1">
        <v>0.5</v>
      </c>
      <c r="N70" s="1">
        <v>1</v>
      </c>
      <c r="O70" s="1">
        <v>0.94503996683586799</v>
      </c>
      <c r="P70" s="1">
        <v>0.48618725825205</v>
      </c>
      <c r="Q70" s="1">
        <v>0.52425045981949503</v>
      </c>
      <c r="R70" s="1">
        <v>0.296102733509993</v>
      </c>
      <c r="S70" s="1">
        <v>1</v>
      </c>
      <c r="T70" s="1">
        <f t="shared" si="0"/>
        <v>0.7351534889947573</v>
      </c>
    </row>
    <row r="71" spans="1:20" ht="30" customHeight="1">
      <c r="A71" t="str">
        <f t="shared" si="5"/>
        <v>turkish</v>
      </c>
      <c r="B71">
        <f>_xlfn.LET(_xlpm.c,_xlfn.SINGLE(Table1[condition]),IF(RIGHT(_xlpm.c,2)="1g",1,0))</f>
        <v>0</v>
      </c>
      <c r="C71">
        <f>_xlfn.LET(_xlpm.c,_xlfn.SINGLE(Table1[condition]),_xlpm.k,CONCATENATE("*","-xsk","*"),IF(COUNTIF(_xlpm.c,_xlpm.k)&gt;0,1,0))</f>
        <v>1</v>
      </c>
      <c r="D71">
        <f>_xlfn.LET(_xlpm.c,_xlfn.SINGLE(Table1[condition]),_xlpm.k,CONCATENATE("*","-sk","*"),IF(COUNTIF(_xlpm.c,_xlpm.k)&gt;0,1,0))</f>
        <v>0</v>
      </c>
      <c r="E71">
        <f>IF(AND(Table1[[#This Row],[xsk]]=1,Table1[[#This Row],[sk]]=1),0,1)</f>
        <v>1</v>
      </c>
      <c r="F71" t="s">
        <v>97</v>
      </c>
      <c r="G71" s="1">
        <v>1</v>
      </c>
      <c r="H71" s="1">
        <v>0.76071576629623405</v>
      </c>
      <c r="I71" s="1">
        <v>0.97104630142503301</v>
      </c>
      <c r="J71" s="1">
        <v>0.717714060867506</v>
      </c>
      <c r="K71" s="1">
        <v>1</v>
      </c>
      <c r="L71" s="1">
        <v>0.49852069711043101</v>
      </c>
      <c r="M71" s="1">
        <v>0.49427405832653298</v>
      </c>
      <c r="N71" s="1">
        <v>0.361388362019613</v>
      </c>
      <c r="O71" s="1">
        <v>0.36640856118804999</v>
      </c>
      <c r="P71" s="1">
        <v>0.47335675730635601</v>
      </c>
      <c r="Q71" s="1">
        <v>1</v>
      </c>
      <c r="R71" s="1">
        <v>0.39451429139693101</v>
      </c>
      <c r="S71" s="1">
        <v>1</v>
      </c>
      <c r="T71" s="1">
        <f t="shared" si="0"/>
        <v>0.69522606584128366</v>
      </c>
    </row>
    <row r="73" spans="1:20" ht="30" customHeight="1">
      <c r="F73" t="s">
        <v>44</v>
      </c>
    </row>
    <row r="74" spans="1:20" ht="30" customHeight="1">
      <c r="F74" t="s">
        <v>37</v>
      </c>
      <c r="G74" s="2">
        <f>_xlfn.LET(_xlpm.d,G$2:G$71,AVERAGE(_xlpm.d))</f>
        <v>0.78752304347034929</v>
      </c>
      <c r="H74" s="2">
        <f t="shared" ref="H74:T74" si="6">_xlfn.LET(_xlpm.d,H$2:H$71,AVERAGE(_xlpm.d))</f>
        <v>0.75171209329711908</v>
      </c>
      <c r="I74" s="2">
        <f t="shared" si="6"/>
        <v>0.71801059821991053</v>
      </c>
      <c r="J74" s="2">
        <f t="shared" si="6"/>
        <v>0.72268699197434461</v>
      </c>
      <c r="K74" s="2">
        <f t="shared" si="6"/>
        <v>0.67414192435688014</v>
      </c>
      <c r="L74" s="2">
        <f t="shared" si="6"/>
        <v>0.65309491040853196</v>
      </c>
      <c r="M74" s="2">
        <f t="shared" si="6"/>
        <v>0.66158717658216593</v>
      </c>
      <c r="N74" s="2">
        <f t="shared" si="6"/>
        <v>0.63358114075866667</v>
      </c>
      <c r="O74" s="2">
        <f t="shared" si="6"/>
        <v>0.63048109297998034</v>
      </c>
      <c r="P74" s="2">
        <f t="shared" si="6"/>
        <v>0.63470725055854837</v>
      </c>
      <c r="Q74" s="2">
        <f t="shared" si="6"/>
        <v>0.61499295639665164</v>
      </c>
      <c r="R74" s="2">
        <f t="shared" si="6"/>
        <v>0.5914031681285844</v>
      </c>
      <c r="S74" s="2">
        <f t="shared" si="6"/>
        <v>0.59331740203961281</v>
      </c>
      <c r="T74" s="2">
        <f t="shared" si="6"/>
        <v>0.66548582154795466</v>
      </c>
    </row>
    <row r="75" spans="1:20" ht="30" customHeight="1">
      <c r="F75" t="s">
        <v>38</v>
      </c>
      <c r="G75" s="2" cm="1">
        <f t="array" ref="G75">_xlfn.LET(_xlpm.d,G$2:G$71,_xlpm.f,$A$2:$A$71,_xlpm.k,$F75,AVERAGE(_xlfn._xlws.FILTER(_xlpm.d,_xlpm.f=_xlpm.k)))</f>
        <v>0.99483757918653892</v>
      </c>
      <c r="H75" s="2" cm="1">
        <f t="array" ref="H75">_xlfn.LET(_xlpm.d,H$2:H$71,_xlpm.f,$A$2:$A$71,_xlpm.k,$F75,AVERAGE(_xlfn._xlws.FILTER(_xlpm.d,_xlpm.f=_xlpm.k)))</f>
        <v>0.99988847889477461</v>
      </c>
      <c r="I75" s="2" cm="1">
        <f t="array" ref="I75">_xlfn.LET(_xlpm.d,I$2:I$71,_xlpm.f,$A$2:$A$71,_xlpm.k,$F75,AVERAGE(_xlfn._xlws.FILTER(_xlpm.d,_xlpm.f=_xlpm.k)))</f>
        <v>0.99733696466389887</v>
      </c>
      <c r="J75" s="2" cm="1">
        <f t="array" ref="J75">_xlfn.LET(_xlpm.d,J$2:J$71,_xlpm.f,$A$2:$A$71,_xlpm.k,$F75,AVERAGE(_xlfn._xlws.FILTER(_xlpm.d,_xlpm.f=_xlpm.k)))</f>
        <v>0.99721217412957019</v>
      </c>
      <c r="K75" s="2" cm="1">
        <f t="array" ref="K75">_xlfn.LET(_xlpm.d,K$2:K$71,_xlpm.f,$A$2:$A$71,_xlpm.k,$F75,AVERAGE(_xlfn._xlws.FILTER(_xlpm.d,_xlpm.f=_xlpm.k)))</f>
        <v>0.99234449670244029</v>
      </c>
      <c r="L75" s="2" cm="1">
        <f t="array" ref="L75">_xlfn.LET(_xlpm.d,L$2:L$71,_xlpm.f,$A$2:$A$71,_xlpm.k,$F75,AVERAGE(_xlfn._xlws.FILTER(_xlpm.d,_xlpm.f=_xlpm.k)))</f>
        <v>0.99530486897179471</v>
      </c>
      <c r="M75" s="2" cm="1">
        <f t="array" ref="M75">_xlfn.LET(_xlpm.d,M$2:M$71,_xlpm.f,$A$2:$A$71,_xlpm.k,$F75,AVERAGE(_xlfn._xlws.FILTER(_xlpm.d,_xlpm.f=_xlpm.k)))</f>
        <v>0.99768071095518762</v>
      </c>
      <c r="N75" s="2" cm="1">
        <f t="array" ref="N75">_xlfn.LET(_xlpm.d,N$2:N$71,_xlpm.f,$A$2:$A$71,_xlpm.k,$F75,AVERAGE(_xlfn._xlws.FILTER(_xlpm.d,_xlpm.f=_xlpm.k)))</f>
        <v>0.97493228254814246</v>
      </c>
      <c r="O75" s="2" cm="1">
        <f t="array" ref="O75">_xlfn.LET(_xlpm.d,O$2:O$71,_xlpm.f,$A$2:$A$71,_xlpm.k,$F75,AVERAGE(_xlfn._xlws.FILTER(_xlpm.d,_xlpm.f=_xlpm.k)))</f>
        <v>0.99963338879531194</v>
      </c>
      <c r="P75" s="2" cm="1">
        <f t="array" ref="P75">_xlfn.LET(_xlpm.d,P$2:P$71,_xlpm.f,$A$2:$A$71,_xlpm.k,$F75,AVERAGE(_xlfn._xlws.FILTER(_xlpm.d,_xlpm.f=_xlpm.k)))</f>
        <v>0.99905909009259275</v>
      </c>
      <c r="Q75" s="2" cm="1">
        <f t="array" ref="Q75">_xlfn.LET(_xlpm.d,Q$2:Q$71,_xlpm.f,$A$2:$A$71,_xlpm.k,$F75,AVERAGE(_xlfn._xlws.FILTER(_xlpm.d,_xlpm.f=_xlpm.k)))</f>
        <v>0.99966227122461759</v>
      </c>
      <c r="R75" s="2" cm="1">
        <f t="array" ref="R75">_xlfn.LET(_xlpm.d,R$2:R$71,_xlpm.f,$A$2:$A$71,_xlpm.k,$F75,AVERAGE(_xlfn._xlws.FILTER(_xlpm.d,_xlpm.f=_xlpm.k)))</f>
        <v>0.99968671277419574</v>
      </c>
      <c r="S75" s="2" cm="1">
        <f t="array" ref="S75">_xlfn.LET(_xlpm.d,S$2:S$71,_xlpm.f,$A$2:$A$71,_xlpm.k,$F75,AVERAGE(_xlfn._xlws.FILTER(_xlpm.d,_xlpm.f=_xlpm.k)))</f>
        <v>0.92551957837800292</v>
      </c>
      <c r="T75" s="2" cm="1">
        <f t="array" ref="T75">_xlfn.LET(_xlpm.d,T$2:T$71,_xlpm.f,$A$2:$A$71,_xlpm.k,$F75,AVERAGE(_xlfn._xlws.FILTER(_xlpm.d,_xlpm.f=_xlpm.k)))</f>
        <v>0.99023835363977464</v>
      </c>
    </row>
    <row r="76" spans="1:20" ht="30" customHeight="1">
      <c r="F76" t="s">
        <v>40</v>
      </c>
      <c r="G76" s="2" cm="1">
        <f t="array" ref="G76">_xlfn.LET(_xlpm.d,G$2:G$71,_xlpm.f,$A$2:$A$71,_xlpm.k,$F76,AVERAGE(_xlfn._xlws.FILTER(_xlpm.d,_xlpm.f=_xlpm.k)))</f>
        <v>0.37707254286318398</v>
      </c>
      <c r="H76" s="2" cm="1">
        <f t="array" ref="H76">_xlfn.LET(_xlpm.d,H$2:H$71,_xlpm.f,$A$2:$A$71,_xlpm.k,$F76,AVERAGE(_xlfn._xlws.FILTER(_xlpm.d,_xlpm.f=_xlpm.k)))</f>
        <v>0.32137106697500928</v>
      </c>
      <c r="I76" s="2" cm="1">
        <f t="array" ref="I76">_xlfn.LET(_xlpm.d,I$2:I$71,_xlpm.f,$A$2:$A$71,_xlpm.k,$F76,AVERAGE(_xlfn._xlws.FILTER(_xlpm.d,_xlpm.f=_xlpm.k)))</f>
        <v>0.168250984620094</v>
      </c>
      <c r="J76" s="2" cm="1">
        <f t="array" ref="J76">_xlfn.LET(_xlpm.d,J$2:J$71,_xlpm.f,$A$2:$A$71,_xlpm.k,$F76,AVERAGE(_xlfn._xlws.FILTER(_xlpm.d,_xlpm.f=_xlpm.k)))</f>
        <v>0.37635980673823383</v>
      </c>
      <c r="K76" s="2" cm="1">
        <f t="array" ref="K76">_xlfn.LET(_xlpm.d,K$2:K$71,_xlpm.f,$A$2:$A$71,_xlpm.k,$F76,AVERAGE(_xlfn._xlws.FILTER(_xlpm.d,_xlpm.f=_xlpm.k)))</f>
        <v>0.19143112031551901</v>
      </c>
      <c r="L76" s="2" cm="1">
        <f t="array" ref="L76">_xlfn.LET(_xlpm.d,L$2:L$71,_xlpm.f,$A$2:$A$71,_xlpm.k,$F76,AVERAGE(_xlfn._xlws.FILTER(_xlpm.d,_xlpm.f=_xlpm.k)))</f>
        <v>0.15757409656432184</v>
      </c>
      <c r="M76" s="2" cm="1">
        <f t="array" ref="M76">_xlfn.LET(_xlpm.d,M$2:M$71,_xlpm.f,$A$2:$A$71,_xlpm.k,$F76,AVERAGE(_xlfn._xlws.FILTER(_xlpm.d,_xlpm.f=_xlpm.k)))</f>
        <v>0.22671689469749459</v>
      </c>
      <c r="N76" s="2" cm="1">
        <f t="array" ref="N76">_xlfn.LET(_xlpm.d,N$2:N$71,_xlpm.f,$A$2:$A$71,_xlpm.k,$F76,AVERAGE(_xlfn._xlws.FILTER(_xlpm.d,_xlpm.f=_xlpm.k)))</f>
        <v>4.2405043779123429E-2</v>
      </c>
      <c r="O76" s="2" cm="1">
        <f t="array" ref="O76">_xlfn.LET(_xlpm.d,O$2:O$71,_xlpm.f,$A$2:$A$71,_xlpm.k,$F76,AVERAGE(_xlfn._xlws.FILTER(_xlpm.d,_xlpm.f=_xlpm.k)))</f>
        <v>7.759688475074486E-2</v>
      </c>
      <c r="P76" s="2" cm="1">
        <f t="array" ref="P76">_xlfn.LET(_xlpm.d,P$2:P$71,_xlpm.f,$A$2:$A$71,_xlpm.k,$F76,AVERAGE(_xlfn._xlws.FILTER(_xlpm.d,_xlpm.f=_xlpm.k)))</f>
        <v>8.3684415357182143E-2</v>
      </c>
      <c r="Q76" s="2" cm="1">
        <f t="array" ref="Q76">_xlfn.LET(_xlpm.d,Q$2:Q$71,_xlpm.f,$A$2:$A$71,_xlpm.k,$F76,AVERAGE(_xlfn._xlws.FILTER(_xlpm.d,_xlpm.f=_xlpm.k)))</f>
        <v>9.4166651580395014E-2</v>
      </c>
      <c r="R76" s="2" cm="1">
        <f t="array" ref="R76">_xlfn.LET(_xlpm.d,R$2:R$71,_xlpm.f,$A$2:$A$71,_xlpm.k,$F76,AVERAGE(_xlfn._xlws.FILTER(_xlpm.d,_xlpm.f=_xlpm.k)))</f>
        <v>3.7527184751250282E-2</v>
      </c>
      <c r="S76" s="2" cm="1">
        <f t="array" ref="S76">_xlfn.LET(_xlpm.d,S$2:S$71,_xlpm.f,$A$2:$A$71,_xlpm.k,$F76,AVERAGE(_xlfn._xlws.FILTER(_xlpm.d,_xlpm.f=_xlpm.k)))</f>
        <v>0</v>
      </c>
      <c r="T76" s="2" cm="1">
        <f t="array" ref="T76">_xlfn.LET(_xlpm.d,T$2:T$71,_xlpm.f,$A$2:$A$71,_xlpm.k,$F76,AVERAGE(_xlfn._xlws.FILTER(_xlpm.d,_xlpm.f=_xlpm.k)))</f>
        <v>0.1634787864923575</v>
      </c>
    </row>
    <row r="77" spans="1:20" ht="30" customHeight="1">
      <c r="F77" t="s">
        <v>41</v>
      </c>
      <c r="G77" s="2" cm="1">
        <f t="array" ref="G77">_xlfn.LET(_xlpm.d,G$2:G$71,_xlpm.f,$A$2:$A$71,_xlpm.k,$F77,AVERAGE(_xlfn._xlws.FILTER(_xlpm.d,_xlpm.f=_xlpm.k)))</f>
        <v>0.51763801085007</v>
      </c>
      <c r="H77" s="2" cm="1">
        <f t="array" ref="H77">_xlfn.LET(_xlpm.d,H$2:H$71,_xlpm.f,$A$2:$A$71,_xlpm.k,$F77,AVERAGE(_xlfn._xlws.FILTER(_xlpm.d,_xlpm.f=_xlpm.k)))</f>
        <v>0.31480842141406667</v>
      </c>
      <c r="I77" s="2" cm="1">
        <f t="array" ref="I77">_xlfn.LET(_xlpm.d,I$2:I$71,_xlpm.f,$A$2:$A$71,_xlpm.k,$F77,AVERAGE(_xlfn._xlws.FILTER(_xlpm.d,_xlpm.f=_xlpm.k)))</f>
        <v>0.24672246503186801</v>
      </c>
      <c r="J77" s="2" cm="1">
        <f t="array" ref="J77">_xlfn.LET(_xlpm.d,J$2:J$71,_xlpm.f,$A$2:$A$71,_xlpm.k,$F77,AVERAGE(_xlfn._xlws.FILTER(_xlpm.d,_xlpm.f=_xlpm.k)))</f>
        <v>0.27557490613208757</v>
      </c>
      <c r="K77" s="2" cm="1">
        <f t="array" ref="K77">_xlfn.LET(_xlpm.d,K$2:K$71,_xlpm.f,$A$2:$A$71,_xlpm.k,$F77,AVERAGE(_xlfn._xlws.FILTER(_xlpm.d,_xlpm.f=_xlpm.k)))</f>
        <v>0.11834455334080499</v>
      </c>
      <c r="L77" s="2" cm="1">
        <f t="array" ref="L77">_xlfn.LET(_xlpm.d,L$2:L$71,_xlpm.f,$A$2:$A$71,_xlpm.k,$F77,AVERAGE(_xlfn._xlws.FILTER(_xlpm.d,_xlpm.f=_xlpm.k)))</f>
        <v>0.14989328092158957</v>
      </c>
      <c r="M77" s="2" cm="1">
        <f t="array" ref="M77">_xlfn.LET(_xlpm.d,M$2:M$71,_xlpm.f,$A$2:$A$71,_xlpm.k,$F77,AVERAGE(_xlfn._xlws.FILTER(_xlpm.d,_xlpm.f=_xlpm.k)))</f>
        <v>0.24927636259677241</v>
      </c>
      <c r="N77" s="2" cm="1">
        <f t="array" ref="N77">_xlfn.LET(_xlpm.d,N$2:N$71,_xlpm.f,$A$2:$A$71,_xlpm.k,$F77,AVERAGE(_xlfn._xlws.FILTER(_xlpm.d,_xlpm.f=_xlpm.k)))</f>
        <v>0.13835347111653729</v>
      </c>
      <c r="O77" s="2" cm="1">
        <f t="array" ref="O77">_xlfn.LET(_xlpm.d,O$2:O$71,_xlpm.f,$A$2:$A$71,_xlpm.k,$F77,AVERAGE(_xlfn._xlws.FILTER(_xlpm.d,_xlpm.f=_xlpm.k)))</f>
        <v>0.11620944814992241</v>
      </c>
      <c r="P77" s="2" cm="1">
        <f t="array" ref="P77">_xlfn.LET(_xlpm.d,P$2:P$71,_xlpm.f,$A$2:$A$71,_xlpm.k,$F77,AVERAGE(_xlfn._xlws.FILTER(_xlpm.d,_xlpm.f=_xlpm.k)))</f>
        <v>0.19472729038420872</v>
      </c>
      <c r="Q77" s="2" cm="1">
        <f t="array" ref="Q77">_xlfn.LET(_xlpm.d,Q$2:Q$71,_xlpm.f,$A$2:$A$71,_xlpm.k,$F77,AVERAGE(_xlfn._xlws.FILTER(_xlpm.d,_xlpm.f=_xlpm.k)))</f>
        <v>0.1579210035035063</v>
      </c>
      <c r="R77" s="2" cm="1">
        <f t="array" ref="R77">_xlfn.LET(_xlpm.d,R$2:R$71,_xlpm.f,$A$2:$A$71,_xlpm.k,$F77,AVERAGE(_xlfn._xlws.FILTER(_xlpm.d,_xlpm.f=_xlpm.k)))</f>
        <v>4.9758538282954859E-2</v>
      </c>
      <c r="S77" s="2" cm="1">
        <f t="array" ref="S77">_xlfn.LET(_xlpm.d,S$2:S$71,_xlpm.f,$A$2:$A$71,_xlpm.k,$F77,AVERAGE(_xlfn._xlws.FILTER(_xlpm.d,_xlpm.f=_xlpm.k)))</f>
        <v>7.3134669045372996E-2</v>
      </c>
      <c r="T77" s="2" cm="1">
        <f t="array" ref="T77">_xlfn.LET(_xlpm.d,T$2:T$71,_xlpm.f,$A$2:$A$71,_xlpm.k,$F77,AVERAGE(_xlfn._xlws.FILTER(_xlpm.d,_xlpm.f=_xlpm.k)))</f>
        <v>0.20018172467459708</v>
      </c>
    </row>
    <row r="78" spans="1:20" ht="30" customHeight="1">
      <c r="F78" t="s">
        <v>98</v>
      </c>
      <c r="G78" s="2" cm="1">
        <f t="array" ref="G78">_xlfn.LET(_xlpm.d,G$2:G$71,_xlpm.f,$A$2:$A$71,_xlpm.k,$F78,AVERAGE(_xlfn._xlws.FILTER(_xlpm.d,_xlpm.f=_xlpm.k)))</f>
        <v>0.73465828086115337</v>
      </c>
      <c r="H78" s="2" cm="1">
        <f t="array" ref="H78">_xlfn.LET(_xlpm.d,H$2:H$71,_xlpm.f,$A$2:$A$71,_xlpm.k,$F78,AVERAGE(_xlfn._xlws.FILTER(_xlpm.d,_xlpm.f=_xlpm.k)))</f>
        <v>0.76888452996706291</v>
      </c>
      <c r="I78" s="2" cm="1">
        <f t="array" ref="I78">_xlfn.LET(_xlpm.d,I$2:I$71,_xlpm.f,$A$2:$A$71,_xlpm.k,$F78,AVERAGE(_xlfn._xlws.FILTER(_xlpm.d,_xlpm.f=_xlpm.k)))</f>
        <v>0.64567840853663794</v>
      </c>
      <c r="J78" s="2" cm="1">
        <f t="array" ref="J78">_xlfn.LET(_xlpm.d,J$2:J$71,_xlpm.f,$A$2:$A$71,_xlpm.k,$F78,AVERAGE(_xlfn._xlws.FILTER(_xlpm.d,_xlpm.f=_xlpm.k)))</f>
        <v>0.60277974547411939</v>
      </c>
      <c r="K78" s="2" cm="1">
        <f t="array" ref="K78">_xlfn.LET(_xlpm.d,K$2:K$71,_xlpm.f,$A$2:$A$71,_xlpm.k,$F78,AVERAGE(_xlfn._xlws.FILTER(_xlpm.d,_xlpm.f=_xlpm.k)))</f>
        <v>0.58473008724209463</v>
      </c>
      <c r="L78" s="2" cm="1">
        <f t="array" ref="L78">_xlfn.LET(_xlpm.d,L$2:L$71,_xlpm.f,$A$2:$A$71,_xlpm.k,$F78,AVERAGE(_xlfn._xlws.FILTER(_xlpm.d,_xlpm.f=_xlpm.k)))</f>
        <v>0.565405660269649</v>
      </c>
      <c r="M78" s="2" cm="1">
        <f t="array" ref="M78">_xlfn.LET(_xlpm.d,M$2:M$71,_xlpm.f,$A$2:$A$71,_xlpm.k,$F78,AVERAGE(_xlfn._xlws.FILTER(_xlpm.d,_xlpm.f=_xlpm.k)))</f>
        <v>0.4501841118220164</v>
      </c>
      <c r="N78" s="2" cm="1">
        <f t="array" ref="N78">_xlfn.LET(_xlpm.d,N$2:N$71,_xlpm.f,$A$2:$A$71,_xlpm.k,$F78,AVERAGE(_xlfn._xlws.FILTER(_xlpm.d,_xlpm.f=_xlpm.k)))</f>
        <v>0.58866644297381654</v>
      </c>
      <c r="O78" s="2" cm="1">
        <f t="array" ref="O78">_xlfn.LET(_xlpm.d,O$2:O$71,_xlpm.f,$A$2:$A$71,_xlpm.k,$F78,AVERAGE(_xlfn._xlws.FILTER(_xlpm.d,_xlpm.f=_xlpm.k)))</f>
        <v>0.44644598050552053</v>
      </c>
      <c r="P78" s="2" cm="1">
        <f t="array" ref="P78">_xlfn.LET(_xlpm.d,P$2:P$71,_xlpm.f,$A$2:$A$71,_xlpm.k,$F78,AVERAGE(_xlfn._xlws.FILTER(_xlpm.d,_xlpm.f=_xlpm.k)))</f>
        <v>0.3477920519674777</v>
      </c>
      <c r="Q78" s="2" cm="1">
        <f t="array" ref="Q78">_xlfn.LET(_xlpm.d,Q$2:Q$71,_xlpm.f,$A$2:$A$71,_xlpm.k,$F78,AVERAGE(_xlfn._xlws.FILTER(_xlpm.d,_xlpm.f=_xlpm.k)))</f>
        <v>0.43424580548046182</v>
      </c>
      <c r="R78" s="2" cm="1">
        <f t="array" ref="R78">_xlfn.LET(_xlpm.d,R$2:R$71,_xlpm.f,$A$2:$A$71,_xlpm.k,$F78,AVERAGE(_xlfn._xlws.FILTER(_xlpm.d,_xlpm.f=_xlpm.k)))</f>
        <v>0.50117469664237002</v>
      </c>
      <c r="S78" s="2" cm="1">
        <f t="array" ref="S78">_xlfn.LET(_xlpm.d,S$2:S$71,_xlpm.f,$A$2:$A$71,_xlpm.k,$F78,AVERAGE(_xlfn._xlws.FILTER(_xlpm.d,_xlpm.f=_xlpm.k)))</f>
        <v>0.33722925524899178</v>
      </c>
      <c r="T78" s="2" cm="1">
        <f t="array" ref="T78">_xlfn.LET(_xlpm.d,T$2:T$71,_xlpm.f,$A$2:$A$71,_xlpm.k,$F78,AVERAGE(_xlfn._xlws.FILTER(_xlpm.d,_xlpm.f=_xlpm.k)))</f>
        <v>0.53906731207625935</v>
      </c>
    </row>
    <row r="79" spans="1:20" ht="30" customHeight="1">
      <c r="F79" t="s">
        <v>39</v>
      </c>
      <c r="G79" s="2" cm="1">
        <f t="array" ref="G79">_xlfn.LET(_xlpm.d,G$2:G$71,_xlpm.f,$A$2:$A$71,_xlpm.k,$F79,AVERAGE(_xlfn._xlws.FILTER(_xlpm.d,_xlpm.f=_xlpm.k)))</f>
        <v>0.56340846420206936</v>
      </c>
      <c r="H79" s="2" cm="1">
        <f t="array" ref="H79">_xlfn.LET(_xlpm.d,H$2:H$71,_xlpm.f,$A$2:$A$71,_xlpm.k,$F79,AVERAGE(_xlfn._xlws.FILTER(_xlpm.d,_xlpm.f=_xlpm.k)))</f>
        <v>0.6310983774305744</v>
      </c>
      <c r="I79" s="2" cm="1">
        <f t="array" ref="I79">_xlfn.LET(_xlpm.d,I$2:I$71,_xlpm.f,$A$2:$A$71,_xlpm.k,$F79,AVERAGE(_xlfn._xlws.FILTER(_xlpm.d,_xlpm.f=_xlpm.k)))</f>
        <v>0.57110337140494305</v>
      </c>
      <c r="J79" s="2" cm="1">
        <f t="array" ref="J79">_xlfn.LET(_xlpm.d,J$2:J$71,_xlpm.f,$A$2:$A$71,_xlpm.k,$F79,AVERAGE(_xlfn._xlws.FILTER(_xlpm.d,_xlpm.f=_xlpm.k)))</f>
        <v>0.54905046160137805</v>
      </c>
      <c r="K79" s="2" cm="1">
        <f t="array" ref="K79">_xlfn.LET(_xlpm.d,K$2:K$71,_xlpm.f,$A$2:$A$71,_xlpm.k,$F79,AVERAGE(_xlfn._xlws.FILTER(_xlpm.d,_xlpm.f=_xlpm.k)))</f>
        <v>0.49311985322539365</v>
      </c>
      <c r="L79" s="2" cm="1">
        <f t="array" ref="L79">_xlfn.LET(_xlpm.d,L$2:L$71,_xlpm.f,$A$2:$A$71,_xlpm.k,$F79,AVERAGE(_xlfn._xlws.FILTER(_xlpm.d,_xlpm.f=_xlpm.k)))</f>
        <v>0.44480154151703599</v>
      </c>
      <c r="M79" s="2" cm="1">
        <f t="array" ref="M79">_xlfn.LET(_xlpm.d,M$2:M$71,_xlpm.f,$A$2:$A$71,_xlpm.k,$F79,AVERAGE(_xlfn._xlws.FILTER(_xlpm.d,_xlpm.f=_xlpm.k)))</f>
        <v>0.4461791379063243</v>
      </c>
      <c r="N79" s="2" cm="1">
        <f t="array" ref="N79">_xlfn.LET(_xlpm.d,N$2:N$71,_xlpm.f,$A$2:$A$71,_xlpm.k,$F79,AVERAGE(_xlfn._xlws.FILTER(_xlpm.d,_xlpm.f=_xlpm.k)))</f>
        <v>0.38695334924677216</v>
      </c>
      <c r="O79" s="2" cm="1">
        <f t="array" ref="O79">_xlfn.LET(_xlpm.d,O$2:O$71,_xlpm.f,$A$2:$A$71,_xlpm.k,$F79,AVERAGE(_xlfn._xlws.FILTER(_xlpm.d,_xlpm.f=_xlpm.k)))</f>
        <v>0.41570828838688423</v>
      </c>
      <c r="P79" s="2" cm="1">
        <f t="array" ref="P79">_xlfn.LET(_xlpm.d,P$2:P$71,_xlpm.f,$A$2:$A$71,_xlpm.k,$F79,AVERAGE(_xlfn._xlws.FILTER(_xlpm.d,_xlpm.f=_xlpm.k)))</f>
        <v>0.49758026430755559</v>
      </c>
      <c r="Q79" s="2" cm="1">
        <f t="array" ref="Q79">_xlfn.LET(_xlpm.d,Q$2:Q$71,_xlpm.f,$A$2:$A$71,_xlpm.k,$F79,AVERAGE(_xlfn._xlws.FILTER(_xlpm.d,_xlpm.f=_xlpm.k)))</f>
        <v>0.37598358632197126</v>
      </c>
      <c r="R79" s="2" cm="1">
        <f t="array" ref="R79">_xlfn.LET(_xlpm.d,R$2:R$71,_xlpm.f,$A$2:$A$71,_xlpm.k,$F79,AVERAGE(_xlfn._xlws.FILTER(_xlpm.d,_xlpm.f=_xlpm.k)))</f>
        <v>0.38445389121960744</v>
      </c>
      <c r="S79" s="2" cm="1">
        <f t="array" ref="S79">_xlfn.LET(_xlpm.d,S$2:S$71,_xlpm.f,$A$2:$A$71,_xlpm.k,$F79,AVERAGE(_xlfn._xlws.FILTER(_xlpm.d,_xlpm.f=_xlpm.k)))</f>
        <v>0.26398700625331933</v>
      </c>
      <c r="T79" s="2" cm="1">
        <f t="array" ref="T79">_xlfn.LET(_xlpm.d,T$2:T$71,_xlpm.f,$A$2:$A$71,_xlpm.k,$F79,AVERAGE(_xlfn._xlws.FILTER(_xlpm.d,_xlpm.f=_xlpm.k)))</f>
        <v>0.46794959960612925</v>
      </c>
    </row>
    <row r="80" spans="1:20" ht="30" customHeight="1">
      <c r="F80" t="s">
        <v>99</v>
      </c>
      <c r="G80" s="2" cm="1">
        <f t="array" ref="G80">_xlfn.LET(_xlpm.d,G$2:G$71,_xlpm.f,$A$2:$A$71,_xlpm.k,$F80,AVERAGE(_xlfn._xlws.FILTER(_xlpm.d,_xlpm.f=_xlpm.k)))</f>
        <v>0.97633862760876033</v>
      </c>
      <c r="H80" s="2" cm="1">
        <f t="array" ref="H80">_xlfn.LET(_xlpm.d,H$2:H$71,_xlpm.f,$A$2:$A$71,_xlpm.k,$F80,AVERAGE(_xlfn._xlws.FILTER(_xlpm.d,_xlpm.f=_xlpm.k)))</f>
        <v>0.97522154446503218</v>
      </c>
      <c r="I80" s="2" cm="1">
        <f t="array" ref="I80">_xlfn.LET(_xlpm.d,I$2:I$71,_xlpm.f,$A$2:$A$71,_xlpm.k,$F80,AVERAGE(_xlfn._xlws.FILTER(_xlpm.d,_xlpm.f=_xlpm.k)))</f>
        <v>0.98025911444079683</v>
      </c>
      <c r="J80" s="2" cm="1">
        <f t="array" ref="J80">_xlfn.LET(_xlpm.d,J$2:J$71,_xlpm.f,$A$2:$A$71,_xlpm.k,$F80,AVERAGE(_xlfn._xlws.FILTER(_xlpm.d,_xlpm.f=_xlpm.k)))</f>
        <v>0.99989218279710823</v>
      </c>
      <c r="K80" s="2" cm="1">
        <f t="array" ref="K80">_xlfn.LET(_xlpm.d,K$2:K$71,_xlpm.f,$A$2:$A$71,_xlpm.k,$F80,AVERAGE(_xlfn._xlws.FILTER(_xlpm.d,_xlpm.f=_xlpm.k)))</f>
        <v>0.99969923745583189</v>
      </c>
      <c r="L80" s="2" cm="1">
        <f t="array" ref="L80">_xlfn.LET(_xlpm.d,L$2:L$71,_xlpm.f,$A$2:$A$71,_xlpm.k,$F80,AVERAGE(_xlfn._xlws.FILTER(_xlpm.d,_xlpm.f=_xlpm.k)))</f>
        <v>0.98227287421607845</v>
      </c>
      <c r="M80" s="2" cm="1">
        <f t="array" ref="M80">_xlfn.LET(_xlpm.d,M$2:M$71,_xlpm.f,$A$2:$A$71,_xlpm.k,$F80,AVERAGE(_xlfn._xlws.FILTER(_xlpm.d,_xlpm.f=_xlpm.k)))</f>
        <v>0.98949007099664343</v>
      </c>
      <c r="N80" s="2" cm="1">
        <f t="array" ref="N80">_xlfn.LET(_xlpm.d,N$2:N$71,_xlpm.f,$A$2:$A$71,_xlpm.k,$F80,AVERAGE(_xlfn._xlws.FILTER(_xlpm.d,_xlpm.f=_xlpm.k)))</f>
        <v>0.98150499990490181</v>
      </c>
      <c r="O80" s="2" cm="1">
        <f t="array" ref="O80">_xlfn.LET(_xlpm.d,O$2:O$71,_xlpm.f,$A$2:$A$71,_xlpm.k,$F80,AVERAGE(_xlfn._xlws.FILTER(_xlpm.d,_xlpm.f=_xlpm.k)))</f>
        <v>0.99796606688468559</v>
      </c>
      <c r="P80" s="2" cm="1">
        <f t="array" ref="P80">_xlfn.LET(_xlpm.d,P$2:P$71,_xlpm.f,$A$2:$A$71,_xlpm.k,$F80,AVERAGE(_xlfn._xlws.FILTER(_xlpm.d,_xlpm.f=_xlpm.k)))</f>
        <v>0.98378651554390362</v>
      </c>
      <c r="Q80" s="2" cm="1">
        <f t="array" ref="Q80">_xlfn.LET(_xlpm.d,Q$2:Q$71,_xlpm.f,$A$2:$A$71,_xlpm.k,$F80,AVERAGE(_xlfn._xlws.FILTER(_xlpm.d,_xlpm.f=_xlpm.k)))</f>
        <v>0.98613541861391785</v>
      </c>
      <c r="R80" s="2" cm="1">
        <f t="array" ref="R80">_xlfn.LET(_xlpm.d,R$2:R$71,_xlpm.f,$A$2:$A$71,_xlpm.k,$F80,AVERAGE(_xlfn._xlws.FILTER(_xlpm.d,_xlpm.f=_xlpm.k)))</f>
        <v>0.97694529169121724</v>
      </c>
      <c r="S80" s="2" cm="1">
        <f t="array" ref="S80">_xlfn.LET(_xlpm.d,S$2:S$71,_xlpm.f,$A$2:$A$71,_xlpm.k,$F80,AVERAGE(_xlfn._xlws.FILTER(_xlpm.d,_xlpm.f=_xlpm.k)))</f>
        <v>0.93856827244553165</v>
      </c>
      <c r="T80" s="2" cm="1">
        <f t="array" ref="T80">_xlfn.LET(_xlpm.d,T$2:T$71,_xlpm.f,$A$2:$A$71,_xlpm.k,$F80,AVERAGE(_xlfn._xlws.FILTER(_xlpm.d,_xlpm.f=_xlpm.k)))</f>
        <v>0.98216001669726227</v>
      </c>
    </row>
    <row r="81" spans="6:20" ht="30" customHeight="1">
      <c r="F81" t="s">
        <v>100</v>
      </c>
      <c r="G81" s="2" cm="1">
        <f t="array" ref="G81">_xlfn.LET(_xlpm.d,G$2:G$71,_xlpm.f,$A$2:$A$71,_xlpm.k,$F81,AVERAGE(_xlfn._xlws.FILTER(_xlpm.d,_xlpm.f=_xlpm.k)))</f>
        <v>1</v>
      </c>
      <c r="H81" s="2" cm="1">
        <f t="array" ref="H81">_xlfn.LET(_xlpm.d,H$2:H$71,_xlpm.f,$A$2:$A$71,_xlpm.k,$F81,AVERAGE(_xlfn._xlws.FILTER(_xlpm.d,_xlpm.f=_xlpm.k)))</f>
        <v>1</v>
      </c>
      <c r="I81" s="2" cm="1">
        <f t="array" ref="I81">_xlfn.LET(_xlpm.d,I$2:I$71,_xlpm.f,$A$2:$A$71,_xlpm.k,$F81,AVERAGE(_xlfn._xlws.FILTER(_xlpm.d,_xlpm.f=_xlpm.k)))</f>
        <v>0.99599542755251258</v>
      </c>
      <c r="J81" s="2" cm="1">
        <f t="array" ref="J81">_xlfn.LET(_xlpm.d,J$2:J$71,_xlpm.f,$A$2:$A$71,_xlpm.k,$F81,AVERAGE(_xlfn._xlws.FILTER(_xlpm.d,_xlpm.f=_xlpm.k)))</f>
        <v>0.9951748705391843</v>
      </c>
      <c r="K81" s="2" cm="1">
        <f t="array" ref="K81">_xlfn.LET(_xlpm.d,K$2:K$71,_xlpm.f,$A$2:$A$71,_xlpm.k,$F81,AVERAGE(_xlfn._xlws.FILTER(_xlpm.d,_xlpm.f=_xlpm.k)))</f>
        <v>1</v>
      </c>
      <c r="L81" s="2" cm="1">
        <f t="array" ref="L81">_xlfn.LET(_xlpm.d,L$2:L$71,_xlpm.f,$A$2:$A$71,_xlpm.k,$F81,AVERAGE(_xlfn._xlws.FILTER(_xlpm.d,_xlpm.f=_xlpm.k)))</f>
        <v>0.99636124698577766</v>
      </c>
      <c r="M81" s="2" cm="1">
        <f t="array" ref="M81">_xlfn.LET(_xlpm.d,M$2:M$71,_xlpm.f,$A$2:$A$71,_xlpm.k,$F81,AVERAGE(_xlfn._xlws.FILTER(_xlpm.d,_xlpm.f=_xlpm.k)))</f>
        <v>1</v>
      </c>
      <c r="N81" s="2" cm="1">
        <f t="array" ref="N81">_xlfn.LET(_xlpm.d,N$2:N$71,_xlpm.f,$A$2:$A$71,_xlpm.k,$F81,AVERAGE(_xlfn._xlws.FILTER(_xlpm.d,_xlpm.f=_xlpm.k)))</f>
        <v>1</v>
      </c>
      <c r="O81" s="2" cm="1">
        <f t="array" ref="O81">_xlfn.LET(_xlpm.d,O$2:O$71,_xlpm.f,$A$2:$A$71,_xlpm.k,$F81,AVERAGE(_xlfn._xlws.FILTER(_xlpm.d,_xlpm.f=_xlpm.k)))</f>
        <v>0.98587527510537232</v>
      </c>
      <c r="P81" s="2" cm="1">
        <f t="array" ref="P81">_xlfn.LET(_xlpm.d,P$2:P$71,_xlpm.f,$A$2:$A$71,_xlpm.k,$F81,AVERAGE(_xlfn._xlws.FILTER(_xlpm.d,_xlpm.f=_xlpm.k)))</f>
        <v>1</v>
      </c>
      <c r="Q81" s="2" cm="1">
        <f t="array" ref="Q81">_xlfn.LET(_xlpm.d,Q$2:Q$71,_xlpm.f,$A$2:$A$71,_xlpm.k,$F81,AVERAGE(_xlfn._xlws.FILTER(_xlpm.d,_xlpm.f=_xlpm.k)))</f>
        <v>0.99700859890188942</v>
      </c>
      <c r="R81" s="2" cm="1">
        <f t="array" ref="R81">_xlfn.LET(_xlpm.d,R$2:R$71,_xlpm.f,$A$2:$A$71,_xlpm.k,$F81,AVERAGE(_xlfn._xlws.FILTER(_xlpm.d,_xlpm.f=_xlpm.k)))</f>
        <v>1</v>
      </c>
      <c r="S81" s="2" cm="1">
        <f t="array" ref="S81">_xlfn.LET(_xlpm.d,S$2:S$71,_xlpm.f,$A$2:$A$71,_xlpm.k,$F81,AVERAGE(_xlfn._xlws.FILTER(_xlpm.d,_xlpm.f=_xlpm.k)))</f>
        <v>1</v>
      </c>
      <c r="T81" s="2" cm="1">
        <f t="array" ref="T81">_xlfn.LET(_xlpm.d,T$2:T$71,_xlpm.f,$A$2:$A$71,_xlpm.k,$F81,AVERAGE(_xlfn._xlws.FILTER(_xlpm.d,_xlpm.f=_xlpm.k)))</f>
        <v>0.99772426300651829</v>
      </c>
    </row>
    <row r="82" spans="6:20" ht="30" customHeight="1">
      <c r="F82" t="s">
        <v>101</v>
      </c>
      <c r="G82" s="2" cm="1">
        <f t="array" ref="G82">_xlfn.LET(_xlpm.d,G$2:G$71,_xlpm.f,$A$2:$A$71,_xlpm.k,$F82,AVERAGE(_xlfn._xlws.FILTER(_xlpm.d,_xlpm.f=_xlpm.k)))</f>
        <v>0.87376769809411881</v>
      </c>
      <c r="H82" s="2" cm="1">
        <f t="array" ref="H82">_xlfn.LET(_xlpm.d,H$2:H$71,_xlpm.f,$A$2:$A$71,_xlpm.k,$F82,AVERAGE(_xlfn._xlws.FILTER(_xlpm.d,_xlpm.f=_xlpm.k)))</f>
        <v>0.73020264779241129</v>
      </c>
      <c r="I82" s="2" cm="1">
        <f t="array" ref="I82">_xlfn.LET(_xlpm.d,I$2:I$71,_xlpm.f,$A$2:$A$71,_xlpm.k,$F82,AVERAGE(_xlfn._xlws.FILTER(_xlpm.d,_xlpm.f=_xlpm.k)))</f>
        <v>0.79257412538880989</v>
      </c>
      <c r="J82" s="2" cm="1">
        <f t="array" ref="J82">_xlfn.LET(_xlpm.d,J$2:J$71,_xlpm.f,$A$2:$A$71,_xlpm.k,$F82,AVERAGE(_xlfn._xlws.FILTER(_xlpm.d,_xlpm.f=_xlpm.k)))</f>
        <v>0.68428529861710252</v>
      </c>
      <c r="K82" s="2" cm="1">
        <f t="array" ref="K82">_xlfn.LET(_xlpm.d,K$2:K$71,_xlpm.f,$A$2:$A$71,_xlpm.k,$F82,AVERAGE(_xlfn._xlws.FILTER(_xlpm.d,_xlpm.f=_xlpm.k)))</f>
        <v>0.64473523807070043</v>
      </c>
      <c r="L82" s="2" cm="1">
        <f t="array" ref="L82">_xlfn.LET(_xlpm.d,L$2:L$71,_xlpm.f,$A$2:$A$71,_xlpm.k,$F82,AVERAGE(_xlfn._xlws.FILTER(_xlpm.d,_xlpm.f=_xlpm.k)))</f>
        <v>0.71032521426015849</v>
      </c>
      <c r="M82" s="2" cm="1">
        <f t="array" ref="M82">_xlfn.LET(_xlpm.d,M$2:M$71,_xlpm.f,$A$2:$A$71,_xlpm.k,$F82,AVERAGE(_xlfn._xlws.FILTER(_xlpm.d,_xlpm.f=_xlpm.k)))</f>
        <v>0.73330377485403353</v>
      </c>
      <c r="N82" s="2" cm="1">
        <f t="array" ref="N82">_xlfn.LET(_xlpm.d,N$2:N$71,_xlpm.f,$A$2:$A$71,_xlpm.k,$F82,AVERAGE(_xlfn._xlws.FILTER(_xlpm.d,_xlpm.f=_xlpm.k)))</f>
        <v>0.67601768855054778</v>
      </c>
      <c r="O82" s="2" cm="1">
        <f t="array" ref="O82">_xlfn.LET(_xlpm.d,O$2:O$71,_xlpm.f,$A$2:$A$71,_xlpm.k,$F82,AVERAGE(_xlfn._xlws.FILTER(_xlpm.d,_xlpm.f=_xlpm.k)))</f>
        <v>0.66610792501734095</v>
      </c>
      <c r="P82" s="2" cm="1">
        <f t="array" ref="P82">_xlfn.LET(_xlpm.d,P$2:P$71,_xlpm.f,$A$2:$A$71,_xlpm.k,$F82,AVERAGE(_xlfn._xlws.FILTER(_xlpm.d,_xlpm.f=_xlpm.k)))</f>
        <v>0.62486768175809893</v>
      </c>
      <c r="Q82" s="2" cm="1">
        <f t="array" ref="Q82">_xlfn.LET(_xlpm.d,Q$2:Q$71,_xlpm.f,$A$2:$A$71,_xlpm.k,$F82,AVERAGE(_xlfn._xlws.FILTER(_xlpm.d,_xlpm.f=_xlpm.k)))</f>
        <v>0.52799303603710968</v>
      </c>
      <c r="R82" s="2" cm="1">
        <f t="array" ref="R82">_xlfn.LET(_xlpm.d,R$2:R$71,_xlpm.f,$A$2:$A$71,_xlpm.k,$F82,AVERAGE(_xlfn._xlws.FILTER(_xlpm.d,_xlpm.f=_xlpm.k)))</f>
        <v>0.59690272515942355</v>
      </c>
      <c r="S82" s="2" cm="1">
        <f t="array" ref="S82">_xlfn.LET(_xlpm.d,S$2:S$71,_xlpm.f,$A$2:$A$71,_xlpm.k,$F82,AVERAGE(_xlfn._xlws.FILTER(_xlpm.d,_xlpm.f=_xlpm.k)))</f>
        <v>0.52105676959166114</v>
      </c>
      <c r="T82" s="2" cm="1">
        <f t="array" ref="T82">_xlfn.LET(_xlpm.d,T$2:T$71,_xlpm.f,$A$2:$A$71,_xlpm.k,$F82,AVERAGE(_xlfn._xlws.FILTER(_xlpm.d,_xlpm.f=_xlpm.k)))</f>
        <v>0.67554921716857841</v>
      </c>
    </row>
    <row r="83" spans="6:20" ht="30" customHeight="1">
      <c r="F83" t="s">
        <v>42</v>
      </c>
      <c r="G83" s="2" cm="1">
        <f t="array" ref="G83">_xlfn.LET(_xlpm.d,G$2:G$71,_xlpm.f,$A$2:$A$71,_xlpm.k,$F83,AVERAGE(_xlfn._xlws.FILTER(_xlpm.d,_xlpm.f=_xlpm.k)))</f>
        <v>0.99936246593352862</v>
      </c>
      <c r="H83" s="2" cm="1">
        <f t="array" ref="H83">_xlfn.LET(_xlpm.d,H$2:H$71,_xlpm.f,$A$2:$A$71,_xlpm.k,$F83,AVERAGE(_xlfn._xlws.FILTER(_xlpm.d,_xlpm.f=_xlpm.k)))</f>
        <v>0.9887238020381075</v>
      </c>
      <c r="I83" s="2" cm="1">
        <f t="array" ref="I83">_xlfn.LET(_xlpm.d,I$2:I$71,_xlpm.f,$A$2:$A$71,_xlpm.k,$F83,AVERAGE(_xlfn._xlws.FILTER(_xlpm.d,_xlpm.f=_xlpm.k)))</f>
        <v>0.99531007842975894</v>
      </c>
      <c r="J83" s="2" cm="1">
        <f t="array" ref="J83">_xlfn.LET(_xlpm.d,J$2:J$71,_xlpm.f,$A$2:$A$71,_xlpm.k,$F83,AVERAGE(_xlfn._xlws.FILTER(_xlpm.d,_xlpm.f=_xlpm.k)))</f>
        <v>0.98907022789780841</v>
      </c>
      <c r="K83" s="2" cm="1">
        <f t="array" ref="K83">_xlfn.LET(_xlpm.d,K$2:K$71,_xlpm.f,$A$2:$A$71,_xlpm.k,$F83,AVERAGE(_xlfn._xlws.FILTER(_xlpm.d,_xlpm.f=_xlpm.k)))</f>
        <v>0.98696293224794762</v>
      </c>
      <c r="L83" s="2" cm="1">
        <f t="array" ref="L83">_xlfn.LET(_xlpm.d,L$2:L$71,_xlpm.f,$A$2:$A$71,_xlpm.k,$F83,AVERAGE(_xlfn._xlws.FILTER(_xlpm.d,_xlpm.f=_xlpm.k)))</f>
        <v>0.98641926517434531</v>
      </c>
      <c r="M83" s="2" cm="1">
        <f t="array" ref="M83">_xlfn.LET(_xlpm.d,M$2:M$71,_xlpm.f,$A$2:$A$71,_xlpm.k,$F83,AVERAGE(_xlfn._xlws.FILTER(_xlpm.d,_xlpm.f=_xlpm.k)))</f>
        <v>0.92135997511230594</v>
      </c>
      <c r="N83" s="2" cm="1">
        <f t="array" ref="N83">_xlfn.LET(_xlpm.d,N$2:N$71,_xlpm.f,$A$2:$A$71,_xlpm.k,$F83,AVERAGE(_xlfn._xlws.FILTER(_xlpm.d,_xlpm.f=_xlpm.k)))</f>
        <v>0.98905660325335309</v>
      </c>
      <c r="O83" s="2" cm="1">
        <f t="array" ref="O83">_xlfn.LET(_xlpm.d,O$2:O$71,_xlpm.f,$A$2:$A$71,_xlpm.k,$F83,AVERAGE(_xlfn._xlws.FILTER(_xlpm.d,_xlpm.f=_xlpm.k)))</f>
        <v>0.98319519033479785</v>
      </c>
      <c r="P83" s="2" cm="1">
        <f t="array" ref="P83">_xlfn.LET(_xlpm.d,P$2:P$71,_xlpm.f,$A$2:$A$71,_xlpm.k,$F83,AVERAGE(_xlfn._xlws.FILTER(_xlpm.d,_xlpm.f=_xlpm.k)))</f>
        <v>0.92718927880084556</v>
      </c>
      <c r="Q83" s="2" cm="1">
        <f t="array" ref="Q83">_xlfn.LET(_xlpm.d,Q$2:Q$71,_xlpm.f,$A$2:$A$71,_xlpm.k,$F83,AVERAGE(_xlfn._xlws.FILTER(_xlpm.d,_xlpm.f=_xlpm.k)))</f>
        <v>0.98723284572809045</v>
      </c>
      <c r="R83" s="2" cm="1">
        <f t="array" ref="R83">_xlfn.LET(_xlpm.d,R$2:R$71,_xlpm.f,$A$2:$A$71,_xlpm.k,$F83,AVERAGE(_xlfn._xlws.FILTER(_xlpm.d,_xlpm.f=_xlpm.k)))</f>
        <v>0.92244288461910429</v>
      </c>
      <c r="S83" s="2" cm="1">
        <f t="array" ref="S83">_xlfn.LET(_xlpm.d,S$2:S$71,_xlpm.f,$A$2:$A$71,_xlpm.k,$F83,AVERAGE(_xlfn._xlws.FILTER(_xlpm.d,_xlpm.f=_xlpm.k)))</f>
        <v>0.99345432685142598</v>
      </c>
      <c r="T83" s="2" cm="1">
        <f t="array" ref="T83">_xlfn.LET(_xlpm.d,T$2:T$71,_xlpm.f,$A$2:$A$71,_xlpm.k,$F83,AVERAGE(_xlfn._xlws.FILTER(_xlpm.d,_xlpm.f=_xlpm.k)))</f>
        <v>0.97459845203241702</v>
      </c>
    </row>
    <row r="84" spans="6:20" ht="30" customHeight="1">
      <c r="F84" t="s">
        <v>102</v>
      </c>
      <c r="G84" s="2" cm="1">
        <f t="array" ref="G84">_xlfn.LET(_xlpm.d,G$2:G$71,_xlpm.f,$A$2:$A$71,_xlpm.k,$F84,AVERAGE(_xlfn._xlws.FILTER(_xlpm.d,_xlpm.f=_xlpm.k)))</f>
        <v>0.83814676510406905</v>
      </c>
      <c r="H84" s="2" cm="1">
        <f t="array" ref="H84">_xlfn.LET(_xlpm.d,H$2:H$71,_xlpm.f,$A$2:$A$71,_xlpm.k,$F84,AVERAGE(_xlfn._xlws.FILTER(_xlpm.d,_xlpm.f=_xlpm.k)))</f>
        <v>0.78692206399414855</v>
      </c>
      <c r="I84" s="2" cm="1">
        <f t="array" ref="I84">_xlfn.LET(_xlpm.d,I$2:I$71,_xlpm.f,$A$2:$A$71,_xlpm.k,$F84,AVERAGE(_xlfn._xlws.FILTER(_xlpm.d,_xlpm.f=_xlpm.k)))</f>
        <v>0.78687504212978465</v>
      </c>
      <c r="J84" s="2" cm="1">
        <f t="array" ref="J84">_xlfn.LET(_xlpm.d,J$2:J$71,_xlpm.f,$A$2:$A$71,_xlpm.k,$F84,AVERAGE(_xlfn._xlws.FILTER(_xlpm.d,_xlpm.f=_xlpm.k)))</f>
        <v>0.70554625725125419</v>
      </c>
      <c r="K84" s="2" cm="1">
        <f t="array" ref="K84">_xlfn.LET(_xlpm.d,K$2:K$71,_xlpm.f,$A$2:$A$71,_xlpm.k,$F84,AVERAGE(_xlfn._xlws.FILTER(_xlpm.d,_xlpm.f=_xlpm.k)))</f>
        <v>0.73005172496807003</v>
      </c>
      <c r="L84" s="2" cm="1">
        <f t="array" ref="L84">_xlfn.LET(_xlpm.d,L$2:L$71,_xlpm.f,$A$2:$A$71,_xlpm.k,$F84,AVERAGE(_xlfn._xlws.FILTER(_xlpm.d,_xlpm.f=_xlpm.k)))</f>
        <v>0.54259105520457129</v>
      </c>
      <c r="M84" s="2" cm="1">
        <f t="array" ref="M84">_xlfn.LET(_xlpm.d,M$2:M$71,_xlpm.f,$A$2:$A$71,_xlpm.k,$F84,AVERAGE(_xlfn._xlws.FILTER(_xlpm.d,_xlpm.f=_xlpm.k)))</f>
        <v>0.60168072688088237</v>
      </c>
      <c r="N84" s="2" cm="1">
        <f t="array" ref="N84">_xlfn.LET(_xlpm.d,N$2:N$71,_xlpm.f,$A$2:$A$71,_xlpm.k,$F84,AVERAGE(_xlfn._xlws.FILTER(_xlpm.d,_xlpm.f=_xlpm.k)))</f>
        <v>0.55792152621347413</v>
      </c>
      <c r="O84" s="2" cm="1">
        <f t="array" ref="O84">_xlfn.LET(_xlpm.d,O$2:O$71,_xlpm.f,$A$2:$A$71,_xlpm.k,$F84,AVERAGE(_xlfn._xlws.FILTER(_xlpm.d,_xlpm.f=_xlpm.k)))</f>
        <v>0.61607248186922237</v>
      </c>
      <c r="P84" s="2" cm="1">
        <f t="array" ref="P84">_xlfn.LET(_xlpm.d,P$2:P$71,_xlpm.f,$A$2:$A$71,_xlpm.k,$F84,AVERAGE(_xlfn._xlws.FILTER(_xlpm.d,_xlpm.f=_xlpm.k)))</f>
        <v>0.68838591737361843</v>
      </c>
      <c r="Q84" s="2" cm="1">
        <f t="array" ref="Q84">_xlfn.LET(_xlpm.d,Q$2:Q$71,_xlpm.f,$A$2:$A$71,_xlpm.k,$F84,AVERAGE(_xlfn._xlws.FILTER(_xlpm.d,_xlpm.f=_xlpm.k)))</f>
        <v>0.58958034657455571</v>
      </c>
      <c r="R84" s="2" cm="1">
        <f t="array" ref="R84">_xlfn.LET(_xlpm.d,R$2:R$71,_xlpm.f,$A$2:$A$71,_xlpm.k,$F84,AVERAGE(_xlfn._xlws.FILTER(_xlpm.d,_xlpm.f=_xlpm.k)))</f>
        <v>0.44513975614571966</v>
      </c>
      <c r="S84" s="2" cm="1">
        <f t="array" ref="S84">_xlfn.LET(_xlpm.d,S$2:S$71,_xlpm.f,$A$2:$A$71,_xlpm.k,$F84,AVERAGE(_xlfn._xlws.FILTER(_xlpm.d,_xlpm.f=_xlpm.k)))</f>
        <v>0.74841731432097924</v>
      </c>
      <c r="T84" s="2" cm="1">
        <f t="array" ref="T84">_xlfn.LET(_xlpm.d,T$2:T$71,_xlpm.f,$A$2:$A$71,_xlpm.k,$F84,AVERAGE(_xlfn._xlws.FILTER(_xlpm.d,_xlpm.f=_xlpm.k)))</f>
        <v>0.66391049008565461</v>
      </c>
    </row>
    <row r="86" spans="6:20" ht="30" customHeight="1">
      <c r="F86" t="s">
        <v>45</v>
      </c>
    </row>
    <row r="87" spans="6:20" ht="30" customHeight="1">
      <c r="F87" t="s">
        <v>37</v>
      </c>
      <c r="G87" s="2" cm="1">
        <f t="array" ref="G87">_xlfn.LET(_xlpm.d,G$2:G$71,_xlpm.g,$B$2:$B$71,AVERAGE(_xlfn._xlws.FILTER(_xlpm.d,(_xlpm.g=0))))</f>
        <v>0.7585030540416291</v>
      </c>
      <c r="H87" s="2" cm="1">
        <f t="array" ref="H87">_xlfn.LET(_xlpm.d,H$2:H$71,_xlpm.g,$B$2:$B$71,AVERAGE(_xlfn._xlws.FILTER(_xlpm.d,(_xlpm.g=0))))</f>
        <v>0.73402749594329386</v>
      </c>
      <c r="I87" s="2" cm="1">
        <f t="array" ref="I87">_xlfn.LET(_xlpm.d,I$2:I$71,_xlpm.g,$B$2:$B$71,AVERAGE(_xlfn._xlws.FILTER(_xlpm.d,(_xlpm.g=0))))</f>
        <v>0.70298870300414384</v>
      </c>
      <c r="J87" s="2" cm="1">
        <f t="array" ref="J87">_xlfn.LET(_xlpm.d,J$2:J$71,_xlpm.g,$B$2:$B$71,AVERAGE(_xlfn._xlws.FILTER(_xlpm.d,(_xlpm.g=0))))</f>
        <v>0.71180187212760415</v>
      </c>
      <c r="K87" s="2" cm="1">
        <f t="array" ref="K87">_xlfn.LET(_xlpm.d,K$2:K$71,_xlpm.g,$B$2:$B$71,AVERAGE(_xlfn._xlws.FILTER(_xlpm.d,(_xlpm.g=0))))</f>
        <v>0.67218925983757438</v>
      </c>
      <c r="L87" s="2" cm="1">
        <f t="array" ref="L87">_xlfn.LET(_xlpm.d,L$2:L$71,_xlpm.g,$B$2:$B$71,AVERAGE(_xlfn._xlws.FILTER(_xlpm.d,(_xlpm.g=0))))</f>
        <v>0.65517733362920338</v>
      </c>
      <c r="M87" s="2" cm="1">
        <f t="array" ref="M87">_xlfn.LET(_xlpm.d,M$2:M$71,_xlpm.g,$B$2:$B$71,AVERAGE(_xlfn._xlws.FILTER(_xlpm.d,(_xlpm.g=0))))</f>
        <v>0.67542559786264211</v>
      </c>
      <c r="N87" s="2" cm="1">
        <f t="array" ref="N87">_xlfn.LET(_xlpm.d,N$2:N$71,_xlpm.g,$B$2:$B$71,AVERAGE(_xlfn._xlws.FILTER(_xlpm.d,(_xlpm.g=0))))</f>
        <v>0.64469989947794093</v>
      </c>
      <c r="O87" s="2" cm="1">
        <f t="array" ref="O87">_xlfn.LET(_xlpm.d,O$2:O$71,_xlpm.g,$B$2:$B$71,AVERAGE(_xlfn._xlws.FILTER(_xlpm.d,(_xlpm.g=0))))</f>
        <v>0.63492115683354378</v>
      </c>
      <c r="P87" s="2" cm="1">
        <f t="array" ref="P87">_xlfn.LET(_xlpm.d,P$2:P$71,_xlpm.g,$B$2:$B$71,AVERAGE(_xlfn._xlws.FILTER(_xlpm.d,(_xlpm.g=0))))</f>
        <v>0.64563785119953121</v>
      </c>
      <c r="Q87" s="2" cm="1">
        <f t="array" ref="Q87">_xlfn.LET(_xlpm.d,Q$2:Q$71,_xlpm.g,$B$2:$B$71,AVERAGE(_xlfn._xlws.FILTER(_xlpm.d,(_xlpm.g=0))))</f>
        <v>0.63387424685721827</v>
      </c>
      <c r="R87" s="2" cm="1">
        <f t="array" ref="R87">_xlfn.LET(_xlpm.d,R$2:R$71,_xlpm.g,$B$2:$B$71,AVERAGE(_xlfn._xlws.FILTER(_xlpm.d,(_xlpm.g=0))))</f>
        <v>0.59206615049156897</v>
      </c>
      <c r="S87" s="2" cm="1">
        <f t="array" ref="S87">_xlfn.LET(_xlpm.d,S$2:S$71,_xlpm.g,$B$2:$B$71,AVERAGE(_xlfn._xlws.FILTER(_xlpm.d,(_xlpm.g=0))))</f>
        <v>0.5991250769619213</v>
      </c>
      <c r="T87" s="2" cm="1">
        <f t="array" ref="T87">_xlfn.LET(_xlpm.d,T$2:T$71,_xlpm.g,$B$2:$B$71,AVERAGE(_xlfn._xlws.FILTER(_xlpm.d,(_xlpm.g=0))))</f>
        <v>0.66477145122123393</v>
      </c>
    </row>
    <row r="88" spans="6:20" ht="30" customHeight="1">
      <c r="F88" t="s">
        <v>38</v>
      </c>
      <c r="G88" s="2" cm="1">
        <f t="array" ref="G88">_xlfn.LET(_xlpm.d,G$2:G$71,_xlpm.f,$A$2:$A$71,_xlpm.g,$B$2:$B$71,_xlpm.k,$F88,AVERAGE(_xlfn._xlws.FILTER(_xlpm.d,(_xlpm.f=_xlpm.k)*(_xlpm.g=0))))</f>
        <v>0.99397717571762867</v>
      </c>
      <c r="H88" s="2" cm="1">
        <f t="array" ref="H88">_xlfn.LET(_xlpm.d,H$2:H$71,_xlpm.f,$A$2:$A$71,_xlpm.g,$B$2:$B$71,_xlpm.k,$F88,AVERAGE(_xlfn._xlws.FILTER(_xlpm.d,(_xlpm.f=_xlpm.k)*(_xlpm.g=0))))</f>
        <v>0.99986989204390364</v>
      </c>
      <c r="I88" s="2" cm="1">
        <f t="array" ref="I88">_xlfn.LET(_xlpm.d,I$2:I$71,_xlpm.f,$A$2:$A$71,_xlpm.g,$B$2:$B$71,_xlpm.k,$F88,AVERAGE(_xlfn._xlws.FILTER(_xlpm.d,(_xlpm.f=_xlpm.k)*(_xlpm.g=0))))</f>
        <v>0.99689312544121533</v>
      </c>
      <c r="J88" s="2" cm="1">
        <f t="array" ref="J88">_xlfn.LET(_xlpm.d,J$2:J$71,_xlpm.f,$A$2:$A$71,_xlpm.g,$B$2:$B$71,_xlpm.k,$F88,AVERAGE(_xlfn._xlws.FILTER(_xlpm.d,(_xlpm.f=_xlpm.k)*(_xlpm.g=0))))</f>
        <v>0.99674753648449854</v>
      </c>
      <c r="K88" s="2" cm="1">
        <f t="array" ref="K88">_xlfn.LET(_xlpm.d,K$2:K$71,_xlpm.f,$A$2:$A$71,_xlpm.g,$B$2:$B$71,_xlpm.k,$F88,AVERAGE(_xlfn._xlws.FILTER(_xlpm.d,(_xlpm.f=_xlpm.k)*(_xlpm.g=0))))</f>
        <v>0.99106857948618021</v>
      </c>
      <c r="L88" s="2" cm="1">
        <f t="array" ref="L88">_xlfn.LET(_xlpm.d,L$2:L$71,_xlpm.f,$A$2:$A$71,_xlpm.g,$B$2:$B$71,_xlpm.k,$F88,AVERAGE(_xlfn._xlws.FILTER(_xlpm.d,(_xlpm.f=_xlpm.k)*(_xlpm.g=0))))</f>
        <v>0.99452234713376042</v>
      </c>
      <c r="M88" s="2" cm="1">
        <f t="array" ref="M88">_xlfn.LET(_xlpm.d,M$2:M$71,_xlpm.f,$A$2:$A$71,_xlpm.g,$B$2:$B$71,_xlpm.k,$F88,AVERAGE(_xlfn._xlws.FILTER(_xlpm.d,(_xlpm.f=_xlpm.k)*(_xlpm.g=0))))</f>
        <v>0.99729416278105221</v>
      </c>
      <c r="N88" s="2" cm="1">
        <f t="array" ref="N88">_xlfn.LET(_xlpm.d,N$2:N$71,_xlpm.f,$A$2:$A$71,_xlpm.g,$B$2:$B$71,_xlpm.k,$F88,AVERAGE(_xlfn._xlws.FILTER(_xlpm.d,(_xlpm.f=_xlpm.k)*(_xlpm.g=0))))</f>
        <v>0.97075432963949959</v>
      </c>
      <c r="O88" s="2" cm="1">
        <f t="array" ref="O88">_xlfn.LET(_xlpm.d,O$2:O$71,_xlpm.f,$A$2:$A$71,_xlpm.g,$B$2:$B$71,_xlpm.k,$F88,AVERAGE(_xlfn._xlws.FILTER(_xlpm.d,(_xlpm.f=_xlpm.k)*(_xlpm.g=0))))</f>
        <v>0.99957228692786393</v>
      </c>
      <c r="P88" s="2" cm="1">
        <f t="array" ref="P88">_xlfn.LET(_xlpm.d,P$2:P$71,_xlpm.f,$A$2:$A$71,_xlpm.g,$B$2:$B$71,_xlpm.k,$F88,AVERAGE(_xlfn._xlws.FILTER(_xlpm.d,(_xlpm.f=_xlpm.k)*(_xlpm.g=0))))</f>
        <v>0.99890227177469149</v>
      </c>
      <c r="Q88" s="2" cm="1">
        <f t="array" ref="Q88">_xlfn.LET(_xlpm.d,Q$2:Q$71,_xlpm.f,$A$2:$A$71,_xlpm.g,$B$2:$B$71,_xlpm.k,$F88,AVERAGE(_xlfn._xlws.FILTER(_xlpm.d,(_xlpm.f=_xlpm.k)*(_xlpm.g=0))))</f>
        <v>0.99960598309538717</v>
      </c>
      <c r="R88" s="2" cm="1">
        <f t="array" ref="R88">_xlfn.LET(_xlpm.d,R$2:R$71,_xlpm.f,$A$2:$A$71,_xlpm.g,$B$2:$B$71,_xlpm.k,$F88,AVERAGE(_xlfn._xlws.FILTER(_xlpm.d,(_xlpm.f=_xlpm.k)*(_xlpm.g=0))))</f>
        <v>0.9996344982365617</v>
      </c>
      <c r="S88" s="2" cm="1">
        <f t="array" ref="S88">_xlfn.LET(_xlpm.d,S$2:S$71,_xlpm.f,$A$2:$A$71,_xlpm.g,$B$2:$B$71,_xlpm.k,$F88,AVERAGE(_xlfn._xlws.FILTER(_xlpm.d,(_xlpm.f=_xlpm.k)*(_xlpm.g=0))))</f>
        <v>0.91310617477433675</v>
      </c>
      <c r="T88" s="2" cm="1">
        <f t="array" ref="T88">_xlfn.LET(_xlpm.d,T$2:T$71,_xlpm.f,$A$2:$A$71,_xlpm.g,$B$2:$B$71,_xlpm.k,$F88,AVERAGE(_xlfn._xlws.FILTER(_xlpm.d,(_xlpm.f=_xlpm.k)*(_xlpm.g=0))))</f>
        <v>0.98861141257973706</v>
      </c>
    </row>
    <row r="89" spans="6:20" ht="30" customHeight="1">
      <c r="F89" t="s">
        <v>40</v>
      </c>
      <c r="G89" s="2" cm="1">
        <f t="array" ref="G89">_xlfn.LET(_xlpm.d,G$2:G$71,_xlpm.f,$A$2:$A$71,_xlpm.g,$B$2:$B$71,_xlpm.k,$F89,AVERAGE(_xlfn._xlws.FILTER(_xlpm.d,(_xlpm.f=_xlpm.k)*(_xlpm.g=0))))</f>
        <v>0.28231148595546934</v>
      </c>
      <c r="H89" s="2" cm="1">
        <f t="array" ref="H89">_xlfn.LET(_xlpm.d,H$2:H$71,_xlpm.f,$A$2:$A$71,_xlpm.g,$B$2:$B$71,_xlpm.k,$F89,AVERAGE(_xlfn._xlws.FILTER(_xlpm.d,(_xlpm.f=_xlpm.k)*(_xlpm.g=0))))</f>
        <v>0.28120755427685651</v>
      </c>
      <c r="I89" s="2" cm="1">
        <f t="array" ref="I89">_xlfn.LET(_xlpm.d,I$2:I$71,_xlpm.f,$A$2:$A$71,_xlpm.g,$B$2:$B$71,_xlpm.k,$F89,AVERAGE(_xlfn._xlws.FILTER(_xlpm.d,(_xlpm.f=_xlpm.k)*(_xlpm.g=0))))</f>
        <v>0.12469369542692683</v>
      </c>
      <c r="J89" s="2" cm="1">
        <f t="array" ref="J89">_xlfn.LET(_xlpm.d,J$2:J$71,_xlpm.f,$A$2:$A$71,_xlpm.g,$B$2:$B$71,_xlpm.k,$F89,AVERAGE(_xlfn._xlws.FILTER(_xlpm.d,(_xlpm.f=_xlpm.k)*(_xlpm.g=0))))</f>
        <v>0.33882784749884237</v>
      </c>
      <c r="K89" s="2" cm="1">
        <f t="array" ref="K89">_xlfn.LET(_xlpm.d,K$2:K$71,_xlpm.f,$A$2:$A$71,_xlpm.g,$B$2:$B$71,_xlpm.k,$F89,AVERAGE(_xlfn._xlws.FILTER(_xlpm.d,(_xlpm.f=_xlpm.k)*(_xlpm.g=0))))</f>
        <v>0.16713360741540217</v>
      </c>
      <c r="L89" s="2" cm="1">
        <f t="array" ref="L89">_xlfn.LET(_xlpm.d,L$2:L$71,_xlpm.f,$A$2:$A$71,_xlpm.g,$B$2:$B$71,_xlpm.k,$F89,AVERAGE(_xlfn._xlws.FILTER(_xlpm.d,(_xlpm.f=_xlpm.k)*(_xlpm.g=0))))</f>
        <v>0.18383644599170881</v>
      </c>
      <c r="M89" s="2" cm="1">
        <f t="array" ref="M89">_xlfn.LET(_xlpm.d,M$2:M$71,_xlpm.f,$A$2:$A$71,_xlpm.g,$B$2:$B$71,_xlpm.k,$F89,AVERAGE(_xlfn._xlws.FILTER(_xlpm.d,(_xlpm.f=_xlpm.k)*(_xlpm.g=0))))</f>
        <v>0.26450304381374368</v>
      </c>
      <c r="N89" s="2" cm="1">
        <f t="array" ref="N89">_xlfn.LET(_xlpm.d,N$2:N$71,_xlpm.f,$A$2:$A$71,_xlpm.g,$B$2:$B$71,_xlpm.k,$F89,AVERAGE(_xlfn._xlws.FILTER(_xlpm.d,(_xlpm.f=_xlpm.k)*(_xlpm.g=0))))</f>
        <v>4.9472551075644002E-2</v>
      </c>
      <c r="O89" s="2" cm="1">
        <f t="array" ref="O89">_xlfn.LET(_xlpm.d,O$2:O$71,_xlpm.f,$A$2:$A$71,_xlpm.g,$B$2:$B$71,_xlpm.k,$F89,AVERAGE(_xlfn._xlws.FILTER(_xlpm.d,(_xlpm.f=_xlpm.k)*(_xlpm.g=0))))</f>
        <v>9.0529698875868994E-2</v>
      </c>
      <c r="P89" s="2" cm="1">
        <f t="array" ref="P89">_xlfn.LET(_xlpm.d,P$2:P$71,_xlpm.f,$A$2:$A$71,_xlpm.g,$B$2:$B$71,_xlpm.k,$F89,AVERAGE(_xlfn._xlws.FILTER(_xlpm.d,(_xlpm.f=_xlpm.k)*(_xlpm.g=0))))</f>
        <v>9.7631817916712493E-2</v>
      </c>
      <c r="Q89" s="2" cm="1">
        <f t="array" ref="Q89">_xlfn.LET(_xlpm.d,Q$2:Q$71,_xlpm.f,$A$2:$A$71,_xlpm.g,$B$2:$B$71,_xlpm.k,$F89,AVERAGE(_xlfn._xlws.FILTER(_xlpm.d,(_xlpm.f=_xlpm.k)*(_xlpm.g=0))))</f>
        <v>0.10986109351046085</v>
      </c>
      <c r="R89" s="2" cm="1">
        <f t="array" ref="R89">_xlfn.LET(_xlpm.d,R$2:R$71,_xlpm.f,$A$2:$A$71,_xlpm.g,$B$2:$B$71,_xlpm.k,$F89,AVERAGE(_xlfn._xlws.FILTER(_xlpm.d,(_xlpm.f=_xlpm.k)*(_xlpm.g=0))))</f>
        <v>4.3781715543125328E-2</v>
      </c>
      <c r="S89" s="2" cm="1">
        <f t="array" ref="S89">_xlfn.LET(_xlpm.d,S$2:S$71,_xlpm.f,$A$2:$A$71,_xlpm.g,$B$2:$B$71,_xlpm.k,$F89,AVERAGE(_xlfn._xlws.FILTER(_xlpm.d,(_xlpm.f=_xlpm.k)*(_xlpm.g=0))))</f>
        <v>0</v>
      </c>
      <c r="T89" s="2" cm="1">
        <f t="array" ref="T89">_xlfn.LET(_xlpm.d,T$2:T$71,_xlpm.f,$A$2:$A$71,_xlpm.g,$B$2:$B$71,_xlpm.k,$F89,AVERAGE(_xlfn._xlws.FILTER(_xlpm.d,(_xlpm.f=_xlpm.k)*(_xlpm.g=0))))</f>
        <v>0.15433010285770035</v>
      </c>
    </row>
    <row r="90" spans="6:20" ht="30" customHeight="1">
      <c r="F90" t="s">
        <v>41</v>
      </c>
      <c r="G90" s="2" cm="1">
        <f t="array" ref="G90">_xlfn.LET(_xlpm.d,G$2:G$71,_xlpm.f,$A$2:$A$71,_xlpm.g,$B$2:$B$71,_xlpm.k,$F90,AVERAGE(_xlfn._xlws.FILTER(_xlpm.d,(_xlpm.f=_xlpm.k)*(_xlpm.g=0))))</f>
        <v>0.46009839766536986</v>
      </c>
      <c r="H90" s="2" cm="1">
        <f t="array" ref="H90">_xlfn.LET(_xlpm.d,H$2:H$71,_xlpm.f,$A$2:$A$71,_xlpm.g,$B$2:$B$71,_xlpm.k,$F90,AVERAGE(_xlfn._xlws.FILTER(_xlpm.d,(_xlpm.f=_xlpm.k)*(_xlpm.g=0))))</f>
        <v>0.21472599933749051</v>
      </c>
      <c r="I90" s="2" cm="1">
        <f t="array" ref="I90">_xlfn.LET(_xlpm.d,I$2:I$71,_xlpm.f,$A$2:$A$71,_xlpm.g,$B$2:$B$71,_xlpm.k,$F90,AVERAGE(_xlfn._xlws.FILTER(_xlpm.d,(_xlpm.f=_xlpm.k)*(_xlpm.g=0))))</f>
        <v>0.17483185140883437</v>
      </c>
      <c r="J90" s="2" cm="1">
        <f t="array" ref="J90">_xlfn.LET(_xlpm.d,J$2:J$71,_xlpm.f,$A$2:$A$71,_xlpm.g,$B$2:$B$71,_xlpm.k,$F90,AVERAGE(_xlfn._xlws.FILTER(_xlpm.d,(_xlpm.f=_xlpm.k)*(_xlpm.g=0))))</f>
        <v>0.23716737842477531</v>
      </c>
      <c r="K90" s="2" cm="1">
        <f t="array" ref="K90">_xlfn.LET(_xlpm.d,K$2:K$71,_xlpm.f,$A$2:$A$71,_xlpm.g,$B$2:$B$71,_xlpm.k,$F90,AVERAGE(_xlfn._xlws.FILTER(_xlpm.d,(_xlpm.f=_xlpm.k)*(_xlpm.g=0))))</f>
        <v>0.13806864556427248</v>
      </c>
      <c r="L90" s="2" cm="1">
        <f t="array" ref="L90">_xlfn.LET(_xlpm.d,L$2:L$71,_xlpm.f,$A$2:$A$71,_xlpm.g,$B$2:$B$71,_xlpm.k,$F90,AVERAGE(_xlfn._xlws.FILTER(_xlpm.d,(_xlpm.f=_xlpm.k)*(_xlpm.g=0))))</f>
        <v>0.12912522385505232</v>
      </c>
      <c r="M90" s="2" cm="1">
        <f t="array" ref="M90">_xlfn.LET(_xlpm.d,M$2:M$71,_xlpm.f,$A$2:$A$71,_xlpm.g,$B$2:$B$71,_xlpm.k,$F90,AVERAGE(_xlfn._xlws.FILTER(_xlpm.d,(_xlpm.f=_xlpm.k)*(_xlpm.g=0))))</f>
        <v>0.25318155488753863</v>
      </c>
      <c r="N90" s="2" cm="1">
        <f t="array" ref="N90">_xlfn.LET(_xlpm.d,N$2:N$71,_xlpm.f,$A$2:$A$71,_xlpm.g,$B$2:$B$71,_xlpm.k,$F90,AVERAGE(_xlfn._xlws.FILTER(_xlpm.d,(_xlpm.f=_xlpm.k)*(_xlpm.g=0))))</f>
        <v>0.12114665734635634</v>
      </c>
      <c r="O90" s="2" cm="1">
        <f t="array" ref="O90">_xlfn.LET(_xlpm.d,O$2:O$71,_xlpm.f,$A$2:$A$71,_xlpm.g,$B$2:$B$71,_xlpm.k,$F90,AVERAGE(_xlfn._xlws.FILTER(_xlpm.d,(_xlpm.f=_xlpm.k)*(_xlpm.g=0))))</f>
        <v>3.4093171110133165E-2</v>
      </c>
      <c r="P90" s="2" cm="1">
        <f t="array" ref="P90">_xlfn.LET(_xlpm.d,P$2:P$71,_xlpm.f,$A$2:$A$71,_xlpm.g,$B$2:$B$71,_xlpm.k,$F90,AVERAGE(_xlfn._xlws.FILTER(_xlpm.d,(_xlpm.f=_xlpm.k)*(_xlpm.g=0))))</f>
        <v>0.166041870301707</v>
      </c>
      <c r="Q90" s="2" cm="1">
        <f t="array" ref="Q90">_xlfn.LET(_xlpm.d,Q$2:Q$71,_xlpm.f,$A$2:$A$71,_xlpm.g,$B$2:$B$71,_xlpm.k,$F90,AVERAGE(_xlfn._xlws.FILTER(_xlpm.d,(_xlpm.f=_xlpm.k)*(_xlpm.g=0))))</f>
        <v>0.145856705413905</v>
      </c>
      <c r="R90" s="2" cm="1">
        <f t="array" ref="R90">_xlfn.LET(_xlpm.d,R$2:R$71,_xlpm.f,$A$2:$A$71,_xlpm.g,$B$2:$B$71,_xlpm.k,$F90,AVERAGE(_xlfn._xlws.FILTER(_xlpm.d,(_xlpm.f=_xlpm.k)*(_xlpm.g=0))))</f>
        <v>5.8051627996780673E-2</v>
      </c>
      <c r="S90" s="2" cm="1">
        <f t="array" ref="S90">_xlfn.LET(_xlpm.d,S$2:S$71,_xlpm.f,$A$2:$A$71,_xlpm.g,$B$2:$B$71,_xlpm.k,$F90,AVERAGE(_xlfn._xlws.FILTER(_xlpm.d,(_xlpm.f=_xlpm.k)*(_xlpm.g=0))))</f>
        <v>8.5323780552935158E-2</v>
      </c>
      <c r="T90" s="2" cm="1">
        <f t="array" ref="T90">_xlfn.LET(_xlpm.d,T$2:T$71,_xlpm.f,$A$2:$A$71,_xlpm.g,$B$2:$B$71,_xlpm.k,$F90,AVERAGE(_xlfn._xlws.FILTER(_xlpm.d,(_xlpm.f=_xlpm.k)*(_xlpm.g=0))))</f>
        <v>0.17059329722039621</v>
      </c>
    </row>
    <row r="91" spans="6:20" ht="30" customHeight="1">
      <c r="F91" t="s">
        <v>98</v>
      </c>
      <c r="G91" s="2" cm="1">
        <f t="array" ref="G91">_xlfn.LET(_xlpm.d,G$2:G$71,_xlpm.f,$A$2:$A$71,_xlpm.g,$B$2:$B$71,_xlpm.k,$F91,AVERAGE(_xlfn._xlws.FILTER(_xlpm.d,(_xlpm.f=_xlpm.k)*(_xlpm.g=0))))</f>
        <v>0.69923203882250284</v>
      </c>
      <c r="H91" s="2" cm="1">
        <f t="array" ref="H91">_xlfn.LET(_xlpm.d,H$2:H$71,_xlpm.f,$A$2:$A$71,_xlpm.g,$B$2:$B$71,_xlpm.k,$F91,AVERAGE(_xlfn._xlws.FILTER(_xlpm.d,(_xlpm.f=_xlpm.k)*(_xlpm.g=0))))</f>
        <v>0.7702464326228321</v>
      </c>
      <c r="I91" s="2" cm="1">
        <f t="array" ref="I91">_xlfn.LET(_xlpm.d,I$2:I$71,_xlpm.f,$A$2:$A$71,_xlpm.g,$B$2:$B$71,_xlpm.k,$F91,AVERAGE(_xlfn._xlws.FILTER(_xlpm.d,(_xlpm.f=_xlpm.k)*(_xlpm.g=0))))</f>
        <v>0.6445558631235998</v>
      </c>
      <c r="J91" s="2" cm="1">
        <f t="array" ref="J91">_xlfn.LET(_xlpm.d,J$2:J$71,_xlpm.f,$A$2:$A$71,_xlpm.g,$B$2:$B$71,_xlpm.k,$F91,AVERAGE(_xlfn._xlws.FILTER(_xlpm.d,(_xlpm.f=_xlpm.k)*(_xlpm.g=0))))</f>
        <v>0.58649572384632542</v>
      </c>
      <c r="K91" s="2" cm="1">
        <f t="array" ref="K91">_xlfn.LET(_xlpm.d,K$2:K$71,_xlpm.f,$A$2:$A$71,_xlpm.g,$B$2:$B$71,_xlpm.k,$F91,AVERAGE(_xlfn._xlws.FILTER(_xlpm.d,(_xlpm.f=_xlpm.k)*(_xlpm.g=0))))</f>
        <v>0.61942670009880163</v>
      </c>
      <c r="L91" s="2" cm="1">
        <f t="array" ref="L91">_xlfn.LET(_xlpm.d,L$2:L$71,_xlpm.f,$A$2:$A$71,_xlpm.g,$B$2:$B$71,_xlpm.k,$F91,AVERAGE(_xlfn._xlws.FILTER(_xlpm.d,(_xlpm.f=_xlpm.k)*(_xlpm.g=0))))</f>
        <v>0.57496718971856831</v>
      </c>
      <c r="M91" s="2" cm="1">
        <f t="array" ref="M91">_xlfn.LET(_xlpm.d,M$2:M$71,_xlpm.f,$A$2:$A$71,_xlpm.g,$B$2:$B$71,_xlpm.k,$F91,AVERAGE(_xlfn._xlws.FILTER(_xlpm.d,(_xlpm.f=_xlpm.k)*(_xlpm.g=0))))</f>
        <v>0.45173972538229307</v>
      </c>
      <c r="N91" s="2" cm="1">
        <f t="array" ref="N91">_xlfn.LET(_xlpm.d,N$2:N$71,_xlpm.f,$A$2:$A$71,_xlpm.g,$B$2:$B$71,_xlpm.k,$F91,AVERAGE(_xlfn._xlws.FILTER(_xlpm.d,(_xlpm.f=_xlpm.k)*(_xlpm.g=0))))</f>
        <v>0.60442082271182018</v>
      </c>
      <c r="O91" s="2" cm="1">
        <f t="array" ref="O91">_xlfn.LET(_xlpm.d,O$2:O$71,_xlpm.f,$A$2:$A$71,_xlpm.g,$B$2:$B$71,_xlpm.k,$F91,AVERAGE(_xlfn._xlws.FILTER(_xlpm.d,(_xlpm.f=_xlpm.k)*(_xlpm.g=0))))</f>
        <v>0.46704122795556202</v>
      </c>
      <c r="P91" s="2" cm="1">
        <f t="array" ref="P91">_xlfn.LET(_xlpm.d,P$2:P$71,_xlpm.f,$A$2:$A$71,_xlpm.g,$B$2:$B$71,_xlpm.k,$F91,AVERAGE(_xlfn._xlws.FILTER(_xlpm.d,(_xlpm.f=_xlpm.k)*(_xlpm.g=0))))</f>
        <v>0.40575739396205734</v>
      </c>
      <c r="Q91" s="2" cm="1">
        <f t="array" ref="Q91">_xlfn.LET(_xlpm.d,Q$2:Q$71,_xlpm.f,$A$2:$A$71,_xlpm.g,$B$2:$B$71,_xlpm.k,$F91,AVERAGE(_xlfn._xlws.FILTER(_xlpm.d,(_xlpm.f=_xlpm.k)*(_xlpm.g=0))))</f>
        <v>0.50662010639387212</v>
      </c>
      <c r="R91" s="2" cm="1">
        <f t="array" ref="R91">_xlfn.LET(_xlpm.d,R$2:R$71,_xlpm.f,$A$2:$A$71,_xlpm.g,$B$2:$B$71,_xlpm.k,$F91,AVERAGE(_xlfn._xlws.FILTER(_xlpm.d,(_xlpm.f=_xlpm.k)*(_xlpm.g=0))))</f>
        <v>0.5056558463656643</v>
      </c>
      <c r="S91" s="2" cm="1">
        <f t="array" ref="S91">_xlfn.LET(_xlpm.d,S$2:S$71,_xlpm.f,$A$2:$A$71,_xlpm.g,$B$2:$B$71,_xlpm.k,$F91,AVERAGE(_xlfn._xlws.FILTER(_xlpm.d,(_xlpm.f=_xlpm.k)*(_xlpm.g=0))))</f>
        <v>0.293046258801194</v>
      </c>
      <c r="T91" s="2" cm="1">
        <f t="array" ref="T91">_xlfn.LET(_xlpm.d,T$2:T$71,_xlpm.f,$A$2:$A$71,_xlpm.g,$B$2:$B$71,_xlpm.k,$F91,AVERAGE(_xlfn._xlws.FILTER(_xlpm.d,(_xlpm.f=_xlpm.k)*(_xlpm.g=0))))</f>
        <v>0.54840040998500716</v>
      </c>
    </row>
    <row r="92" spans="6:20" ht="30" customHeight="1">
      <c r="F92" t="s">
        <v>39</v>
      </c>
      <c r="G92" s="2" cm="1">
        <f t="array" ref="G92">_xlfn.LET(_xlpm.d,G$2:G$71,_xlpm.f,$A$2:$A$71,_xlpm.g,$B$2:$B$71,_xlpm.k,$F92,AVERAGE(_xlfn._xlws.FILTER(_xlpm.d,(_xlpm.f=_xlpm.k)*(_xlpm.g=0))))</f>
        <v>0.4906432082357477</v>
      </c>
      <c r="H92" s="2" cm="1">
        <f t="array" ref="H92">_xlfn.LET(_xlpm.d,H$2:H$71,_xlpm.f,$A$2:$A$71,_xlpm.g,$B$2:$B$71,_xlpm.k,$F92,AVERAGE(_xlfn._xlws.FILTER(_xlpm.d,(_xlpm.f=_xlpm.k)*(_xlpm.g=0))))</f>
        <v>0.58242998483395014</v>
      </c>
      <c r="I92" s="2" cm="1">
        <f t="array" ref="I92">_xlfn.LET(_xlpm.d,I$2:I$71,_xlpm.f,$A$2:$A$71,_xlpm.g,$B$2:$B$71,_xlpm.k,$F92,AVERAGE(_xlfn._xlws.FILTER(_xlpm.d,(_xlpm.f=_xlpm.k)*(_xlpm.g=0))))</f>
        <v>0.56163803411263957</v>
      </c>
      <c r="J92" s="2" cm="1">
        <f t="array" ref="J92">_xlfn.LET(_xlpm.d,J$2:J$71,_xlpm.f,$A$2:$A$71,_xlpm.g,$B$2:$B$71,_xlpm.k,$F92,AVERAGE(_xlfn._xlws.FILTER(_xlpm.d,(_xlpm.f=_xlpm.k)*(_xlpm.g=0))))</f>
        <v>0.53732592698637904</v>
      </c>
      <c r="K92" s="2" cm="1">
        <f t="array" ref="K92">_xlfn.LET(_xlpm.d,K$2:K$71,_xlpm.f,$A$2:$A$71,_xlpm.g,$B$2:$B$71,_xlpm.k,$F92,AVERAGE(_xlfn._xlws.FILTER(_xlpm.d,(_xlpm.f=_xlpm.k)*(_xlpm.g=0))))</f>
        <v>0.49634982255162879</v>
      </c>
      <c r="L92" s="2" cm="1">
        <f t="array" ref="L92">_xlfn.LET(_xlpm.d,L$2:L$71,_xlpm.f,$A$2:$A$71,_xlpm.g,$B$2:$B$71,_xlpm.k,$F92,AVERAGE(_xlfn._xlws.FILTER(_xlpm.d,(_xlpm.f=_xlpm.k)*(_xlpm.g=0))))</f>
        <v>0.48477309945184577</v>
      </c>
      <c r="M92" s="2" cm="1">
        <f t="array" ref="M92">_xlfn.LET(_xlpm.d,M$2:M$71,_xlpm.f,$A$2:$A$71,_xlpm.g,$B$2:$B$71,_xlpm.k,$F92,AVERAGE(_xlfn._xlws.FILTER(_xlpm.d,(_xlpm.f=_xlpm.k)*(_xlpm.g=0))))</f>
        <v>0.52054232755737828</v>
      </c>
      <c r="N92" s="2" cm="1">
        <f t="array" ref="N92">_xlfn.LET(_xlpm.d,N$2:N$71,_xlpm.f,$A$2:$A$71,_xlpm.g,$B$2:$B$71,_xlpm.k,$F92,AVERAGE(_xlfn._xlws.FILTER(_xlpm.d,(_xlpm.f=_xlpm.k)*(_xlpm.g=0))))</f>
        <v>0.45144557412123421</v>
      </c>
      <c r="O92" s="2" cm="1">
        <f t="array" ref="O92">_xlfn.LET(_xlpm.d,O$2:O$71,_xlpm.f,$A$2:$A$71,_xlpm.g,$B$2:$B$71,_xlpm.k,$F92,AVERAGE(_xlfn._xlws.FILTER(_xlpm.d,(_xlpm.f=_xlpm.k)*(_xlpm.g=0))))</f>
        <v>0.48499300311803162</v>
      </c>
      <c r="P92" s="2" cm="1">
        <f t="array" ref="P92">_xlfn.LET(_xlpm.d,P$2:P$71,_xlpm.f,$A$2:$A$71,_xlpm.g,$B$2:$B$71,_xlpm.k,$F92,AVERAGE(_xlfn._xlws.FILTER(_xlpm.d,(_xlpm.f=_xlpm.k)*(_xlpm.g=0))))</f>
        <v>0.5805103083588149</v>
      </c>
      <c r="Q92" s="2" cm="1">
        <f t="array" ref="Q92">_xlfn.LET(_xlpm.d,Q$2:Q$71,_xlpm.f,$A$2:$A$71,_xlpm.g,$B$2:$B$71,_xlpm.k,$F92,AVERAGE(_xlfn._xlws.FILTER(_xlpm.d,(_xlpm.f=_xlpm.k)*(_xlpm.g=0))))</f>
        <v>0.43864751737563318</v>
      </c>
      <c r="R92" s="2" cm="1">
        <f t="array" ref="R92">_xlfn.LET(_xlpm.d,R$2:R$71,_xlpm.f,$A$2:$A$71,_xlpm.g,$B$2:$B$71,_xlpm.k,$F92,AVERAGE(_xlfn._xlws.FILTER(_xlpm.d,(_xlpm.f=_xlpm.k)*(_xlpm.g=0))))</f>
        <v>0.44852953975620863</v>
      </c>
      <c r="S92" s="2" cm="1">
        <f t="array" ref="S92">_xlfn.LET(_xlpm.d,S$2:S$71,_xlpm.f,$A$2:$A$71,_xlpm.g,$B$2:$B$71,_xlpm.k,$F92,AVERAGE(_xlfn._xlws.FILTER(_xlpm.d,(_xlpm.f=_xlpm.k)*(_xlpm.g=0))))</f>
        <v>0.31678440750398318</v>
      </c>
      <c r="T92" s="2" cm="1">
        <f t="array" ref="T92">_xlfn.LET(_xlpm.d,T$2:T$71,_xlpm.f,$A$2:$A$71,_xlpm.g,$B$2:$B$71,_xlpm.k,$F92,AVERAGE(_xlfn._xlws.FILTER(_xlpm.d,(_xlpm.f=_xlpm.k)*(_xlpm.g=0))))</f>
        <v>0.4965935837887327</v>
      </c>
    </row>
    <row r="93" spans="6:20" ht="30" customHeight="1">
      <c r="F93" t="s">
        <v>99</v>
      </c>
      <c r="G93" s="2" cm="1">
        <f t="array" ref="G93">_xlfn.LET(_xlpm.d,G$2:G$71,_xlpm.f,$A$2:$A$71,_xlpm.g,$B$2:$B$71,_xlpm.k,$F93,AVERAGE(_xlfn._xlws.FILTER(_xlpm.d,(_xlpm.f=_xlpm.k)*(_xlpm.g=0))))</f>
        <v>0.9723950655435537</v>
      </c>
      <c r="H93" s="2" cm="1">
        <f t="array" ref="H93">_xlfn.LET(_xlpm.d,H$2:H$71,_xlpm.f,$A$2:$A$71,_xlpm.g,$B$2:$B$71,_xlpm.k,$F93,AVERAGE(_xlfn._xlws.FILTER(_xlpm.d,(_xlpm.f=_xlpm.k)*(_xlpm.g=0))))</f>
        <v>0.97109180187587085</v>
      </c>
      <c r="I93" s="2" cm="1">
        <f t="array" ref="I93">_xlfn.LET(_xlpm.d,I$2:I$71,_xlpm.f,$A$2:$A$71,_xlpm.g,$B$2:$B$71,_xlpm.k,$F93,AVERAGE(_xlfn._xlws.FILTER(_xlpm.d,(_xlpm.f=_xlpm.k)*(_xlpm.g=0))))</f>
        <v>0.97696896684759649</v>
      </c>
      <c r="J93" s="2" cm="1">
        <f t="array" ref="J93">_xlfn.LET(_xlpm.d,J$2:J$71,_xlpm.f,$A$2:$A$71,_xlpm.g,$B$2:$B$71,_xlpm.k,$F93,AVERAGE(_xlfn._xlws.FILTER(_xlpm.d,(_xlpm.f=_xlpm.k)*(_xlpm.g=0))))</f>
        <v>0.99987421326329295</v>
      </c>
      <c r="K93" s="2" cm="1">
        <f t="array" ref="K93">_xlfn.LET(_xlpm.d,K$2:K$71,_xlpm.f,$A$2:$A$71,_xlpm.g,$B$2:$B$71,_xlpm.k,$F93,AVERAGE(_xlfn._xlws.FILTER(_xlpm.d,(_xlpm.f=_xlpm.k)*(_xlpm.g=0))))</f>
        <v>0.99964911036513726</v>
      </c>
      <c r="L93" s="2" cm="1">
        <f t="array" ref="L93">_xlfn.LET(_xlpm.d,L$2:L$71,_xlpm.f,$A$2:$A$71,_xlpm.g,$B$2:$B$71,_xlpm.k,$F93,AVERAGE(_xlfn._xlws.FILTER(_xlpm.d,(_xlpm.f=_xlpm.k)*(_xlpm.g=0))))</f>
        <v>0.9793183532520916</v>
      </c>
      <c r="M93" s="2" cm="1">
        <f t="array" ref="M93">_xlfn.LET(_xlpm.d,M$2:M$71,_xlpm.f,$A$2:$A$71,_xlpm.g,$B$2:$B$71,_xlpm.k,$F93,AVERAGE(_xlfn._xlws.FILTER(_xlpm.d,(_xlpm.f=_xlpm.k)*(_xlpm.g=0))))</f>
        <v>0.98773841616275071</v>
      </c>
      <c r="N93" s="2" cm="1">
        <f t="array" ref="N93">_xlfn.LET(_xlpm.d,N$2:N$71,_xlpm.f,$A$2:$A$71,_xlpm.g,$B$2:$B$71,_xlpm.k,$F93,AVERAGE(_xlfn._xlws.FILTER(_xlpm.d,(_xlpm.f=_xlpm.k)*(_xlpm.g=0))))</f>
        <v>0.97842249988905206</v>
      </c>
      <c r="O93" s="2" cm="1">
        <f t="array" ref="O93">_xlfn.LET(_xlpm.d,O$2:O$71,_xlpm.f,$A$2:$A$71,_xlpm.g,$B$2:$B$71,_xlpm.k,$F93,AVERAGE(_xlfn._xlws.FILTER(_xlpm.d,(_xlpm.f=_xlpm.k)*(_xlpm.g=0))))</f>
        <v>0.99762707803213335</v>
      </c>
      <c r="P93" s="2" cm="1">
        <f t="array" ref="P93">_xlfn.LET(_xlpm.d,P$2:P$71,_xlpm.f,$A$2:$A$71,_xlpm.g,$B$2:$B$71,_xlpm.k,$F93,AVERAGE(_xlfn._xlws.FILTER(_xlpm.d,(_xlpm.f=_xlpm.k)*(_xlpm.g=0))))</f>
        <v>0.98108426813455429</v>
      </c>
      <c r="Q93" s="2" cm="1">
        <f t="array" ref="Q93">_xlfn.LET(_xlpm.d,Q$2:Q$71,_xlpm.f,$A$2:$A$71,_xlpm.g,$B$2:$B$71,_xlpm.k,$F93,AVERAGE(_xlfn._xlws.FILTER(_xlpm.d,(_xlpm.f=_xlpm.k)*(_xlpm.g=0))))</f>
        <v>0.98382465504957084</v>
      </c>
      <c r="R93" s="2" cm="1">
        <f t="array" ref="R93">_xlfn.LET(_xlpm.d,R$2:R$71,_xlpm.f,$A$2:$A$71,_xlpm.g,$B$2:$B$71,_xlpm.k,$F93,AVERAGE(_xlfn._xlws.FILTER(_xlpm.d,(_xlpm.f=_xlpm.k)*(_xlpm.g=0))))</f>
        <v>0.97310284030642002</v>
      </c>
      <c r="S93" s="2" cm="1">
        <f t="array" ref="S93">_xlfn.LET(_xlpm.d,S$2:S$71,_xlpm.f,$A$2:$A$71,_xlpm.g,$B$2:$B$71,_xlpm.k,$F93,AVERAGE(_xlfn._xlws.FILTER(_xlpm.d,(_xlpm.f=_xlpm.k)*(_xlpm.g=0))))</f>
        <v>0.9283296511864535</v>
      </c>
      <c r="T93" s="2" cm="1">
        <f t="array" ref="T93">_xlfn.LET(_xlpm.d,T$2:T$71,_xlpm.f,$A$2:$A$71,_xlpm.g,$B$2:$B$71,_xlpm.k,$F93,AVERAGE(_xlfn._xlws.FILTER(_xlpm.d,(_xlpm.f=_xlpm.k)*(_xlpm.g=0))))</f>
        <v>0.97918668614680593</v>
      </c>
    </row>
    <row r="94" spans="6:20" ht="30" customHeight="1">
      <c r="F94" t="s">
        <v>100</v>
      </c>
      <c r="G94" s="2" cm="1">
        <f t="array" ref="G94">_xlfn.LET(_xlpm.d,G$2:G$71,_xlpm.f,$A$2:$A$71,_xlpm.g,$B$2:$B$71,_xlpm.k,$F94,AVERAGE(_xlfn._xlws.FILTER(_xlpm.d,(_xlpm.f=_xlpm.k)*(_xlpm.g=0))))</f>
        <v>1</v>
      </c>
      <c r="H94" s="2" cm="1">
        <f t="array" ref="H94">_xlfn.LET(_xlpm.d,H$2:H$71,_xlpm.f,$A$2:$A$71,_xlpm.g,$B$2:$B$71,_xlpm.k,$F94,AVERAGE(_xlfn._xlws.FILTER(_xlpm.d,(_xlpm.f=_xlpm.k)*(_xlpm.g=0))))</f>
        <v>1</v>
      </c>
      <c r="I94" s="2" cm="1">
        <f t="array" ref="I94">_xlfn.LET(_xlpm.d,I$2:I$71,_xlpm.f,$A$2:$A$71,_xlpm.g,$B$2:$B$71,_xlpm.k,$F94,AVERAGE(_xlfn._xlws.FILTER(_xlpm.d,(_xlpm.f=_xlpm.k)*(_xlpm.g=0))))</f>
        <v>0.99532799881126477</v>
      </c>
      <c r="J94" s="2" cm="1">
        <f t="array" ref="J94">_xlfn.LET(_xlpm.d,J$2:J$71,_xlpm.f,$A$2:$A$71,_xlpm.g,$B$2:$B$71,_xlpm.k,$F94,AVERAGE(_xlfn._xlws.FILTER(_xlpm.d,(_xlpm.f=_xlpm.k)*(_xlpm.g=0))))</f>
        <v>0.99437068229571501</v>
      </c>
      <c r="K94" s="2" cm="1">
        <f t="array" ref="K94">_xlfn.LET(_xlpm.d,K$2:K$71,_xlpm.f,$A$2:$A$71,_xlpm.g,$B$2:$B$71,_xlpm.k,$F94,AVERAGE(_xlfn._xlws.FILTER(_xlpm.d,(_xlpm.f=_xlpm.k)*(_xlpm.g=0))))</f>
        <v>1</v>
      </c>
      <c r="L94" s="2" cm="1">
        <f t="array" ref="L94">_xlfn.LET(_xlpm.d,L$2:L$71,_xlpm.f,$A$2:$A$71,_xlpm.g,$B$2:$B$71,_xlpm.k,$F94,AVERAGE(_xlfn._xlws.FILTER(_xlpm.d,(_xlpm.f=_xlpm.k)*(_xlpm.g=0))))</f>
        <v>0.9957547881500739</v>
      </c>
      <c r="M94" s="2" cm="1">
        <f t="array" ref="M94">_xlfn.LET(_xlpm.d,M$2:M$71,_xlpm.f,$A$2:$A$71,_xlpm.g,$B$2:$B$71,_xlpm.k,$F94,AVERAGE(_xlfn._xlws.FILTER(_xlpm.d,(_xlpm.f=_xlpm.k)*(_xlpm.g=0))))</f>
        <v>1</v>
      </c>
      <c r="N94" s="2" cm="1">
        <f t="array" ref="N94">_xlfn.LET(_xlpm.d,N$2:N$71,_xlpm.f,$A$2:$A$71,_xlpm.g,$B$2:$B$71,_xlpm.k,$F94,AVERAGE(_xlfn._xlws.FILTER(_xlpm.d,(_xlpm.f=_xlpm.k)*(_xlpm.g=0))))</f>
        <v>1</v>
      </c>
      <c r="O94" s="2" cm="1">
        <f t="array" ref="O94">_xlfn.LET(_xlpm.d,O$2:O$71,_xlpm.f,$A$2:$A$71,_xlpm.g,$B$2:$B$71,_xlpm.k,$F94,AVERAGE(_xlfn._xlws.FILTER(_xlpm.d,(_xlpm.f=_xlpm.k)*(_xlpm.g=0))))</f>
        <v>0.98352115428960107</v>
      </c>
      <c r="P94" s="2" cm="1">
        <f t="array" ref="P94">_xlfn.LET(_xlpm.d,P$2:P$71,_xlpm.f,$A$2:$A$71,_xlpm.g,$B$2:$B$71,_xlpm.k,$F94,AVERAGE(_xlfn._xlws.FILTER(_xlpm.d,(_xlpm.f=_xlpm.k)*(_xlpm.g=0))))</f>
        <v>1</v>
      </c>
      <c r="Q94" s="2" cm="1">
        <f t="array" ref="Q94">_xlfn.LET(_xlpm.d,Q$2:Q$71,_xlpm.f,$A$2:$A$71,_xlpm.g,$B$2:$B$71,_xlpm.k,$F94,AVERAGE(_xlfn._xlws.FILTER(_xlpm.d,(_xlpm.f=_xlpm.k)*(_xlpm.g=0))))</f>
        <v>0.99651003205220434</v>
      </c>
      <c r="R94" s="2" cm="1">
        <f t="array" ref="R94">_xlfn.LET(_xlpm.d,R$2:R$71,_xlpm.f,$A$2:$A$71,_xlpm.g,$B$2:$B$71,_xlpm.k,$F94,AVERAGE(_xlfn._xlws.FILTER(_xlpm.d,(_xlpm.f=_xlpm.k)*(_xlpm.g=0))))</f>
        <v>1</v>
      </c>
      <c r="S94" s="2" cm="1">
        <f t="array" ref="S94">_xlfn.LET(_xlpm.d,S$2:S$71,_xlpm.f,$A$2:$A$71,_xlpm.g,$B$2:$B$71,_xlpm.k,$F94,AVERAGE(_xlfn._xlws.FILTER(_xlpm.d,(_xlpm.f=_xlpm.k)*(_xlpm.g=0))))</f>
        <v>1</v>
      </c>
      <c r="T94" s="2" cm="1">
        <f t="array" ref="T94">_xlfn.LET(_xlpm.d,T$2:T$71,_xlpm.f,$A$2:$A$71,_xlpm.g,$B$2:$B$71,_xlpm.k,$F94,AVERAGE(_xlfn._xlws.FILTER(_xlpm.d,(_xlpm.f=_xlpm.k)*(_xlpm.g=0))))</f>
        <v>0.99734497350760465</v>
      </c>
    </row>
    <row r="95" spans="6:20" ht="30" customHeight="1">
      <c r="F95" t="s">
        <v>101</v>
      </c>
      <c r="G95" s="2" cm="1">
        <f t="array" ref="G95">_xlfn.LET(_xlpm.d,G$2:G$71,_xlpm.f,$A$2:$A$71,_xlpm.g,$B$2:$B$71,_xlpm.k,$F95,AVERAGE(_xlfn._xlws.FILTER(_xlpm.d,(_xlpm.f=_xlpm.k)*(_xlpm.g=0))))</f>
        <v>0.85607304384238236</v>
      </c>
      <c r="H95" s="2" cm="1">
        <f t="array" ref="H95">_xlfn.LET(_xlpm.d,H$2:H$71,_xlpm.f,$A$2:$A$71,_xlpm.g,$B$2:$B$71,_xlpm.k,$F95,AVERAGE(_xlfn._xlws.FILTER(_xlpm.d,(_xlpm.f=_xlpm.k)*(_xlpm.g=0))))</f>
        <v>0.75908904044801406</v>
      </c>
      <c r="I95" s="2" cm="1">
        <f t="array" ref="I95">_xlfn.LET(_xlpm.d,I$2:I$71,_xlpm.f,$A$2:$A$71,_xlpm.g,$B$2:$B$71,_xlpm.k,$F95,AVERAGE(_xlfn._xlws.FILTER(_xlpm.d,(_xlpm.f=_xlpm.k)*(_xlpm.g=0))))</f>
        <v>0.80909485421656024</v>
      </c>
      <c r="J95" s="2" cm="1">
        <f t="array" ref="J95">_xlfn.LET(_xlpm.d,J$2:J$71,_xlpm.f,$A$2:$A$71,_xlpm.g,$B$2:$B$71,_xlpm.k,$F95,AVERAGE(_xlfn._xlws.FILTER(_xlpm.d,(_xlpm.f=_xlpm.k)*(_xlpm.g=0))))</f>
        <v>0.70040906776086764</v>
      </c>
      <c r="K95" s="2" cm="1">
        <f t="array" ref="K95">_xlfn.LET(_xlpm.d,K$2:K$71,_xlpm.f,$A$2:$A$71,_xlpm.g,$B$2:$B$71,_xlpm.k,$F95,AVERAGE(_xlfn._xlws.FILTER(_xlpm.d,(_xlpm.f=_xlpm.k)*(_xlpm.g=0))))</f>
        <v>0.61712192249846298</v>
      </c>
      <c r="L95" s="2" cm="1">
        <f t="array" ref="L95">_xlfn.LET(_xlpm.d,L$2:L$71,_xlpm.f,$A$2:$A$71,_xlpm.g,$B$2:$B$71,_xlpm.k,$F95,AVERAGE(_xlfn._xlws.FILTER(_xlpm.d,(_xlpm.f=_xlpm.k)*(_xlpm.g=0))))</f>
        <v>0.69562778917111545</v>
      </c>
      <c r="M95" s="2" cm="1">
        <f t="array" ref="M95">_xlfn.LET(_xlpm.d,M$2:M$71,_xlpm.f,$A$2:$A$71,_xlpm.g,$B$2:$B$71,_xlpm.k,$F95,AVERAGE(_xlfn._xlws.FILTER(_xlpm.d,(_xlpm.f=_xlpm.k)*(_xlpm.g=0))))</f>
        <v>0.79207608369473403</v>
      </c>
      <c r="N95" s="2" cm="1">
        <f t="array" ref="N95">_xlfn.LET(_xlpm.d,N$2:N$71,_xlpm.f,$A$2:$A$71,_xlpm.g,$B$2:$B$71,_xlpm.k,$F95,AVERAGE(_xlfn._xlws.FILTER(_xlpm.d,(_xlpm.f=_xlpm.k)*(_xlpm.g=0))))</f>
        <v>0.71346862088334351</v>
      </c>
      <c r="O95" s="2" cm="1">
        <f t="array" ref="O95">_xlfn.LET(_xlpm.d,O$2:O$71,_xlpm.f,$A$2:$A$71,_xlpm.g,$B$2:$B$71,_xlpm.k,$F95,AVERAGE(_xlfn._xlws.FILTER(_xlpm.d,(_xlpm.f=_xlpm.k)*(_xlpm.g=0))))</f>
        <v>0.68950019615107694</v>
      </c>
      <c r="P95" s="2" cm="1">
        <f t="array" ref="P95">_xlfn.LET(_xlpm.d,P$2:P$71,_xlpm.f,$A$2:$A$71,_xlpm.g,$B$2:$B$71,_xlpm.k,$F95,AVERAGE(_xlfn._xlws.FILTER(_xlpm.d,(_xlpm.f=_xlpm.k)*(_xlpm.g=0))))</f>
        <v>0.66614982165083159</v>
      </c>
      <c r="Q95" s="2" cm="1">
        <f t="array" ref="Q95">_xlfn.LET(_xlpm.d,Q$2:Q$71,_xlpm.f,$A$2:$A$71,_xlpm.g,$B$2:$B$71,_xlpm.k,$F95,AVERAGE(_xlfn._xlws.FILTER(_xlpm.d,(_xlpm.f=_xlpm.k)*(_xlpm.g=0))))</f>
        <v>0.56317122852855028</v>
      </c>
      <c r="R95" s="2" cm="1">
        <f t="array" ref="R95">_xlfn.LET(_xlpm.d,R$2:R$71,_xlpm.f,$A$2:$A$71,_xlpm.g,$B$2:$B$71,_xlpm.k,$F95,AVERAGE(_xlfn._xlws.FILTER(_xlpm.d,(_xlpm.f=_xlpm.k)*(_xlpm.g=0))))</f>
        <v>0.58341647702644095</v>
      </c>
      <c r="S95" s="2" cm="1">
        <f t="array" ref="S95">_xlfn.LET(_xlpm.d,S$2:S$71,_xlpm.f,$A$2:$A$71,_xlpm.g,$B$2:$B$71,_xlpm.k,$F95,AVERAGE(_xlfn._xlws.FILTER(_xlpm.d,(_xlpm.f=_xlpm.k)*(_xlpm.g=0))))</f>
        <v>0.49274262162550841</v>
      </c>
      <c r="T95" s="2" cm="1">
        <f t="array" ref="T95">_xlfn.LET(_xlpm.d,T$2:T$71,_xlpm.f,$A$2:$A$71,_xlpm.g,$B$2:$B$71,_xlpm.k,$F95,AVERAGE(_xlfn._xlws.FILTER(_xlpm.d,(_xlpm.f=_xlpm.k)*(_xlpm.g=0))))</f>
        <v>0.68753390519214541</v>
      </c>
    </row>
    <row r="96" spans="6:20" ht="30" customHeight="1">
      <c r="F96" t="s">
        <v>42</v>
      </c>
      <c r="G96" s="2" cm="1">
        <f t="array" ref="G96">_xlfn.LET(_xlpm.d,G$2:G$71,_xlpm.f,$A$2:$A$71,_xlpm.g,$B$2:$B$71,_xlpm.k,$F96,AVERAGE(_xlfn._xlws.FILTER(_xlpm.d,(_xlpm.f=_xlpm.k)*(_xlpm.g=0))))</f>
        <v>0.99925621025578337</v>
      </c>
      <c r="H96" s="2" cm="1">
        <f t="array" ref="H96">_xlfn.LET(_xlpm.d,H$2:H$71,_xlpm.f,$A$2:$A$71,_xlpm.g,$B$2:$B$71,_xlpm.k,$F96,AVERAGE(_xlfn._xlws.FILTER(_xlpm.d,(_xlpm.f=_xlpm.k)*(_xlpm.g=0))))</f>
        <v>0.98684443571112546</v>
      </c>
      <c r="I96" s="2" cm="1">
        <f t="array" ref="I96">_xlfn.LET(_xlpm.d,I$2:I$71,_xlpm.f,$A$2:$A$71,_xlpm.g,$B$2:$B$71,_xlpm.k,$F96,AVERAGE(_xlfn._xlws.FILTER(_xlpm.d,(_xlpm.f=_xlpm.k)*(_xlpm.g=0))))</f>
        <v>0.99452842483471882</v>
      </c>
      <c r="J96" s="2" cm="1">
        <f t="array" ref="J96">_xlfn.LET(_xlpm.d,J$2:J$71,_xlpm.f,$A$2:$A$71,_xlpm.g,$B$2:$B$71,_xlpm.k,$F96,AVERAGE(_xlfn._xlws.FILTER(_xlpm.d,(_xlpm.f=_xlpm.k)*(_xlpm.g=0))))</f>
        <v>0.9872485992141099</v>
      </c>
      <c r="K96" s="2" cm="1">
        <f t="array" ref="K96">_xlfn.LET(_xlpm.d,K$2:K$71,_xlpm.f,$A$2:$A$71,_xlpm.g,$B$2:$B$71,_xlpm.k,$F96,AVERAGE(_xlfn._xlws.FILTER(_xlpm.d,(_xlpm.f=_xlpm.k)*(_xlpm.g=0))))</f>
        <v>0.98479008762260556</v>
      </c>
      <c r="L96" s="2" cm="1">
        <f t="array" ref="L96">_xlfn.LET(_xlpm.d,L$2:L$71,_xlpm.f,$A$2:$A$71,_xlpm.g,$B$2:$B$71,_xlpm.k,$F96,AVERAGE(_xlfn._xlws.FILTER(_xlpm.d,(_xlpm.f=_xlpm.k)*(_xlpm.g=0))))</f>
        <v>0.98415580937006952</v>
      </c>
      <c r="M96" s="2" cm="1">
        <f t="array" ref="M96">_xlfn.LET(_xlpm.d,M$2:M$71,_xlpm.f,$A$2:$A$71,_xlpm.g,$B$2:$B$71,_xlpm.k,$F96,AVERAGE(_xlfn._xlws.FILTER(_xlpm.d,(_xlpm.f=_xlpm.k)*(_xlpm.g=0))))</f>
        <v>0.90825330429769024</v>
      </c>
      <c r="N96" s="2" cm="1">
        <f t="array" ref="N96">_xlfn.LET(_xlpm.d,N$2:N$71,_xlpm.f,$A$2:$A$71,_xlpm.g,$B$2:$B$71,_xlpm.k,$F96,AVERAGE(_xlfn._xlws.FILTER(_xlpm.d,(_xlpm.f=_xlpm.k)*(_xlpm.g=0))))</f>
        <v>0.9872327037955787</v>
      </c>
      <c r="O96" s="2" cm="1">
        <f t="array" ref="O96">_xlfn.LET(_xlpm.d,O$2:O$71,_xlpm.f,$A$2:$A$71,_xlpm.g,$B$2:$B$71,_xlpm.k,$F96,AVERAGE(_xlfn._xlws.FILTER(_xlpm.d,(_xlpm.f=_xlpm.k)*(_xlpm.g=0))))</f>
        <v>0.98039438872393081</v>
      </c>
      <c r="P96" s="2" cm="1">
        <f t="array" ref="P96">_xlfn.LET(_xlpm.d,P$2:P$71,_xlpm.f,$A$2:$A$71,_xlpm.g,$B$2:$B$71,_xlpm.k,$F96,AVERAGE(_xlfn._xlws.FILTER(_xlpm.d,(_xlpm.f=_xlpm.k)*(_xlpm.g=0))))</f>
        <v>0.91505415860098649</v>
      </c>
      <c r="Q96" s="2" cm="1">
        <f t="array" ref="Q96">_xlfn.LET(_xlpm.d,Q$2:Q$71,_xlpm.f,$A$2:$A$71,_xlpm.g,$B$2:$B$71,_xlpm.k,$F96,AVERAGE(_xlfn._xlws.FILTER(_xlpm.d,(_xlpm.f=_xlpm.k)*(_xlpm.g=0))))</f>
        <v>0.98510498668277202</v>
      </c>
      <c r="R96" s="2" cm="1">
        <f t="array" ref="R96">_xlfn.LET(_xlpm.d,R$2:R$71,_xlpm.f,$A$2:$A$71,_xlpm.g,$B$2:$B$71,_xlpm.k,$F96,AVERAGE(_xlfn._xlws.FILTER(_xlpm.d,(_xlpm.f=_xlpm.k)*(_xlpm.g=0))))</f>
        <v>0.90951669872228835</v>
      </c>
      <c r="S96" s="2" cm="1">
        <f t="array" ref="S96">_xlfn.LET(_xlpm.d,S$2:S$71,_xlpm.f,$A$2:$A$71,_xlpm.g,$B$2:$B$71,_xlpm.k,$F96,AVERAGE(_xlfn._xlws.FILTER(_xlpm.d,(_xlpm.f=_xlpm.k)*(_xlpm.g=0))))</f>
        <v>0.99236338132666368</v>
      </c>
      <c r="T96" s="2" cm="1">
        <f t="array" ref="T96">_xlfn.LET(_xlpm.d,T$2:T$71,_xlpm.f,$A$2:$A$71,_xlpm.g,$B$2:$B$71,_xlpm.k,$F96,AVERAGE(_xlfn._xlws.FILTER(_xlpm.d,(_xlpm.f=_xlpm.k)*(_xlpm.g=0))))</f>
        <v>0.97036486070448635</v>
      </c>
    </row>
    <row r="97" spans="6:20" ht="30" customHeight="1">
      <c r="F97" t="s">
        <v>102</v>
      </c>
      <c r="G97" s="2" cm="1">
        <f t="array" ref="G97">_xlfn.LET(_xlpm.d,G$2:G$71,_xlpm.f,$A$2:$A$71,_xlpm.g,$B$2:$B$71,_xlpm.k,$F97,AVERAGE(_xlfn._xlws.FILTER(_xlpm.d,(_xlpm.f=_xlpm.k)*(_xlpm.g=0))))</f>
        <v>0.83104391437785263</v>
      </c>
      <c r="H97" s="2" cm="1">
        <f t="array" ref="H97">_xlfn.LET(_xlpm.d,H$2:H$71,_xlpm.f,$A$2:$A$71,_xlpm.g,$B$2:$B$71,_xlpm.k,$F97,AVERAGE(_xlfn._xlws.FILTER(_xlpm.d,(_xlpm.f=_xlpm.k)*(_xlpm.g=0))))</f>
        <v>0.77476981828289293</v>
      </c>
      <c r="I97" s="2" cm="1">
        <f t="array" ref="I97">_xlfn.LET(_xlpm.d,I$2:I$71,_xlpm.f,$A$2:$A$71,_xlpm.g,$B$2:$B$71,_xlpm.k,$F97,AVERAGE(_xlfn._xlws.FILTER(_xlpm.d,(_xlpm.f=_xlpm.k)*(_xlpm.g=0))))</f>
        <v>0.75135421581808215</v>
      </c>
      <c r="J97" s="2" cm="1">
        <f t="array" ref="J97">_xlfn.LET(_xlpm.d,J$2:J$71,_xlpm.f,$A$2:$A$71,_xlpm.g,$B$2:$B$71,_xlpm.k,$F97,AVERAGE(_xlfn._xlws.FILTER(_xlpm.d,(_xlpm.f=_xlpm.k)*(_xlpm.g=0))))</f>
        <v>0.67050691525021167</v>
      </c>
      <c r="K97" s="2" cm="1">
        <f t="array" ref="K97">_xlfn.LET(_xlpm.d,K$2:K$71,_xlpm.f,$A$2:$A$71,_xlpm.g,$B$2:$B$71,_xlpm.k,$F97,AVERAGE(_xlfn._xlws.FILTER(_xlpm.d,(_xlpm.f=_xlpm.k)*(_xlpm.g=0))))</f>
        <v>0.70828412277325226</v>
      </c>
      <c r="L97" s="2" cm="1">
        <f t="array" ref="L97">_xlfn.LET(_xlpm.d,L$2:L$71,_xlpm.f,$A$2:$A$71,_xlpm.g,$B$2:$B$71,_xlpm.k,$F97,AVERAGE(_xlfn._xlws.FILTER(_xlpm.d,(_xlpm.f=_xlpm.k)*(_xlpm.g=0))))</f>
        <v>0.52969229019774933</v>
      </c>
      <c r="M97" s="2" cm="1">
        <f t="array" ref="M97">_xlfn.LET(_xlpm.d,M$2:M$71,_xlpm.f,$A$2:$A$71,_xlpm.g,$B$2:$B$71,_xlpm.k,$F97,AVERAGE(_xlfn._xlws.FILTER(_xlpm.d,(_xlpm.f=_xlpm.k)*(_xlpm.g=0))))</f>
        <v>0.57892736004924217</v>
      </c>
      <c r="N97" s="2" cm="1">
        <f t="array" ref="N97">_xlfn.LET(_xlpm.d,N$2:N$71,_xlpm.f,$A$2:$A$71,_xlpm.g,$B$2:$B$71,_xlpm.k,$F97,AVERAGE(_xlfn._xlws.FILTER(_xlpm.d,(_xlpm.f=_xlpm.k)*(_xlpm.g=0))))</f>
        <v>0.57063523531688365</v>
      </c>
      <c r="O97" s="2" cm="1">
        <f t="array" ref="O97">_xlfn.LET(_xlpm.d,O$2:O$71,_xlpm.f,$A$2:$A$71,_xlpm.g,$B$2:$B$71,_xlpm.k,$F97,AVERAGE(_xlfn._xlws.FILTER(_xlpm.d,(_xlpm.f=_xlpm.k)*(_xlpm.g=0))))</f>
        <v>0.62193936315123433</v>
      </c>
      <c r="P97" s="2" cm="1">
        <f t="array" ref="P97">_xlfn.LET(_xlpm.d,P$2:P$71,_xlpm.f,$A$2:$A$71,_xlpm.g,$B$2:$B$71,_xlpm.k,$F97,AVERAGE(_xlfn._xlws.FILTER(_xlpm.d,(_xlpm.f=_xlpm.k)*(_xlpm.g=0))))</f>
        <v>0.64524660129495626</v>
      </c>
      <c r="Q97" s="2" cm="1">
        <f t="array" ref="Q97">_xlfn.LET(_xlpm.d,Q$2:Q$71,_xlpm.f,$A$2:$A$71,_xlpm.g,$B$2:$B$71,_xlpm.k,$F97,AVERAGE(_xlfn._xlws.FILTER(_xlpm.d,(_xlpm.f=_xlpm.k)*(_xlpm.g=0))))</f>
        <v>0.60954016046982673</v>
      </c>
      <c r="R97" s="2" cm="1">
        <f t="array" ref="R97">_xlfn.LET(_xlpm.d,R$2:R$71,_xlpm.f,$A$2:$A$71,_xlpm.g,$B$2:$B$71,_xlpm.k,$F97,AVERAGE(_xlfn._xlws.FILTER(_xlpm.d,(_xlpm.f=_xlpm.k)*(_xlpm.g=0))))</f>
        <v>0.39897226096219846</v>
      </c>
      <c r="S97" s="2" cm="1">
        <f t="array" ref="S97">_xlfn.LET(_xlpm.d,S$2:S$71,_xlpm.f,$A$2:$A$71,_xlpm.g,$B$2:$B$71,_xlpm.k,$F97,AVERAGE(_xlfn._xlws.FILTER(_xlpm.d,(_xlpm.f=_xlpm.k)*(_xlpm.g=0))))</f>
        <v>0.82264353611149554</v>
      </c>
      <c r="T97" s="2" cm="1">
        <f t="array" ref="T97">_xlfn.LET(_xlpm.d,T$2:T$71,_xlpm.f,$A$2:$A$71,_xlpm.g,$B$2:$B$71,_xlpm.k,$F97,AVERAGE(_xlfn._xlws.FILTER(_xlpm.d,(_xlpm.f=_xlpm.k)*(_xlpm.g=0))))</f>
        <v>0.65475528022972351</v>
      </c>
    </row>
    <row r="99" spans="6:20" ht="30" customHeight="1">
      <c r="F99" t="s">
        <v>45</v>
      </c>
    </row>
    <row r="100" spans="6:20" ht="30" customHeight="1">
      <c r="F100" t="s">
        <v>37</v>
      </c>
      <c r="G100" s="2" cm="1">
        <f t="array" ref="G100">_xlfn.LET(_xlpm.d,G$2:G$71,_xlpm.g,$B$2:$B$71,AVERAGE(_xlfn._xlws.FILTER(_xlpm.d,(_xlpm.g=0))))</f>
        <v>0.7585030540416291</v>
      </c>
      <c r="H100" s="2" cm="1">
        <f t="array" ref="H100">_xlfn.LET(_xlpm.d,H$2:H$71,_xlpm.g,$B$2:$B$71,AVERAGE(_xlfn._xlws.FILTER(_xlpm.d,(_xlpm.g=0))))</f>
        <v>0.73402749594329386</v>
      </c>
      <c r="I100" s="2" cm="1">
        <f t="array" ref="I100">_xlfn.LET(_xlpm.d,I$2:I$71,_xlpm.g,$B$2:$B$71,AVERAGE(_xlfn._xlws.FILTER(_xlpm.d,(_xlpm.g=0))))</f>
        <v>0.70298870300414384</v>
      </c>
      <c r="J100" s="2" cm="1">
        <f t="array" ref="J100">_xlfn.LET(_xlpm.d,J$2:J$71,_xlpm.g,$B$2:$B$71,AVERAGE(_xlfn._xlws.FILTER(_xlpm.d,(_xlpm.g=0))))</f>
        <v>0.71180187212760415</v>
      </c>
      <c r="K100" s="2" cm="1">
        <f t="array" ref="K100">_xlfn.LET(_xlpm.d,K$2:K$71,_xlpm.g,$B$2:$B$71,AVERAGE(_xlfn._xlws.FILTER(_xlpm.d,(_xlpm.g=0))))</f>
        <v>0.67218925983757438</v>
      </c>
      <c r="L100" s="2" cm="1">
        <f t="array" ref="L100">_xlfn.LET(_xlpm.d,L$2:L$71,_xlpm.g,$B$2:$B$71,AVERAGE(_xlfn._xlws.FILTER(_xlpm.d,(_xlpm.g=0))))</f>
        <v>0.65517733362920338</v>
      </c>
      <c r="M100" s="2" cm="1">
        <f t="array" ref="M100">_xlfn.LET(_xlpm.d,M$2:M$71,_xlpm.g,$B$2:$B$71,AVERAGE(_xlfn._xlws.FILTER(_xlpm.d,(_xlpm.g=0))))</f>
        <v>0.67542559786264211</v>
      </c>
      <c r="N100" s="2" cm="1">
        <f t="array" ref="N100">_xlfn.LET(_xlpm.d,N$2:N$71,_xlpm.g,$B$2:$B$71,AVERAGE(_xlfn._xlws.FILTER(_xlpm.d,(_xlpm.g=0))))</f>
        <v>0.64469989947794093</v>
      </c>
      <c r="O100" s="2" cm="1">
        <f t="array" ref="O100">_xlfn.LET(_xlpm.d,O$2:O$71,_xlpm.g,$B$2:$B$71,AVERAGE(_xlfn._xlws.FILTER(_xlpm.d,(_xlpm.g=0))))</f>
        <v>0.63492115683354378</v>
      </c>
      <c r="P100" s="2" cm="1">
        <f t="array" ref="P100">_xlfn.LET(_xlpm.d,P$2:P$71,_xlpm.g,$B$2:$B$71,AVERAGE(_xlfn._xlws.FILTER(_xlpm.d,(_xlpm.g=0))))</f>
        <v>0.64563785119953121</v>
      </c>
      <c r="Q100" s="2" cm="1">
        <f t="array" ref="Q100">_xlfn.LET(_xlpm.d,Q$2:Q$71,_xlpm.g,$B$2:$B$71,AVERAGE(_xlfn._xlws.FILTER(_xlpm.d,(_xlpm.g=0))))</f>
        <v>0.63387424685721827</v>
      </c>
      <c r="R100" s="2" cm="1">
        <f t="array" ref="R100">_xlfn.LET(_xlpm.d,R$2:R$71,_xlpm.g,$B$2:$B$71,AVERAGE(_xlfn._xlws.FILTER(_xlpm.d,(_xlpm.g=0))))</f>
        <v>0.59206615049156897</v>
      </c>
      <c r="S100" s="2" cm="1">
        <f t="array" ref="S100">_xlfn.LET(_xlpm.d,S$2:S$71,_xlpm.g,$B$2:$B$71,AVERAGE(_xlfn._xlws.FILTER(_xlpm.d,(_xlpm.g=0))))</f>
        <v>0.5991250769619213</v>
      </c>
      <c r="T100" s="2" cm="1">
        <f t="array" ref="T100">_xlfn.LET(_xlpm.d,T$2:T$71,_xlpm.g,$B$2:$B$71,AVERAGE(_xlfn._xlws.FILTER(_xlpm.d,(_xlpm.g=0))))</f>
        <v>0.66477145122123393</v>
      </c>
    </row>
    <row r="101" spans="6:20" ht="30" customHeight="1">
      <c r="F101" t="s">
        <v>50</v>
      </c>
      <c r="G101" s="2" cm="1">
        <f t="array" ref="G101">_xlfn.LET(_xlpm.d,G$2:G$71,_xlpm.f,$B$2:$B$71,_xlpm.g,$C$2:$C$71,_xlpm.k,$F101,AVERAGE(_xlfn._xlws.FILTER(_xlpm.d,(_xlpm.f=0)*(_xlpm.g=1))))</f>
        <v>0.74079509189635473</v>
      </c>
      <c r="H101" s="2" cm="1">
        <f t="array" ref="H101">_xlfn.LET(_xlpm.d,H$2:H$71,_xlpm.f,$B$2:$B$71,_xlpm.g,$C$2:$C$71,_xlpm.k,$F101,AVERAGE(_xlfn._xlws.FILTER(_xlpm.d,(_xlpm.f=0)*(_xlpm.g=1))))</f>
        <v>0.79540750317446951</v>
      </c>
      <c r="I101" s="2" cm="1">
        <f t="array" ref="I101">_xlfn.LET(_xlpm.d,I$2:I$71,_xlpm.f,$B$2:$B$71,_xlpm.g,$C$2:$C$71,_xlpm.k,$F101,AVERAGE(_xlfn._xlws.FILTER(_xlpm.d,(_xlpm.f=0)*(_xlpm.g=1))))</f>
        <v>0.74227878420786897</v>
      </c>
      <c r="J101" s="2" cm="1">
        <f t="array" ref="J101">_xlfn.LET(_xlpm.d,J$2:J$71,_xlpm.f,$B$2:$B$71,_xlpm.g,$C$2:$C$71,_xlpm.k,$F101,AVERAGE(_xlfn._xlws.FILTER(_xlpm.d,(_xlpm.f=0)*(_xlpm.g=1))))</f>
        <v>0.7562343126742832</v>
      </c>
      <c r="K101" s="2" cm="1">
        <f t="array" ref="K101">_xlfn.LET(_xlpm.d,K$2:K$71,_xlpm.f,$B$2:$B$71,_xlpm.g,$C$2:$C$71,_xlpm.k,$F101,AVERAGE(_xlfn._xlws.FILTER(_xlpm.d,(_xlpm.f=0)*(_xlpm.g=1))))</f>
        <v>0.72584074470907134</v>
      </c>
      <c r="L101" s="2" cm="1">
        <f t="array" ref="L101">_xlfn.LET(_xlpm.d,L$2:L$71,_xlpm.f,$B$2:$B$71,_xlpm.g,$C$2:$C$71,_xlpm.k,$F101,AVERAGE(_xlfn._xlws.FILTER(_xlpm.d,(_xlpm.f=0)*(_xlpm.g=1))))</f>
        <v>0.66889837464147361</v>
      </c>
      <c r="M101" s="2" cm="1">
        <f t="array" ref="M101">_xlfn.LET(_xlpm.d,M$2:M$71,_xlpm.f,$B$2:$B$71,_xlpm.g,$C$2:$C$71,_xlpm.k,$F101,AVERAGE(_xlfn._xlws.FILTER(_xlpm.d,(_xlpm.f=0)*(_xlpm.g=1))))</f>
        <v>0.70175866879265425</v>
      </c>
      <c r="N101" s="2" cm="1">
        <f t="array" ref="N101">_xlfn.LET(_xlpm.d,N$2:N$71,_xlpm.f,$B$2:$B$71,_xlpm.g,$C$2:$C$71,_xlpm.k,$F101,AVERAGE(_xlfn._xlws.FILTER(_xlpm.d,(_xlpm.f=0)*(_xlpm.g=1))))</f>
        <v>0.67155277862622331</v>
      </c>
      <c r="O101" s="2" cm="1">
        <f t="array" ref="O101">_xlfn.LET(_xlpm.d,O$2:O$71,_xlpm.f,$B$2:$B$71,_xlpm.g,$C$2:$C$71,_xlpm.k,$F101,AVERAGE(_xlfn._xlws.FILTER(_xlpm.d,(_xlpm.f=0)*(_xlpm.g=1))))</f>
        <v>0.69515144046324351</v>
      </c>
      <c r="P101" s="2" cm="1">
        <f t="array" ref="P101">_xlfn.LET(_xlpm.d,P$2:P$71,_xlpm.f,$B$2:$B$71,_xlpm.g,$C$2:$C$71,_xlpm.k,$F101,AVERAGE(_xlfn._xlws.FILTER(_xlpm.d,(_xlpm.f=0)*(_xlpm.g=1))))</f>
        <v>0.66278073245505587</v>
      </c>
      <c r="Q101" s="2" cm="1">
        <f t="array" ref="Q101">_xlfn.LET(_xlpm.d,Q$2:Q$71,_xlpm.f,$B$2:$B$71,_xlpm.g,$C$2:$C$71,_xlpm.k,$F101,AVERAGE(_xlfn._xlws.FILTER(_xlpm.d,(_xlpm.f=0)*(_xlpm.g=1))))</f>
        <v>0.63248380845375907</v>
      </c>
      <c r="R101" s="2" cm="1">
        <f t="array" ref="R101">_xlfn.LET(_xlpm.d,R$2:R$71,_xlpm.f,$B$2:$B$71,_xlpm.g,$C$2:$C$71,_xlpm.k,$F101,AVERAGE(_xlfn._xlws.FILTER(_xlpm.d,(_xlpm.f=0)*(_xlpm.g=1))))</f>
        <v>0.56679624948927843</v>
      </c>
      <c r="S101" s="2" cm="1">
        <f t="array" ref="S101">_xlfn.LET(_xlpm.d,S$2:S$71,_xlpm.f,$B$2:$B$71,_xlpm.g,$C$2:$C$71,_xlpm.k,$F101,AVERAGE(_xlfn._xlws.FILTER(_xlpm.d,(_xlpm.f=0)*(_xlpm.g=1))))</f>
        <v>0.54757796133046965</v>
      </c>
      <c r="T101" s="2" cm="1">
        <f t="array" ref="T101">_xlfn.LET(_xlpm.d,T$2:T$71,_xlpm.f,$B$2:$B$71,_xlpm.g,$C$2:$C$71,_xlpm.k,$F101,AVERAGE(_xlfn._xlws.FILTER(_xlpm.d,(_xlpm.f=0)*(_xlpm.g=1))))</f>
        <v>0.68519665007032349</v>
      </c>
    </row>
    <row r="102" spans="6:20" ht="30" customHeight="1">
      <c r="F102" t="s">
        <v>51</v>
      </c>
      <c r="G102" s="2" cm="1">
        <f t="array" ref="G102">_xlfn.LET(_xlpm.d,G$2:G$71,_xlpm.f,$B$2:$B$71,_xlpm.g,$D$2:$D$71,_xlpm.k,$F102,AVERAGE(_xlfn._xlws.FILTER(_xlpm.d,(_xlpm.f=0)*(_xlpm.g=1))))</f>
        <v>0.78139258872286077</v>
      </c>
      <c r="H102" s="2" cm="1">
        <f t="array" ref="H102">_xlfn.LET(_xlpm.d,H$2:H$71,_xlpm.f,$B$2:$B$71,_xlpm.g,$D$2:$D$71,_xlpm.k,$F102,AVERAGE(_xlfn._xlws.FILTER(_xlpm.d,(_xlpm.f=0)*(_xlpm.g=1))))</f>
        <v>0.76199781661274568</v>
      </c>
      <c r="I102" s="2" cm="1">
        <f t="array" ref="I102">_xlfn.LET(_xlpm.d,I$2:I$71,_xlpm.f,$B$2:$B$71,_xlpm.g,$D$2:$D$71,_xlpm.k,$F102,AVERAGE(_xlfn._xlws.FILTER(_xlpm.d,(_xlpm.f=0)*(_xlpm.g=1))))</f>
        <v>0.71165728133662021</v>
      </c>
      <c r="J102" s="2" cm="1">
        <f t="array" ref="J102">_xlfn.LET(_xlpm.d,J$2:J$71,_xlpm.f,$B$2:$B$71,_xlpm.g,$D$2:$D$71,_xlpm.k,$F102,AVERAGE(_xlfn._xlws.FILTER(_xlpm.d,(_xlpm.f=0)*(_xlpm.g=1))))</f>
        <v>0.75893954210385839</v>
      </c>
      <c r="K102" s="2" cm="1">
        <f t="array" ref="K102">_xlfn.LET(_xlpm.d,K$2:K$71,_xlpm.f,$B$2:$B$71,_xlpm.g,$D$2:$D$71,_xlpm.k,$F102,AVERAGE(_xlfn._xlws.FILTER(_xlpm.d,(_xlpm.f=0)*(_xlpm.g=1))))</f>
        <v>0.68680648092575569</v>
      </c>
      <c r="L102" s="2" cm="1">
        <f t="array" ref="L102">_xlfn.LET(_xlpm.d,L$2:L$71,_xlpm.f,$B$2:$B$71,_xlpm.g,$D$2:$D$71,_xlpm.k,$F102,AVERAGE(_xlfn._xlws.FILTER(_xlpm.d,(_xlpm.f=0)*(_xlpm.g=1))))</f>
        <v>0.63349704266354234</v>
      </c>
      <c r="M102" s="2" cm="1">
        <f t="array" ref="M102">_xlfn.LET(_xlpm.d,M$2:M$71,_xlpm.f,$B$2:$B$71,_xlpm.g,$D$2:$D$71,_xlpm.k,$F102,AVERAGE(_xlfn._xlws.FILTER(_xlpm.d,(_xlpm.f=0)*(_xlpm.g=1))))</f>
        <v>0.65987661232449768</v>
      </c>
      <c r="N102" s="2" cm="1">
        <f t="array" ref="N102">_xlfn.LET(_xlpm.d,N$2:N$71,_xlpm.f,$B$2:$B$71,_xlpm.g,$D$2:$D$71,_xlpm.k,$F102,AVERAGE(_xlfn._xlws.FILTER(_xlpm.d,(_xlpm.f=0)*(_xlpm.g=1))))</f>
        <v>0.62852708610939323</v>
      </c>
      <c r="O102" s="2" cm="1">
        <f t="array" ref="O102">_xlfn.LET(_xlpm.d,O$2:O$71,_xlpm.f,$B$2:$B$71,_xlpm.g,$D$2:$D$71,_xlpm.k,$F102,AVERAGE(_xlfn._xlws.FILTER(_xlpm.d,(_xlpm.f=0)*(_xlpm.g=1))))</f>
        <v>0.63481941300130829</v>
      </c>
      <c r="P102" s="2" cm="1">
        <f t="array" ref="P102">_xlfn.LET(_xlpm.d,P$2:P$71,_xlpm.f,$B$2:$B$71,_xlpm.g,$D$2:$D$71,_xlpm.k,$F102,AVERAGE(_xlfn._xlws.FILTER(_xlpm.d,(_xlpm.f=0)*(_xlpm.g=1))))</f>
        <v>0.59921399856001534</v>
      </c>
      <c r="Q102" s="2" cm="1">
        <f t="array" ref="Q102">_xlfn.LET(_xlpm.d,Q$2:Q$71,_xlpm.f,$B$2:$B$71,_xlpm.g,$D$2:$D$71,_xlpm.k,$F102,AVERAGE(_xlfn._xlws.FILTER(_xlpm.d,(_xlpm.f=0)*(_xlpm.g=1))))</f>
        <v>0.64791186504350617</v>
      </c>
      <c r="R102" s="2" cm="1">
        <f t="array" ref="R102">_xlfn.LET(_xlpm.d,R$2:R$71,_xlpm.f,$B$2:$B$71,_xlpm.g,$D$2:$D$71,_xlpm.k,$F102,AVERAGE(_xlfn._xlws.FILTER(_xlpm.d,(_xlpm.f=0)*(_xlpm.g=1))))</f>
        <v>0.6180829692546479</v>
      </c>
      <c r="S102" s="2" cm="1">
        <f t="array" ref="S102">_xlfn.LET(_xlpm.d,S$2:S$71,_xlpm.f,$B$2:$B$71,_xlpm.g,$D$2:$D$71,_xlpm.k,$F102,AVERAGE(_xlfn._xlws.FILTER(_xlpm.d,(_xlpm.f=0)*(_xlpm.g=1))))</f>
        <v>0.63392680738548079</v>
      </c>
      <c r="T102" s="2" cm="1">
        <f t="array" ref="T102">_xlfn.LET(_xlpm.d,T$2:T$71,_xlpm.f,$B$2:$B$71,_xlpm.g,$D$2:$D$71,_xlpm.k,$F102,AVERAGE(_xlfn._xlws.FILTER(_xlpm.d,(_xlpm.f=0)*(_xlpm.g=1))))</f>
        <v>0.66870992821760988</v>
      </c>
    </row>
    <row r="103" spans="6:20" ht="30" customHeight="1">
      <c r="F103" t="s">
        <v>52</v>
      </c>
      <c r="G103" s="2" cm="1">
        <f t="array" ref="G103">_xlfn.LET(_xlpm.d,G$2:G$71,_xlpm.f,$B$2:$B$71,_xlpm.g,$D$2:$D$71,_xlpm.k,$F103,AVERAGE(_xlfn._xlws.FILTER(_xlpm.d,(_xlpm.f=0)*(_xlpm.g=1))))</f>
        <v>0.78139258872286077</v>
      </c>
      <c r="H103" s="2" cm="1">
        <f t="array" ref="H103">_xlfn.LET(_xlpm.d,H$2:H$71,_xlpm.f,$B$2:$B$71,_xlpm.g,$D$2:$D$71,_xlpm.k,$F103,AVERAGE(_xlfn._xlws.FILTER(_xlpm.d,(_xlpm.f=0)*(_xlpm.g=1))))</f>
        <v>0.76199781661274568</v>
      </c>
      <c r="I103" s="2" cm="1">
        <f t="array" ref="I103">_xlfn.LET(_xlpm.d,I$2:I$71,_xlpm.f,$B$2:$B$71,_xlpm.g,$D$2:$D$71,_xlpm.k,$F103,AVERAGE(_xlfn._xlws.FILTER(_xlpm.d,(_xlpm.f=0)*(_xlpm.g=1))))</f>
        <v>0.71165728133662021</v>
      </c>
      <c r="J103" s="2" cm="1">
        <f t="array" ref="J103">_xlfn.LET(_xlpm.d,J$2:J$71,_xlpm.f,$B$2:$B$71,_xlpm.g,$D$2:$D$71,_xlpm.k,$F103,AVERAGE(_xlfn._xlws.FILTER(_xlpm.d,(_xlpm.f=0)*(_xlpm.g=1))))</f>
        <v>0.75893954210385839</v>
      </c>
      <c r="K103" s="2" cm="1">
        <f t="array" ref="K103">_xlfn.LET(_xlpm.d,K$2:K$71,_xlpm.f,$B$2:$B$71,_xlpm.g,$D$2:$D$71,_xlpm.k,$F103,AVERAGE(_xlfn._xlws.FILTER(_xlpm.d,(_xlpm.f=0)*(_xlpm.g=1))))</f>
        <v>0.68680648092575569</v>
      </c>
      <c r="L103" s="2" cm="1">
        <f t="array" ref="L103">_xlfn.LET(_xlpm.d,L$2:L$71,_xlpm.f,$B$2:$B$71,_xlpm.g,$D$2:$D$71,_xlpm.k,$F103,AVERAGE(_xlfn._xlws.FILTER(_xlpm.d,(_xlpm.f=0)*(_xlpm.g=1))))</f>
        <v>0.63349704266354234</v>
      </c>
      <c r="M103" s="2" cm="1">
        <f t="array" ref="M103">_xlfn.LET(_xlpm.d,M$2:M$71,_xlpm.f,$B$2:$B$71,_xlpm.g,$D$2:$D$71,_xlpm.k,$F103,AVERAGE(_xlfn._xlws.FILTER(_xlpm.d,(_xlpm.f=0)*(_xlpm.g=1))))</f>
        <v>0.65987661232449768</v>
      </c>
      <c r="N103" s="2" cm="1">
        <f t="array" ref="N103">_xlfn.LET(_xlpm.d,N$2:N$71,_xlpm.f,$B$2:$B$71,_xlpm.g,$D$2:$D$71,_xlpm.k,$F103,AVERAGE(_xlfn._xlws.FILTER(_xlpm.d,(_xlpm.f=0)*(_xlpm.g=1))))</f>
        <v>0.62852708610939323</v>
      </c>
      <c r="O103" s="2" cm="1">
        <f t="array" ref="O103">_xlfn.LET(_xlpm.d,O$2:O$71,_xlpm.f,$B$2:$B$71,_xlpm.g,$D$2:$D$71,_xlpm.k,$F103,AVERAGE(_xlfn._xlws.FILTER(_xlpm.d,(_xlpm.f=0)*(_xlpm.g=1))))</f>
        <v>0.63481941300130829</v>
      </c>
      <c r="P103" s="2" cm="1">
        <f t="array" ref="P103">_xlfn.LET(_xlpm.d,P$2:P$71,_xlpm.f,$B$2:$B$71,_xlpm.g,$D$2:$D$71,_xlpm.k,$F103,AVERAGE(_xlfn._xlws.FILTER(_xlpm.d,(_xlpm.f=0)*(_xlpm.g=1))))</f>
        <v>0.59921399856001534</v>
      </c>
      <c r="Q103" s="2" cm="1">
        <f t="array" ref="Q103">_xlfn.LET(_xlpm.d,Q$2:Q$71,_xlpm.f,$B$2:$B$71,_xlpm.g,$D$2:$D$71,_xlpm.k,$F103,AVERAGE(_xlfn._xlws.FILTER(_xlpm.d,(_xlpm.f=0)*(_xlpm.g=1))))</f>
        <v>0.64791186504350617</v>
      </c>
      <c r="R103" s="2" cm="1">
        <f t="array" ref="R103">_xlfn.LET(_xlpm.d,R$2:R$71,_xlpm.f,$B$2:$B$71,_xlpm.g,$D$2:$D$71,_xlpm.k,$F103,AVERAGE(_xlfn._xlws.FILTER(_xlpm.d,(_xlpm.f=0)*(_xlpm.g=1))))</f>
        <v>0.6180829692546479</v>
      </c>
      <c r="S103" s="2" cm="1">
        <f t="array" ref="S103">_xlfn.LET(_xlpm.d,S$2:S$71,_xlpm.f,$B$2:$B$71,_xlpm.g,$D$2:$D$71,_xlpm.k,$F103,AVERAGE(_xlfn._xlws.FILTER(_xlpm.d,(_xlpm.f=0)*(_xlpm.g=1))))</f>
        <v>0.63392680738548079</v>
      </c>
      <c r="T103" s="2" cm="1">
        <f t="array" ref="T103">_xlfn.LET(_xlpm.d,T$2:T$71,_xlpm.f,$B$2:$B$71,_xlpm.g,$D$2:$D$71,_xlpm.k,$F103,AVERAGE(_xlfn._xlws.FILTER(_xlpm.d,(_xlpm.f=0)*(_xlpm.g=1))))</f>
        <v>0.66870992821760988</v>
      </c>
    </row>
  </sheetData>
  <phoneticPr fontId="1" type="noConversion"/>
  <conditionalFormatting sqref="G2:S71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74:T84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87:T87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88:T97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0:T100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1:T103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71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2025-09-10T09:16:20Z</dcterms:modified>
  <cp:category/>
</cp:coreProperties>
</file>