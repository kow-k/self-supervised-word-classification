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FGGHIRSST/comparisons/"/>
    </mc:Choice>
  </mc:AlternateContent>
  <xr:revisionPtr revIDLastSave="0" documentId="13_ncr:1_{FCAC9CB7-8D12-EB45-96E0-246575341031}" xr6:coauthVersionLast="47" xr6:coauthVersionMax="47" xr10:uidLastSave="{00000000-0000-0000-0000-000000000000}"/>
  <bookViews>
    <workbookView xWindow="1960" yWindow="500" windowWidth="31300" windowHeight="16180" xr2:uid="{AAB55906-58C7-F940-B4CF-E7AFA13CA4FF}"/>
  </bookViews>
  <sheets>
    <sheet name="aNA.pt0.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1" l="1" a="1"/>
  <c r="H113" i="1" s="1"/>
  <c r="I113" i="1" a="1"/>
  <c r="I113" i="1" s="1"/>
  <c r="J113" i="1" a="1"/>
  <c r="J113" i="1" s="1"/>
  <c r="K113" i="1" a="1"/>
  <c r="K113" i="1"/>
  <c r="L113" i="1" a="1"/>
  <c r="L113" i="1" s="1"/>
  <c r="M113" i="1" a="1"/>
  <c r="M113" i="1" s="1"/>
  <c r="N113" i="1" a="1"/>
  <c r="N113" i="1" s="1"/>
  <c r="O113" i="1" a="1"/>
  <c r="O113" i="1" s="1"/>
  <c r="P113" i="1" a="1"/>
  <c r="P113" i="1" s="1"/>
  <c r="Q113" i="1" a="1"/>
  <c r="Q113" i="1"/>
  <c r="R113" i="1" a="1"/>
  <c r="R113" i="1" s="1"/>
  <c r="S113" i="1" a="1"/>
  <c r="S113" i="1" s="1"/>
  <c r="H114" i="1" a="1"/>
  <c r="H114" i="1"/>
  <c r="I114" i="1" a="1"/>
  <c r="I114" i="1"/>
  <c r="J114" i="1" a="1"/>
  <c r="J114" i="1" s="1"/>
  <c r="K114" i="1" a="1"/>
  <c r="K114" i="1" s="1"/>
  <c r="L114" i="1" a="1"/>
  <c r="L114" i="1" s="1"/>
  <c r="M114" i="1" a="1"/>
  <c r="M114" i="1" s="1"/>
  <c r="N114" i="1" a="1"/>
  <c r="N114" i="1"/>
  <c r="O114" i="1" a="1"/>
  <c r="O114" i="1" s="1"/>
  <c r="P114" i="1" a="1"/>
  <c r="P114" i="1" s="1"/>
  <c r="Q114" i="1" a="1"/>
  <c r="Q114" i="1" s="1"/>
  <c r="R114" i="1" a="1"/>
  <c r="R114" i="1" s="1"/>
  <c r="S114" i="1" a="1"/>
  <c r="S114" i="1" s="1"/>
  <c r="H98" i="1" a="1"/>
  <c r="H98" i="1" s="1"/>
  <c r="I98" i="1" a="1"/>
  <c r="I98" i="1" s="1"/>
  <c r="J98" i="1" a="1"/>
  <c r="J98" i="1" s="1"/>
  <c r="K98" i="1" a="1"/>
  <c r="K98" i="1" s="1"/>
  <c r="L98" i="1" a="1"/>
  <c r="L98" i="1" s="1"/>
  <c r="M98" i="1" a="1"/>
  <c r="M98" i="1" s="1"/>
  <c r="N98" i="1" a="1"/>
  <c r="N98" i="1" s="1"/>
  <c r="O98" i="1" a="1"/>
  <c r="O98" i="1"/>
  <c r="P98" i="1" a="1"/>
  <c r="P98" i="1" s="1"/>
  <c r="Q98" i="1" a="1"/>
  <c r="Q98" i="1"/>
  <c r="R98" i="1" a="1"/>
  <c r="R98" i="1" s="1"/>
  <c r="S98" i="1" a="1"/>
  <c r="S98" i="1" s="1"/>
  <c r="H99" i="1" a="1"/>
  <c r="H99" i="1"/>
  <c r="I99" i="1" a="1"/>
  <c r="I99" i="1" s="1"/>
  <c r="J99" i="1" a="1"/>
  <c r="J99" i="1" s="1"/>
  <c r="K99" i="1" a="1"/>
  <c r="K99" i="1" s="1"/>
  <c r="L99" i="1" a="1"/>
  <c r="L99" i="1" s="1"/>
  <c r="M99" i="1" a="1"/>
  <c r="M99" i="1" s="1"/>
  <c r="N99" i="1" a="1"/>
  <c r="N99" i="1" s="1"/>
  <c r="O99" i="1" a="1"/>
  <c r="O99" i="1" s="1"/>
  <c r="P99" i="1" a="1"/>
  <c r="P99" i="1" s="1"/>
  <c r="Q99" i="1" a="1"/>
  <c r="Q99" i="1" s="1"/>
  <c r="R99" i="1" a="1"/>
  <c r="R99" i="1" s="1"/>
  <c r="S99" i="1" a="1"/>
  <c r="S99" i="1" s="1"/>
  <c r="G113" i="1" a="1"/>
  <c r="G113" i="1" s="1"/>
  <c r="G114" i="1" a="1"/>
  <c r="G114" i="1" s="1"/>
  <c r="G115" i="1" a="1"/>
  <c r="G115" i="1"/>
  <c r="G98" i="1" a="1"/>
  <c r="G98" i="1" s="1"/>
  <c r="G99" i="1" a="1"/>
  <c r="G99" i="1" s="1"/>
  <c r="G100" i="1" a="1"/>
  <c r="G100" i="1" s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C51" i="1"/>
  <c r="C52" i="1"/>
  <c r="C53" i="1"/>
  <c r="E53" i="1" s="1"/>
  <c r="C54" i="1"/>
  <c r="C55" i="1"/>
  <c r="C56" i="1"/>
  <c r="C57" i="1"/>
  <c r="C58" i="1"/>
  <c r="E58" i="1" s="1"/>
  <c r="C59" i="1"/>
  <c r="C60" i="1"/>
  <c r="C61" i="1"/>
  <c r="E61" i="1" s="1"/>
  <c r="C62" i="1"/>
  <c r="C63" i="1"/>
  <c r="C64" i="1"/>
  <c r="D51" i="1"/>
  <c r="D52" i="1"/>
  <c r="D53" i="1"/>
  <c r="D54" i="1"/>
  <c r="D55" i="1"/>
  <c r="E55" i="1" s="1"/>
  <c r="D56" i="1"/>
  <c r="E56" i="1" s="1"/>
  <c r="D57" i="1"/>
  <c r="D58" i="1"/>
  <c r="D59" i="1"/>
  <c r="D60" i="1"/>
  <c r="D61" i="1"/>
  <c r="D62" i="1"/>
  <c r="D63" i="1"/>
  <c r="E63" i="1" s="1"/>
  <c r="D64" i="1"/>
  <c r="E64" i="1" s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H88" i="1"/>
  <c r="I88" i="1"/>
  <c r="J88" i="1"/>
  <c r="K88" i="1"/>
  <c r="L88" i="1"/>
  <c r="M88" i="1"/>
  <c r="N88" i="1"/>
  <c r="O88" i="1"/>
  <c r="P88" i="1"/>
  <c r="Q88" i="1"/>
  <c r="R88" i="1"/>
  <c r="S88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A3" i="1"/>
  <c r="A40" i="1"/>
  <c r="A41" i="1"/>
  <c r="A42" i="1"/>
  <c r="A43" i="1"/>
  <c r="A44" i="1"/>
  <c r="A45" i="1"/>
  <c r="A46" i="1"/>
  <c r="A47" i="1"/>
  <c r="A48" i="1"/>
  <c r="A49" i="1"/>
  <c r="A50" i="1"/>
  <c r="A65" i="1"/>
  <c r="A66" i="1"/>
  <c r="A67" i="1"/>
  <c r="A68" i="1"/>
  <c r="A69" i="1"/>
  <c r="A70" i="1"/>
  <c r="B3" i="1"/>
  <c r="B40" i="1"/>
  <c r="B41" i="1"/>
  <c r="B42" i="1"/>
  <c r="B43" i="1"/>
  <c r="B44" i="1"/>
  <c r="B45" i="1"/>
  <c r="B46" i="1"/>
  <c r="B47" i="1"/>
  <c r="B48" i="1"/>
  <c r="B49" i="1"/>
  <c r="B50" i="1"/>
  <c r="B65" i="1"/>
  <c r="B66" i="1"/>
  <c r="B67" i="1"/>
  <c r="B68" i="1"/>
  <c r="B69" i="1"/>
  <c r="B70" i="1"/>
  <c r="C3" i="1"/>
  <c r="C40" i="1"/>
  <c r="C41" i="1"/>
  <c r="C42" i="1"/>
  <c r="C43" i="1"/>
  <c r="C44" i="1"/>
  <c r="C45" i="1"/>
  <c r="C46" i="1"/>
  <c r="C47" i="1"/>
  <c r="C48" i="1"/>
  <c r="C49" i="1"/>
  <c r="C50" i="1"/>
  <c r="C65" i="1"/>
  <c r="C66" i="1"/>
  <c r="C67" i="1"/>
  <c r="C68" i="1"/>
  <c r="C69" i="1"/>
  <c r="C70" i="1"/>
  <c r="D3" i="1"/>
  <c r="D40" i="1"/>
  <c r="D41" i="1"/>
  <c r="D42" i="1"/>
  <c r="D43" i="1"/>
  <c r="D44" i="1"/>
  <c r="D45" i="1"/>
  <c r="D46" i="1"/>
  <c r="D47" i="1"/>
  <c r="D48" i="1"/>
  <c r="D49" i="1"/>
  <c r="D50" i="1"/>
  <c r="D65" i="1"/>
  <c r="D66" i="1"/>
  <c r="D67" i="1"/>
  <c r="D68" i="1"/>
  <c r="D69" i="1"/>
  <c r="D70" i="1"/>
  <c r="T3" i="1"/>
  <c r="T40" i="1"/>
  <c r="T41" i="1"/>
  <c r="T42" i="1"/>
  <c r="T43" i="1"/>
  <c r="T44" i="1"/>
  <c r="T45" i="1"/>
  <c r="T46" i="1"/>
  <c r="T47" i="1"/>
  <c r="T48" i="1"/>
  <c r="T49" i="1"/>
  <c r="T50" i="1"/>
  <c r="T65" i="1"/>
  <c r="T66" i="1"/>
  <c r="T67" i="1"/>
  <c r="T68" i="1"/>
  <c r="T69" i="1"/>
  <c r="T70" i="1"/>
  <c r="D2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C2" i="1"/>
  <c r="C71" i="1"/>
  <c r="C72" i="1"/>
  <c r="C73" i="1"/>
  <c r="C74" i="1"/>
  <c r="C75" i="1"/>
  <c r="E75" i="1" s="1"/>
  <c r="C76" i="1"/>
  <c r="E76" i="1" s="1"/>
  <c r="C77" i="1"/>
  <c r="C78" i="1"/>
  <c r="C79" i="1"/>
  <c r="E79" i="1" s="1"/>
  <c r="C80" i="1"/>
  <c r="C81" i="1"/>
  <c r="E81" i="1" s="1"/>
  <c r="C82" i="1"/>
  <c r="C83" i="1"/>
  <c r="E83" i="1" s="1"/>
  <c r="C84" i="1"/>
  <c r="E84" i="1" s="1"/>
  <c r="C85" i="1"/>
  <c r="B2" i="1"/>
  <c r="T2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T113" i="1" l="1" a="1"/>
  <c r="T113" i="1" s="1"/>
  <c r="T99" i="1" a="1"/>
  <c r="T99" i="1" s="1"/>
  <c r="T114" i="1" a="1"/>
  <c r="T114" i="1" s="1"/>
  <c r="T98" i="1" a="1"/>
  <c r="T98" i="1" s="1"/>
  <c r="E57" i="1"/>
  <c r="E60" i="1"/>
  <c r="E52" i="1"/>
  <c r="E59" i="1"/>
  <c r="E51" i="1"/>
  <c r="E39" i="1"/>
  <c r="E31" i="1"/>
  <c r="E23" i="1"/>
  <c r="E15" i="1"/>
  <c r="E7" i="1"/>
  <c r="E37" i="1"/>
  <c r="E29" i="1"/>
  <c r="E21" i="1"/>
  <c r="E13" i="1"/>
  <c r="E5" i="1"/>
  <c r="E25" i="1"/>
  <c r="K118" i="1" a="1"/>
  <c r="K118" i="1" s="1"/>
  <c r="E62" i="1"/>
  <c r="E24" i="1"/>
  <c r="E8" i="1"/>
  <c r="E54" i="1"/>
  <c r="E71" i="1"/>
  <c r="O103" i="1" a="1"/>
  <c r="O103" i="1" s="1"/>
  <c r="I103" i="1" a="1"/>
  <c r="I103" i="1" s="1"/>
  <c r="Q121" i="1" a="1"/>
  <c r="Q121" i="1" s="1"/>
  <c r="I121" i="1" a="1"/>
  <c r="I121" i="1" s="1"/>
  <c r="M120" i="1" a="1"/>
  <c r="M120" i="1" s="1"/>
  <c r="Q119" i="1" a="1"/>
  <c r="Q119" i="1" s="1"/>
  <c r="K119" i="1" a="1"/>
  <c r="K119" i="1" s="1"/>
  <c r="Q118" i="1" a="1"/>
  <c r="Q118" i="1" s="1"/>
  <c r="J118" i="1" a="1"/>
  <c r="J118" i="1" s="1"/>
  <c r="N103" i="1" a="1"/>
  <c r="N103" i="1" s="1"/>
  <c r="H103" i="1" a="1"/>
  <c r="H103" i="1" s="1"/>
  <c r="P121" i="1" a="1"/>
  <c r="P121" i="1" s="1"/>
  <c r="H121" i="1" a="1"/>
  <c r="H121" i="1" s="1"/>
  <c r="L120" i="1" a="1"/>
  <c r="L120" i="1" s="1"/>
  <c r="J119" i="1" a="1"/>
  <c r="J119" i="1" s="1"/>
  <c r="P118" i="1" a="1"/>
  <c r="P118" i="1" s="1"/>
  <c r="G118" i="1" a="1"/>
  <c r="G118" i="1" s="1"/>
  <c r="O121" i="1" a="1"/>
  <c r="O121" i="1" s="1"/>
  <c r="S120" i="1" a="1"/>
  <c r="S120" i="1" s="1"/>
  <c r="K120" i="1" a="1"/>
  <c r="K120" i="1" s="1"/>
  <c r="P119" i="1" a="1"/>
  <c r="P119" i="1" s="1"/>
  <c r="I119" i="1" a="1"/>
  <c r="I119" i="1" s="1"/>
  <c r="O118" i="1" a="1"/>
  <c r="O118" i="1" s="1"/>
  <c r="I118" i="1" a="1"/>
  <c r="I118" i="1" s="1"/>
  <c r="M103" i="1" a="1"/>
  <c r="M103" i="1" s="1"/>
  <c r="G119" i="1" a="1"/>
  <c r="G119" i="1" s="1"/>
  <c r="N121" i="1" a="1"/>
  <c r="N121" i="1" s="1"/>
  <c r="R120" i="1" a="1"/>
  <c r="R120" i="1" s="1"/>
  <c r="J120" i="1" a="1"/>
  <c r="J120" i="1" s="1"/>
  <c r="O119" i="1" a="1"/>
  <c r="O119" i="1" s="1"/>
  <c r="N118" i="1" a="1"/>
  <c r="N118" i="1" s="1"/>
  <c r="H118" i="1" a="1"/>
  <c r="H118" i="1" s="1"/>
  <c r="S103" i="1" a="1"/>
  <c r="S103" i="1" s="1"/>
  <c r="L103" i="1" a="1"/>
  <c r="L103" i="1" s="1"/>
  <c r="G120" i="1" a="1"/>
  <c r="G120" i="1" s="1"/>
  <c r="M121" i="1" a="1"/>
  <c r="M121" i="1" s="1"/>
  <c r="Q120" i="1" a="1"/>
  <c r="Q120" i="1" s="1"/>
  <c r="I120" i="1" a="1"/>
  <c r="I120" i="1" s="1"/>
  <c r="N119" i="1" a="1"/>
  <c r="N119" i="1" s="1"/>
  <c r="H119" i="1" a="1"/>
  <c r="H119" i="1" s="1"/>
  <c r="R103" i="1" a="1"/>
  <c r="R103" i="1" s="1"/>
  <c r="K103" i="1" a="1"/>
  <c r="K103" i="1" s="1"/>
  <c r="G121" i="1" a="1"/>
  <c r="G121" i="1" s="1"/>
  <c r="L121" i="1" a="1"/>
  <c r="L121" i="1" s="1"/>
  <c r="P120" i="1" a="1"/>
  <c r="P120" i="1" s="1"/>
  <c r="H120" i="1" a="1"/>
  <c r="H120" i="1" s="1"/>
  <c r="M119" i="1" a="1"/>
  <c r="M119" i="1" s="1"/>
  <c r="S118" i="1" a="1"/>
  <c r="S118" i="1" s="1"/>
  <c r="M118" i="1" a="1"/>
  <c r="M118" i="1" s="1"/>
  <c r="Q103" i="1" a="1"/>
  <c r="Q103" i="1" s="1"/>
  <c r="J103" i="1" a="1"/>
  <c r="J103" i="1" s="1"/>
  <c r="S121" i="1" a="1"/>
  <c r="S121" i="1" s="1"/>
  <c r="K121" i="1" a="1"/>
  <c r="K121" i="1" s="1"/>
  <c r="O120" i="1" a="1"/>
  <c r="O120" i="1" s="1"/>
  <c r="S119" i="1" a="1"/>
  <c r="S119" i="1" s="1"/>
  <c r="R118" i="1" a="1"/>
  <c r="R118" i="1" s="1"/>
  <c r="L118" i="1" a="1"/>
  <c r="L118" i="1" s="1"/>
  <c r="G103" i="1" a="1"/>
  <c r="G103" i="1" s="1"/>
  <c r="P103" i="1" a="1"/>
  <c r="P103" i="1" s="1"/>
  <c r="R121" i="1" a="1"/>
  <c r="R121" i="1" s="1"/>
  <c r="J121" i="1" a="1"/>
  <c r="J121" i="1" s="1"/>
  <c r="N120" i="1" a="1"/>
  <c r="N120" i="1" s="1"/>
  <c r="R119" i="1" a="1"/>
  <c r="R119" i="1" s="1"/>
  <c r="L119" i="1" a="1"/>
  <c r="L119" i="1" s="1"/>
  <c r="T121" i="1" a="1"/>
  <c r="T121" i="1" s="1"/>
  <c r="T119" i="1" a="1"/>
  <c r="T119" i="1" s="1"/>
  <c r="T118" i="1" a="1"/>
  <c r="T118" i="1" s="1"/>
  <c r="T120" i="1" a="1"/>
  <c r="T120" i="1" s="1"/>
  <c r="T88" i="1"/>
  <c r="T103" i="1" a="1"/>
  <c r="T103" i="1" s="1"/>
  <c r="E35" i="1"/>
  <c r="E27" i="1"/>
  <c r="E19" i="1"/>
  <c r="E11" i="1"/>
  <c r="E66" i="1"/>
  <c r="E44" i="1"/>
  <c r="E10" i="1"/>
  <c r="E17" i="1"/>
  <c r="E9" i="1"/>
  <c r="E68" i="1"/>
  <c r="E67" i="1"/>
  <c r="E73" i="1"/>
  <c r="E65" i="1"/>
  <c r="E43" i="1"/>
  <c r="E50" i="1"/>
  <c r="E34" i="1"/>
  <c r="E26" i="1"/>
  <c r="E18" i="1"/>
  <c r="E42" i="1"/>
  <c r="E33" i="1"/>
  <c r="E32" i="1"/>
  <c r="E16" i="1"/>
  <c r="E38" i="1"/>
  <c r="E30" i="1"/>
  <c r="E14" i="1"/>
  <c r="E22" i="1"/>
  <c r="E6" i="1"/>
  <c r="E78" i="1"/>
  <c r="E2" i="1"/>
  <c r="E36" i="1"/>
  <c r="E28" i="1"/>
  <c r="E20" i="1"/>
  <c r="E12" i="1"/>
  <c r="E4" i="1"/>
  <c r="E85" i="1"/>
  <c r="E77" i="1"/>
  <c r="E46" i="1"/>
  <c r="E82" i="1"/>
  <c r="E74" i="1"/>
  <c r="E45" i="1"/>
  <c r="E72" i="1"/>
  <c r="E41" i="1"/>
  <c r="E48" i="1"/>
  <c r="E3" i="1"/>
  <c r="E70" i="1"/>
  <c r="E47" i="1"/>
  <c r="E80" i="1"/>
  <c r="E49" i="1"/>
  <c r="E40" i="1"/>
  <c r="E69" i="1"/>
  <c r="G88" i="1"/>
  <c r="A85" i="1" l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2" i="1"/>
  <c r="L104" i="1" l="1" a="1"/>
  <c r="L104" i="1" s="1"/>
  <c r="H105" i="1" a="1"/>
  <c r="H105" i="1" s="1"/>
  <c r="P105" i="1" a="1"/>
  <c r="P105" i="1" s="1"/>
  <c r="L106" i="1" a="1"/>
  <c r="L106" i="1" s="1"/>
  <c r="H107" i="1" a="1"/>
  <c r="H107" i="1" s="1"/>
  <c r="P107" i="1" a="1"/>
  <c r="P107" i="1" s="1"/>
  <c r="L108" i="1" a="1"/>
  <c r="L108" i="1" s="1"/>
  <c r="H109" i="1" a="1"/>
  <c r="H109" i="1" s="1"/>
  <c r="P109" i="1" a="1"/>
  <c r="P109" i="1" s="1"/>
  <c r="L110" i="1" a="1"/>
  <c r="L110" i="1" s="1"/>
  <c r="H111" i="1" a="1"/>
  <c r="H111" i="1" s="1"/>
  <c r="P111" i="1" a="1"/>
  <c r="P111" i="1" s="1"/>
  <c r="L112" i="1" a="1"/>
  <c r="L112" i="1" s="1"/>
  <c r="H115" i="1" a="1"/>
  <c r="H115" i="1" s="1"/>
  <c r="P115" i="1" a="1"/>
  <c r="P115" i="1" s="1"/>
  <c r="H89" i="1" a="1"/>
  <c r="H89" i="1" s="1"/>
  <c r="P89" i="1" a="1"/>
  <c r="P89" i="1" s="1"/>
  <c r="K90" i="1" a="1"/>
  <c r="K90" i="1" s="1"/>
  <c r="Q90" i="1" a="1"/>
  <c r="Q90" i="1" s="1"/>
  <c r="K91" i="1" a="1"/>
  <c r="K91" i="1" s="1"/>
  <c r="R91" i="1" a="1"/>
  <c r="R91" i="1" s="1"/>
  <c r="M92" i="1" a="1"/>
  <c r="M92" i="1" s="1"/>
  <c r="S92" i="1" a="1"/>
  <c r="S92" i="1" s="1"/>
  <c r="N93" i="1" a="1"/>
  <c r="N93" i="1" s="1"/>
  <c r="J94" i="1" a="1"/>
  <c r="J94" i="1" s="1"/>
  <c r="Q94" i="1" a="1"/>
  <c r="Q94" i="1" s="1"/>
  <c r="L95" i="1" a="1"/>
  <c r="L95" i="1" s="1"/>
  <c r="H96" i="1" a="1"/>
  <c r="H96" i="1" s="1"/>
  <c r="P96" i="1" a="1"/>
  <c r="P96" i="1" s="1"/>
  <c r="L97" i="1" a="1"/>
  <c r="L97" i="1" s="1"/>
  <c r="H100" i="1" a="1"/>
  <c r="H100" i="1" s="1"/>
  <c r="P100" i="1" a="1"/>
  <c r="P100" i="1" s="1"/>
  <c r="G108" i="1" a="1"/>
  <c r="G108" i="1" s="1"/>
  <c r="G94" i="1" a="1"/>
  <c r="G94" i="1" s="1"/>
  <c r="S115" i="1" a="1"/>
  <c r="S115" i="1" s="1"/>
  <c r="Q93" i="1" a="1"/>
  <c r="Q93" i="1" s="1"/>
  <c r="K96" i="1" a="1"/>
  <c r="K96" i="1" s="1"/>
  <c r="G110" i="1" a="1"/>
  <c r="G110" i="1" s="1"/>
  <c r="L89" i="1" a="1"/>
  <c r="L89" i="1" s="1"/>
  <c r="P92" i="1" a="1"/>
  <c r="P92" i="1" s="1"/>
  <c r="L96" i="1" a="1"/>
  <c r="L96" i="1" s="1"/>
  <c r="G105" i="1" a="1"/>
  <c r="G105" i="1" s="1"/>
  <c r="Q112" i="1" a="1"/>
  <c r="Q112" i="1" s="1"/>
  <c r="S93" i="1" a="1"/>
  <c r="S93" i="1" s="1"/>
  <c r="I97" i="1" a="1"/>
  <c r="I97" i="1" s="1"/>
  <c r="R95" i="1" a="1"/>
  <c r="R95" i="1" s="1"/>
  <c r="R97" i="1" a="1"/>
  <c r="R97" i="1" s="1"/>
  <c r="M104" i="1" a="1"/>
  <c r="M104" i="1" s="1"/>
  <c r="I105" i="1" a="1"/>
  <c r="I105" i="1" s="1"/>
  <c r="Q105" i="1" a="1"/>
  <c r="Q105" i="1" s="1"/>
  <c r="M106" i="1" a="1"/>
  <c r="M106" i="1" s="1"/>
  <c r="I107" i="1" a="1"/>
  <c r="I107" i="1" s="1"/>
  <c r="Q107" i="1" a="1"/>
  <c r="Q107" i="1" s="1"/>
  <c r="M108" i="1" a="1"/>
  <c r="M108" i="1" s="1"/>
  <c r="I109" i="1" a="1"/>
  <c r="I109" i="1" s="1"/>
  <c r="Q109" i="1" a="1"/>
  <c r="Q109" i="1" s="1"/>
  <c r="M110" i="1" a="1"/>
  <c r="M110" i="1" s="1"/>
  <c r="I111" i="1" a="1"/>
  <c r="I111" i="1" s="1"/>
  <c r="Q111" i="1" a="1"/>
  <c r="Q111" i="1" s="1"/>
  <c r="M112" i="1" a="1"/>
  <c r="M112" i="1" s="1"/>
  <c r="I115" i="1" a="1"/>
  <c r="I115" i="1" s="1"/>
  <c r="Q115" i="1" a="1"/>
  <c r="Q115" i="1" s="1"/>
  <c r="I89" i="1" a="1"/>
  <c r="I89" i="1" s="1"/>
  <c r="R90" i="1" a="1"/>
  <c r="R90" i="1" s="1"/>
  <c r="L91" i="1" a="1"/>
  <c r="L91" i="1" s="1"/>
  <c r="H93" i="1" a="1"/>
  <c r="H93" i="1" s="1"/>
  <c r="O93" i="1" a="1"/>
  <c r="O93" i="1" s="1"/>
  <c r="K94" i="1" a="1"/>
  <c r="K94" i="1" s="1"/>
  <c r="R94" i="1" a="1"/>
  <c r="R94" i="1" s="1"/>
  <c r="M95" i="1" a="1"/>
  <c r="M95" i="1" s="1"/>
  <c r="I96" i="1" a="1"/>
  <c r="I96" i="1" s="1"/>
  <c r="Q96" i="1" a="1"/>
  <c r="Q96" i="1" s="1"/>
  <c r="M97" i="1" a="1"/>
  <c r="M97" i="1" s="1"/>
  <c r="I100" i="1" a="1"/>
  <c r="I100" i="1" s="1"/>
  <c r="Q100" i="1" a="1"/>
  <c r="Q100" i="1" s="1"/>
  <c r="G104" i="1" a="1"/>
  <c r="G104" i="1" s="1"/>
  <c r="G95" i="1" a="1"/>
  <c r="G95" i="1" s="1"/>
  <c r="S111" i="1" a="1"/>
  <c r="S111" i="1" s="1"/>
  <c r="R89" i="1" a="1"/>
  <c r="R89" i="1" s="1"/>
  <c r="N91" i="1" a="1"/>
  <c r="N91" i="1" s="1"/>
  <c r="J93" i="1" a="1"/>
  <c r="J93" i="1" s="1"/>
  <c r="O95" i="1" a="1"/>
  <c r="O95" i="1" s="1"/>
  <c r="O97" i="1" a="1"/>
  <c r="O97" i="1" s="1"/>
  <c r="G96" i="1" a="1"/>
  <c r="G96" i="1" s="1"/>
  <c r="S89" i="1" a="1"/>
  <c r="S89" i="1" s="1"/>
  <c r="K93" i="1" a="1"/>
  <c r="K93" i="1" s="1"/>
  <c r="P95" i="1" a="1"/>
  <c r="P95" i="1" s="1"/>
  <c r="L100" i="1" a="1"/>
  <c r="L100" i="1" s="1"/>
  <c r="M89" i="1" a="1"/>
  <c r="M89" i="1" s="1"/>
  <c r="O91" i="1" a="1"/>
  <c r="O91" i="1" s="1"/>
  <c r="L93" i="1" a="1"/>
  <c r="L93" i="1" s="1"/>
  <c r="M96" i="1" a="1"/>
  <c r="M96" i="1" s="1"/>
  <c r="J97" i="1" a="1"/>
  <c r="J97" i="1" s="1"/>
  <c r="N100" i="1" a="1"/>
  <c r="N100" i="1" s="1"/>
  <c r="N104" i="1" a="1"/>
  <c r="N104" i="1" s="1"/>
  <c r="J105" i="1" a="1"/>
  <c r="J105" i="1" s="1"/>
  <c r="R105" i="1" a="1"/>
  <c r="R105" i="1" s="1"/>
  <c r="N106" i="1" a="1"/>
  <c r="N106" i="1" s="1"/>
  <c r="J107" i="1" a="1"/>
  <c r="J107" i="1" s="1"/>
  <c r="R107" i="1" a="1"/>
  <c r="R107" i="1" s="1"/>
  <c r="N108" i="1" a="1"/>
  <c r="N108" i="1" s="1"/>
  <c r="J109" i="1" a="1"/>
  <c r="J109" i="1" s="1"/>
  <c r="R109" i="1" a="1"/>
  <c r="R109" i="1" s="1"/>
  <c r="N110" i="1" a="1"/>
  <c r="N110" i="1" s="1"/>
  <c r="J111" i="1" a="1"/>
  <c r="J111" i="1" s="1"/>
  <c r="R111" i="1" a="1"/>
  <c r="R111" i="1" s="1"/>
  <c r="N112" i="1" a="1"/>
  <c r="N112" i="1" s="1"/>
  <c r="J115" i="1" a="1"/>
  <c r="J115" i="1" s="1"/>
  <c r="R115" i="1" a="1"/>
  <c r="R115" i="1" s="1"/>
  <c r="J89" i="1" a="1"/>
  <c r="J89" i="1" s="1"/>
  <c r="Q89" i="1" a="1"/>
  <c r="Q89" i="1" s="1"/>
  <c r="L90" i="1" a="1"/>
  <c r="L90" i="1" s="1"/>
  <c r="S90" i="1" a="1"/>
  <c r="S90" i="1" s="1"/>
  <c r="M91" i="1" a="1"/>
  <c r="M91" i="1" s="1"/>
  <c r="S91" i="1" a="1"/>
  <c r="S91" i="1" s="1"/>
  <c r="N92" i="1" a="1"/>
  <c r="N92" i="1" s="1"/>
  <c r="I93" i="1" a="1"/>
  <c r="I93" i="1" s="1"/>
  <c r="P93" i="1" a="1"/>
  <c r="P93" i="1" s="1"/>
  <c r="L94" i="1" a="1"/>
  <c r="L94" i="1" s="1"/>
  <c r="S94" i="1" a="1"/>
  <c r="S94" i="1" s="1"/>
  <c r="N95" i="1" a="1"/>
  <c r="N95" i="1" s="1"/>
  <c r="J96" i="1" a="1"/>
  <c r="J96" i="1" s="1"/>
  <c r="R96" i="1" a="1"/>
  <c r="R96" i="1" s="1"/>
  <c r="N97" i="1" a="1"/>
  <c r="N97" i="1" s="1"/>
  <c r="J100" i="1" a="1"/>
  <c r="J100" i="1" s="1"/>
  <c r="R100" i="1" a="1"/>
  <c r="R100" i="1" s="1"/>
  <c r="G109" i="1" a="1"/>
  <c r="G109" i="1" s="1"/>
  <c r="G90" i="1" a="1"/>
  <c r="G90" i="1" s="1"/>
  <c r="O112" i="1" a="1"/>
  <c r="O112" i="1" s="1"/>
  <c r="K89" i="1" a="1"/>
  <c r="K89" i="1" s="1"/>
  <c r="M90" i="1" a="1"/>
  <c r="M90" i="1" s="1"/>
  <c r="O92" i="1" a="1"/>
  <c r="O92" i="1" s="1"/>
  <c r="M94" i="1" a="1"/>
  <c r="M94" i="1" s="1"/>
  <c r="S96" i="1" a="1"/>
  <c r="S96" i="1" s="1"/>
  <c r="G91" i="1" a="1"/>
  <c r="G91" i="1" s="1"/>
  <c r="H91" i="1" a="1"/>
  <c r="H91" i="1" s="1"/>
  <c r="N94" i="1" a="1"/>
  <c r="N94" i="1" s="1"/>
  <c r="P97" i="1" a="1"/>
  <c r="P97" i="1" s="1"/>
  <c r="M115" i="1" a="1"/>
  <c r="M115" i="1" s="1"/>
  <c r="I95" i="1" a="1"/>
  <c r="I95" i="1" s="1"/>
  <c r="Q97" i="1" a="1"/>
  <c r="Q97" i="1" s="1"/>
  <c r="N96" i="1" a="1"/>
  <c r="N96" i="1" s="1"/>
  <c r="G112" i="1" a="1"/>
  <c r="G112" i="1" s="1"/>
  <c r="O104" i="1" a="1"/>
  <c r="O104" i="1" s="1"/>
  <c r="K105" i="1" a="1"/>
  <c r="K105" i="1" s="1"/>
  <c r="S105" i="1" a="1"/>
  <c r="S105" i="1" s="1"/>
  <c r="O106" i="1" a="1"/>
  <c r="O106" i="1" s="1"/>
  <c r="K107" i="1" a="1"/>
  <c r="K107" i="1" s="1"/>
  <c r="S107" i="1" a="1"/>
  <c r="S107" i="1" s="1"/>
  <c r="O108" i="1" a="1"/>
  <c r="O108" i="1" s="1"/>
  <c r="K109" i="1" a="1"/>
  <c r="K109" i="1" s="1"/>
  <c r="S109" i="1" a="1"/>
  <c r="S109" i="1" s="1"/>
  <c r="O110" i="1" a="1"/>
  <c r="O110" i="1" s="1"/>
  <c r="K111" i="1" a="1"/>
  <c r="K111" i="1" s="1"/>
  <c r="K115" i="1" a="1"/>
  <c r="K115" i="1" s="1"/>
  <c r="H92" i="1" a="1"/>
  <c r="H92" i="1" s="1"/>
  <c r="K100" i="1" a="1"/>
  <c r="K100" i="1" s="1"/>
  <c r="I92" i="1" a="1"/>
  <c r="I92" i="1" s="1"/>
  <c r="H90" i="1" a="1"/>
  <c r="H90" i="1" s="1"/>
  <c r="Q92" i="1" a="1"/>
  <c r="Q92" i="1" s="1"/>
  <c r="G111" i="1" a="1"/>
  <c r="G111" i="1" s="1"/>
  <c r="H104" i="1" a="1"/>
  <c r="H104" i="1" s="1"/>
  <c r="P104" i="1" a="1"/>
  <c r="P104" i="1" s="1"/>
  <c r="L105" i="1" a="1"/>
  <c r="L105" i="1" s="1"/>
  <c r="H106" i="1" a="1"/>
  <c r="H106" i="1" s="1"/>
  <c r="P106" i="1" a="1"/>
  <c r="P106" i="1" s="1"/>
  <c r="L107" i="1" a="1"/>
  <c r="L107" i="1" s="1"/>
  <c r="H108" i="1" a="1"/>
  <c r="H108" i="1" s="1"/>
  <c r="P108" i="1" a="1"/>
  <c r="P108" i="1" s="1"/>
  <c r="L109" i="1" a="1"/>
  <c r="L109" i="1" s="1"/>
  <c r="H110" i="1" a="1"/>
  <c r="H110" i="1" s="1"/>
  <c r="P110" i="1" a="1"/>
  <c r="P110" i="1" s="1"/>
  <c r="L111" i="1" a="1"/>
  <c r="L111" i="1" s="1"/>
  <c r="H112" i="1" a="1"/>
  <c r="H112" i="1" s="1"/>
  <c r="P112" i="1" a="1"/>
  <c r="P112" i="1" s="1"/>
  <c r="L115" i="1" a="1"/>
  <c r="L115" i="1" s="1"/>
  <c r="H95" i="1" a="1"/>
  <c r="H95" i="1" s="1"/>
  <c r="O90" i="1" a="1"/>
  <c r="O90" i="1" s="1"/>
  <c r="O94" i="1" a="1"/>
  <c r="O94" i="1" s="1"/>
  <c r="G92" i="1" a="1"/>
  <c r="G92" i="1" s="1"/>
  <c r="I104" i="1" a="1"/>
  <c r="I104" i="1" s="1"/>
  <c r="Q104" i="1" a="1"/>
  <c r="Q104" i="1" s="1"/>
  <c r="M105" i="1" a="1"/>
  <c r="M105" i="1" s="1"/>
  <c r="I106" i="1" a="1"/>
  <c r="I106" i="1" s="1"/>
  <c r="Q106" i="1" a="1"/>
  <c r="Q106" i="1" s="1"/>
  <c r="M107" i="1" a="1"/>
  <c r="M107" i="1" s="1"/>
  <c r="I108" i="1" a="1"/>
  <c r="I108" i="1" s="1"/>
  <c r="Q108" i="1" a="1"/>
  <c r="Q108" i="1" s="1"/>
  <c r="M109" i="1" a="1"/>
  <c r="M109" i="1" s="1"/>
  <c r="I110" i="1" a="1"/>
  <c r="I110" i="1" s="1"/>
  <c r="Q110" i="1" a="1"/>
  <c r="Q110" i="1" s="1"/>
  <c r="M111" i="1" a="1"/>
  <c r="M111" i="1" s="1"/>
  <c r="I91" i="1" a="1"/>
  <c r="I91" i="1" s="1"/>
  <c r="J92" i="1" a="1"/>
  <c r="J92" i="1" s="1"/>
  <c r="G106" i="1" a="1"/>
  <c r="G106" i="1" s="1"/>
  <c r="J104" i="1" a="1"/>
  <c r="J104" i="1" s="1"/>
  <c r="R104" i="1" a="1"/>
  <c r="R104" i="1" s="1"/>
  <c r="N105" i="1" a="1"/>
  <c r="N105" i="1" s="1"/>
  <c r="J106" i="1" a="1"/>
  <c r="J106" i="1" s="1"/>
  <c r="R106" i="1" a="1"/>
  <c r="R106" i="1" s="1"/>
  <c r="N107" i="1" a="1"/>
  <c r="N107" i="1" s="1"/>
  <c r="J108" i="1" a="1"/>
  <c r="J108" i="1" s="1"/>
  <c r="R108" i="1" a="1"/>
  <c r="R108" i="1" s="1"/>
  <c r="N109" i="1" a="1"/>
  <c r="N109" i="1" s="1"/>
  <c r="J110" i="1" a="1"/>
  <c r="J110" i="1" s="1"/>
  <c r="R110" i="1" a="1"/>
  <c r="R110" i="1" s="1"/>
  <c r="N111" i="1" a="1"/>
  <c r="N111" i="1" s="1"/>
  <c r="J112" i="1" a="1"/>
  <c r="J112" i="1" s="1"/>
  <c r="R112" i="1" a="1"/>
  <c r="R112" i="1" s="1"/>
  <c r="N115" i="1" a="1"/>
  <c r="N115" i="1" s="1"/>
  <c r="N89" i="1" a="1"/>
  <c r="N89" i="1" s="1"/>
  <c r="I90" i="1" a="1"/>
  <c r="I90" i="1" s="1"/>
  <c r="J91" i="1" a="1"/>
  <c r="J91" i="1" s="1"/>
  <c r="P91" i="1" a="1"/>
  <c r="P91" i="1" s="1"/>
  <c r="K92" i="1" a="1"/>
  <c r="K92" i="1" s="1"/>
  <c r="H94" i="1" a="1"/>
  <c r="H94" i="1" s="1"/>
  <c r="K104" i="1" a="1"/>
  <c r="K104" i="1" s="1"/>
  <c r="S104" i="1" a="1"/>
  <c r="S104" i="1" s="1"/>
  <c r="O105" i="1" a="1"/>
  <c r="O105" i="1" s="1"/>
  <c r="K106" i="1" a="1"/>
  <c r="K106" i="1" s="1"/>
  <c r="S106" i="1" a="1"/>
  <c r="S106" i="1" s="1"/>
  <c r="O107" i="1" a="1"/>
  <c r="O107" i="1" s="1"/>
  <c r="K108" i="1" a="1"/>
  <c r="K108" i="1" s="1"/>
  <c r="S108" i="1" a="1"/>
  <c r="S108" i="1" s="1"/>
  <c r="O109" i="1" a="1"/>
  <c r="O109" i="1" s="1"/>
  <c r="K110" i="1" a="1"/>
  <c r="K110" i="1" s="1"/>
  <c r="S110" i="1" a="1"/>
  <c r="S110" i="1" s="1"/>
  <c r="O111" i="1" a="1"/>
  <c r="O111" i="1" s="1"/>
  <c r="K112" i="1" a="1"/>
  <c r="K112" i="1" s="1"/>
  <c r="S112" i="1" a="1"/>
  <c r="S112" i="1" s="1"/>
  <c r="O115" i="1" a="1"/>
  <c r="O115" i="1" s="1"/>
  <c r="O89" i="1" a="1"/>
  <c r="O89" i="1" s="1"/>
  <c r="J90" i="1" a="1"/>
  <c r="J90" i="1" s="1"/>
  <c r="P90" i="1" a="1"/>
  <c r="P90" i="1" s="1"/>
  <c r="Q91" i="1" a="1"/>
  <c r="Q91" i="1" s="1"/>
  <c r="L92" i="1" a="1"/>
  <c r="L92" i="1" s="1"/>
  <c r="R92" i="1" a="1"/>
  <c r="R92" i="1" s="1"/>
  <c r="M93" i="1" a="1"/>
  <c r="M93" i="1" s="1"/>
  <c r="I94" i="1" a="1"/>
  <c r="I94" i="1" s="1"/>
  <c r="P94" i="1" a="1"/>
  <c r="P94" i="1" s="1"/>
  <c r="K95" i="1" a="1"/>
  <c r="K95" i="1" s="1"/>
  <c r="S95" i="1" a="1"/>
  <c r="S95" i="1" s="1"/>
  <c r="O96" i="1" a="1"/>
  <c r="O96" i="1" s="1"/>
  <c r="K97" i="1" a="1"/>
  <c r="K97" i="1" s="1"/>
  <c r="S97" i="1" a="1"/>
  <c r="S97" i="1" s="1"/>
  <c r="O100" i="1" a="1"/>
  <c r="O100" i="1" s="1"/>
  <c r="G107" i="1" a="1"/>
  <c r="G107" i="1" s="1"/>
  <c r="G93" i="1" a="1"/>
  <c r="G93" i="1" s="1"/>
  <c r="S100" i="1" a="1"/>
  <c r="S100" i="1" s="1"/>
  <c r="N90" i="1" a="1"/>
  <c r="N90" i="1" s="1"/>
  <c r="R93" i="1" a="1"/>
  <c r="R93" i="1" s="1"/>
  <c r="H97" i="1" a="1"/>
  <c r="H97" i="1" s="1"/>
  <c r="G97" i="1" a="1"/>
  <c r="G97" i="1" s="1"/>
  <c r="I112" i="1" a="1"/>
  <c r="I112" i="1" s="1"/>
  <c r="Q95" i="1" a="1"/>
  <c r="Q95" i="1" s="1"/>
  <c r="M100" i="1" a="1"/>
  <c r="M100" i="1" s="1"/>
  <c r="J95" i="1" a="1"/>
  <c r="J95" i="1" s="1"/>
  <c r="G89" i="1" a="1"/>
  <c r="G89" i="1" s="1"/>
  <c r="T105" i="1" a="1"/>
  <c r="T105" i="1" s="1"/>
  <c r="T100" i="1" a="1"/>
  <c r="T100" i="1" s="1"/>
  <c r="T110" i="1" a="1"/>
  <c r="T110" i="1" s="1"/>
  <c r="T92" i="1" a="1"/>
  <c r="T92" i="1" s="1"/>
  <c r="T95" i="1" a="1"/>
  <c r="T95" i="1" s="1"/>
  <c r="T108" i="1" a="1"/>
  <c r="T108" i="1" s="1"/>
  <c r="T107" i="1" a="1"/>
  <c r="T107" i="1" s="1"/>
  <c r="T112" i="1" a="1"/>
  <c r="T112" i="1" s="1"/>
  <c r="T106" i="1" a="1"/>
  <c r="T106" i="1" s="1"/>
  <c r="T93" i="1" a="1"/>
  <c r="T93" i="1" s="1"/>
  <c r="T89" i="1" a="1"/>
  <c r="T89" i="1" s="1"/>
  <c r="T96" i="1" a="1"/>
  <c r="T96" i="1" s="1"/>
  <c r="T104" i="1" a="1"/>
  <c r="T104" i="1" s="1"/>
  <c r="T115" i="1" a="1"/>
  <c r="T115" i="1" s="1"/>
  <c r="T94" i="1" a="1"/>
  <c r="T94" i="1" s="1"/>
  <c r="T97" i="1" a="1"/>
  <c r="T97" i="1" s="1"/>
  <c r="T91" i="1" a="1"/>
  <c r="T91" i="1" s="1"/>
  <c r="T90" i="1" a="1"/>
  <c r="T90" i="1" s="1"/>
  <c r="T111" i="1" a="1"/>
  <c r="T111" i="1" s="1"/>
  <c r="T109" i="1" a="1"/>
  <c r="T10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<sst xmlns="http://schemas.openxmlformats.org/spreadsheetml/2006/main" count="137" uniqueCount="119">
  <si>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</si>
  <si>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</si>
  <si>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</si>
  <si>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</si>
  <si>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</si>
  <si>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</si>
  <si>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</si>
  <si>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</si>
  <si>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</si>
  <si>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</si>
  <si>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</si>
  <si>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</si>
  <si>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</si>
  <si>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</si>
  <si>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</si>
  <si>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</si>
  <si>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</si>
  <si>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</si>
  <si>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</si>
  <si>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</si>
  <si>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</si>
  <si>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</si>
  <si>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</si>
  <si>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</si>
  <si>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</si>
  <si>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</si>
  <si>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</si>
  <si>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</si>
  <si>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</si>
  <si>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</si>
  <si>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</si>
  <si>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</si>
  <si>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</si>
  <si>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</si>
  <si>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</si>
  <si>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</si>
  <si>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lang</t>
  </si>
  <si>
    <t>all</t>
  </si>
  <si>
    <t>arabic</t>
  </si>
  <si>
    <t>german</t>
  </si>
  <si>
    <t>english</t>
  </si>
  <si>
    <t>french</t>
  </si>
  <si>
    <t>russian</t>
  </si>
  <si>
    <t>1g</t>
  </si>
  <si>
    <t>1g excluded</t>
  </si>
  <si>
    <t>average</t>
  </si>
  <si>
    <t>11</t>
  </si>
  <si>
    <t>13</t>
  </si>
  <si>
    <t>14</t>
  </si>
  <si>
    <t>xsk</t>
  </si>
  <si>
    <t>sk</t>
  </si>
  <si>
    <t>norm</t>
  </si>
  <si>
    <t>arabic-xsk2g</t>
  </si>
  <si>
    <t>arabic-xsk3g</t>
  </si>
  <si>
    <t>english-xsk2g</t>
  </si>
  <si>
    <t>english-xsk3g</t>
  </si>
  <si>
    <t>french-xsk2g</t>
  </si>
  <si>
    <t>french-xsk3g</t>
  </si>
  <si>
    <t>finnish-1g</t>
  </si>
  <si>
    <t>finnish-2g</t>
  </si>
  <si>
    <t>finnish-3g</t>
  </si>
  <si>
    <t>finnish-sk2g</t>
  </si>
  <si>
    <t>finnish-sk3g</t>
  </si>
  <si>
    <t>finnish-xsk2g</t>
  </si>
  <si>
    <t>finnish-xsk3g</t>
  </si>
  <si>
    <t>german-xsk2g</t>
  </si>
  <si>
    <t>german-xsk3g</t>
  </si>
  <si>
    <t>greek-1g</t>
  </si>
  <si>
    <t>greek-2g</t>
  </si>
  <si>
    <t>greek-3g</t>
  </si>
  <si>
    <t>greek-sk2g</t>
  </si>
  <si>
    <t>greek-sk3g</t>
  </si>
  <si>
    <t>greek-xsk2g</t>
  </si>
  <si>
    <t>greek-xsk3g</t>
  </si>
  <si>
    <t>hebrew-1g</t>
  </si>
  <si>
    <t>hebrew-2g</t>
  </si>
  <si>
    <t>hebrew-3g</t>
  </si>
  <si>
    <t>hebrew-sk2g</t>
  </si>
  <si>
    <t>hebrew-sk3g</t>
  </si>
  <si>
    <t>hebrew-xsk2g</t>
  </si>
  <si>
    <t>hebrew-xsk3g</t>
  </si>
  <si>
    <t>icelandic-1g</t>
  </si>
  <si>
    <t>icelandic-2g</t>
  </si>
  <si>
    <t>icelandic-3g</t>
  </si>
  <si>
    <t>icelandic-sk2g</t>
  </si>
  <si>
    <t>icelandic-sk3g</t>
  </si>
  <si>
    <t>icelandic-xsk2g</t>
  </si>
  <si>
    <t>icelandic-xsk3g</t>
  </si>
  <si>
    <t>russian-xsk2g</t>
  </si>
  <si>
    <t>russian-xsk3g</t>
  </si>
  <si>
    <t>turkish-1g</t>
  </si>
  <si>
    <t>turkish-2g</t>
  </si>
  <si>
    <t>turkish-3g</t>
  </si>
  <si>
    <t>turkish-sk2g</t>
  </si>
  <si>
    <t>turkish-sk3g</t>
  </si>
  <si>
    <t>turkish-xsk2g</t>
  </si>
  <si>
    <t>turkish-xsk3g</t>
  </si>
  <si>
    <t>finnish</t>
  </si>
  <si>
    <t>greek</t>
  </si>
  <si>
    <t>hebrew</t>
  </si>
  <si>
    <t>icelandic</t>
  </si>
  <si>
    <t>turkish</t>
  </si>
  <si>
    <t>spanish</t>
  </si>
  <si>
    <t>swahili</t>
  </si>
  <si>
    <t>spanish-1g</t>
  </si>
  <si>
    <t>spanish-2g</t>
  </si>
  <si>
    <t>spanish-3g</t>
  </si>
  <si>
    <t>spanish-sk2g</t>
  </si>
  <si>
    <t>spanish-sk3g</t>
  </si>
  <si>
    <t>spanish-xsk2g</t>
  </si>
  <si>
    <t>spanish-xsk3g</t>
  </si>
  <si>
    <t>swahili-1g</t>
  </si>
  <si>
    <t>swahili-2g</t>
  </si>
  <si>
    <t>swahili-3g</t>
  </si>
  <si>
    <t>swahili-sk2g</t>
  </si>
  <si>
    <t>swahili-sk3g</t>
  </si>
  <si>
    <t>swahili-xsk2g</t>
  </si>
  <si>
    <t>swahili-xsk3g</t>
  </si>
  <si>
    <t>1g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</si>
</sst>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encodings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'aNA.pt0.50'!$F$119</c:f>
              <c:strCache>
                <c:ptCount val="1"/>
                <c:pt idx="0">
                  <c:v>xsk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'aNA.pt0.50'!$G$119:$S$119</c:f>
              <c:numCache>
                <c:formatCode>0.00</c:formatCode>
                <c:ptCount val="13"/>
                <c:pt idx="0">
                  <c:v>0.75558875492308541</c:v>
                </c:pt>
                <c:pt idx="1">
                  <c:v>0.68632962535456377</c:v>
                </c:pt>
                <c:pt idx="2">
                  <c:v>0.73378596129302187</c:v>
                </c:pt>
                <c:pt idx="3">
                  <c:v>0.6641795853270025</c:v>
                </c:pt>
                <c:pt idx="4">
                  <c:v>0.67873239881351843</c:v>
                </c:pt>
                <c:pt idx="5">
                  <c:v>0.65794514057293563</c:v>
                </c:pt>
                <c:pt idx="6">
                  <c:v>0.64765752857081194</c:v>
                </c:pt>
                <c:pt idx="7">
                  <c:v>0.61812398932136581</c:v>
                </c:pt>
                <c:pt idx="8">
                  <c:v>0.58369969425706525</c:v>
                </c:pt>
                <c:pt idx="9">
                  <c:v>0.61970463735631931</c:v>
                </c:pt>
                <c:pt idx="10">
                  <c:v>0.59028362275898505</c:v>
                </c:pt>
                <c:pt idx="11">
                  <c:v>0.51973460625596457</c:v>
                </c:pt>
                <c:pt idx="12">
                  <c:v>0.58243926068824081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4-744E-B056-3268730A806E}"/>
            </c:ext>
          </c:extLst>
        </c:ser>
        <c:ser>
          <c:idx val="2"/>
          <c:order val="1"/>
          <c:tx>
            <c:strRef>
              <c:f>'aNA.pt0.50'!$F$120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'aNA.pt0.50'!$G$120:$S$120</c:f>
              <c:numCache>
                <c:formatCode>0.00</c:formatCode>
                <c:ptCount val="13"/>
                <c:pt idx="0">
                  <c:v>0.66140204179559026</c:v>
                </c:pt>
                <c:pt idx="1">
                  <c:v>0.64927043440111609</c:v>
                </c:pt>
                <c:pt idx="2">
                  <c:v>0.60280400320646765</c:v>
                </c:pt>
                <c:pt idx="3">
                  <c:v>0.59060481022420352</c:v>
                </c:pt>
                <c:pt idx="4">
                  <c:v>0.55592675377572354</c:v>
                </c:pt>
                <c:pt idx="5">
                  <c:v>0.5810520044806885</c:v>
                </c:pt>
                <c:pt idx="6">
                  <c:v>0.56314641312274094</c:v>
                </c:pt>
                <c:pt idx="7">
                  <c:v>0.59678928402705023</c:v>
                </c:pt>
                <c:pt idx="8">
                  <c:v>0.58437828794571189</c:v>
                </c:pt>
                <c:pt idx="9">
                  <c:v>0.54516781433130346</c:v>
                </c:pt>
                <c:pt idx="10">
                  <c:v>0.61050336973839403</c:v>
                </c:pt>
                <c:pt idx="11">
                  <c:v>0.66241039138363311</c:v>
                </c:pt>
                <c:pt idx="12">
                  <c:v>0.57216140573672014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F4-744E-B056-3268730A806E}"/>
            </c:ext>
          </c:extLst>
        </c:ser>
        <c:ser>
          <c:idx val="3"/>
          <c:order val="2"/>
          <c:tx>
            <c:strRef>
              <c:f>'aNA.pt0.50'!$F$121</c:f>
              <c:strCache>
                <c:ptCount val="1"/>
                <c:pt idx="0">
                  <c:v>norm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'aNA.pt0.50'!$G$121:$S$121</c:f>
              <c:numCache>
                <c:formatCode>0.00</c:formatCode>
                <c:ptCount val="13"/>
                <c:pt idx="0">
                  <c:v>0.66140204179559026</c:v>
                </c:pt>
                <c:pt idx="1">
                  <c:v>0.64927043440111609</c:v>
                </c:pt>
                <c:pt idx="2">
                  <c:v>0.60280400320646765</c:v>
                </c:pt>
                <c:pt idx="3">
                  <c:v>0.59060481022420352</c:v>
                </c:pt>
                <c:pt idx="4">
                  <c:v>0.55592675377572354</c:v>
                </c:pt>
                <c:pt idx="5">
                  <c:v>0.5810520044806885</c:v>
                </c:pt>
                <c:pt idx="6">
                  <c:v>0.56314641312274094</c:v>
                </c:pt>
                <c:pt idx="7">
                  <c:v>0.59678928402705023</c:v>
                </c:pt>
                <c:pt idx="8">
                  <c:v>0.58437828794571189</c:v>
                </c:pt>
                <c:pt idx="9">
                  <c:v>0.54516781433130346</c:v>
                </c:pt>
                <c:pt idx="10">
                  <c:v>0.61050336973839403</c:v>
                </c:pt>
                <c:pt idx="11">
                  <c:v>0.66241039138363311</c:v>
                </c:pt>
                <c:pt idx="12">
                  <c:v>0.57216140573672014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F4-744E-B056-3268730A8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657120"/>
        <c:axId val="2105744544"/>
      </c:lineChart>
      <c:catAx>
        <c:axId val="151565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05744544"/>
        <c:crosses val="autoZero"/>
        <c:auto val="1"/>
        <c:lblAlgn val="ctr"/>
        <c:lblOffset val="100"/>
        <c:noMultiLvlLbl val="0"/>
      </c:catAx>
      <c:valAx>
        <c:axId val="21057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1565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F-value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r>
              <a:rPr lang="ja-JP" altLang="en-US" baseline="0"/>
              <a:t> </a:t>
            </a:r>
            <a:r>
              <a:rPr lang="en-US" altLang="ja-JP" baseline="0"/>
              <a:t>by</a:t>
            </a:r>
            <a:r>
              <a:rPr lang="ja-JP" altLang="en-US" baseline="0"/>
              <a:t> </a:t>
            </a:r>
            <a:r>
              <a:rPr lang="en-US" altLang="ja-JP" baseline="0"/>
              <a:t>languages</a:t>
            </a:r>
            <a:r>
              <a:rPr lang="ja-JP" altLang="en-US" baseline="0"/>
              <a:t> </a:t>
            </a:r>
            <a:r>
              <a:rPr lang="en-US" altLang="ja-JP" baseline="0"/>
              <a:t>along</a:t>
            </a:r>
            <a:r>
              <a:rPr lang="ja-JP" altLang="en-US" baseline="0"/>
              <a:t> </a:t>
            </a:r>
            <a:r>
              <a:rPr lang="en-US" altLang="ja-JP" baseline="0"/>
              <a:t>n_topics</a:t>
            </a:r>
            <a:r>
              <a:rPr lang="ja-JP" altLang="en-US" baseline="0"/>
              <a:t> </a:t>
            </a:r>
            <a:r>
              <a:rPr lang="en-US" altLang="ja-JP" baseline="0"/>
              <a:t>(s2,</a:t>
            </a:r>
            <a:r>
              <a:rPr lang="ja-JP" altLang="en-US" baseline="0"/>
              <a:t> </a:t>
            </a:r>
            <a:r>
              <a:rPr lang="en-US" altLang="ja-JP" baseline="0"/>
              <a:t>pt</a:t>
            </a:r>
            <a:r>
              <a:rPr lang="ja-JP" altLang="en-US" baseline="0"/>
              <a:t> </a:t>
            </a:r>
            <a:r>
              <a:rPr lang="en-US" altLang="ja-JP" baseline="0"/>
              <a:t>=0.50;</a:t>
            </a:r>
            <a:r>
              <a:rPr lang="ja-JP" altLang="en-US" baseline="0"/>
              <a:t> </a:t>
            </a:r>
            <a:r>
              <a:rPr lang="en-US" altLang="ja-JP" baseline="0"/>
              <a:t>1g</a:t>
            </a:r>
            <a:r>
              <a:rPr lang="ja-JP" altLang="en-US" baseline="0"/>
              <a:t> </a:t>
            </a:r>
            <a:r>
              <a:rPr lang="en-US" altLang="ja-JP" baseline="0"/>
              <a:t>excluded)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'aNA.pt0.50'!$F$104</c:f>
              <c:strCache>
                <c:ptCount val="1"/>
                <c:pt idx="0">
                  <c:v>arabic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'aNA.pt0.50'!$G$104:$S$104</c:f>
              <c:numCache>
                <c:formatCode>0.00</c:formatCode>
                <c:ptCount val="13"/>
                <c:pt idx="0">
                  <c:v>1</c:v>
                </c:pt>
                <c:pt idx="1">
                  <c:v>0.99842944622911689</c:v>
                </c:pt>
                <c:pt idx="2">
                  <c:v>0.99981784889698666</c:v>
                </c:pt>
                <c:pt idx="3">
                  <c:v>0.9985379447369781</c:v>
                </c:pt>
                <c:pt idx="4">
                  <c:v>0.99954010578767571</c:v>
                </c:pt>
                <c:pt idx="5">
                  <c:v>0.99922365973442473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0.99904198735870364</c:v>
                </c:pt>
                <c:pt idx="10">
                  <c:v>0.99918347575854904</c:v>
                </c:pt>
                <c:pt idx="11">
                  <c:v>0.99977658583626006</c:v>
                </c:pt>
                <c:pt idx="12">
                  <c:v>0.98375403480003731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0-1346-ADFB-B1A9B6FF66F3}"/>
            </c:ext>
          </c:extLst>
        </c:ser>
        <c:ser>
          <c:idx val="2"/>
          <c:order val="1"/>
          <c:tx>
            <c:strRef>
              <c:f>'aNA.pt0.50'!$F$105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'aNA.pt0.50'!$G$105:$S$105</c:f>
              <c:numCache>
                <c:formatCode>0.00</c:formatCode>
                <c:ptCount val="13"/>
                <c:pt idx="0">
                  <c:v>0.11927626266433133</c:v>
                </c:pt>
                <c:pt idx="1">
                  <c:v>0.12357831575228599</c:v>
                </c:pt>
                <c:pt idx="2">
                  <c:v>0.10615189453122</c:v>
                </c:pt>
                <c:pt idx="3">
                  <c:v>0.14444244947338117</c:v>
                </c:pt>
                <c:pt idx="4">
                  <c:v>0.16304433462999599</c:v>
                </c:pt>
                <c:pt idx="5">
                  <c:v>3.9646767241098002E-2</c:v>
                </c:pt>
                <c:pt idx="6">
                  <c:v>6.6322212739687803E-2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4.4000700113571496E-2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70-1346-ADFB-B1A9B6FF66F3}"/>
            </c:ext>
          </c:extLst>
        </c:ser>
        <c:ser>
          <c:idx val="3"/>
          <c:order val="2"/>
          <c:tx>
            <c:strRef>
              <c:f>'aNA.pt0.50'!$F$106</c:f>
              <c:strCache>
                <c:ptCount val="1"/>
                <c:pt idx="0">
                  <c:v>french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'aNA.pt0.50'!$G$106:$S$106</c:f>
              <c:numCache>
                <c:formatCode>0.00</c:formatCode>
                <c:ptCount val="13"/>
                <c:pt idx="0">
                  <c:v>0.25892284917523251</c:v>
                </c:pt>
                <c:pt idx="1">
                  <c:v>0.19324856243010732</c:v>
                </c:pt>
                <c:pt idx="2">
                  <c:v>0.19705781566138833</c:v>
                </c:pt>
                <c:pt idx="3">
                  <c:v>5.2414270009665004E-2</c:v>
                </c:pt>
                <c:pt idx="4">
                  <c:v>0</c:v>
                </c:pt>
                <c:pt idx="5">
                  <c:v>4.4374318495695002E-2</c:v>
                </c:pt>
                <c:pt idx="6">
                  <c:v>0</c:v>
                </c:pt>
                <c:pt idx="7">
                  <c:v>5.2396929176896E-2</c:v>
                </c:pt>
                <c:pt idx="8">
                  <c:v>0.12179487179487165</c:v>
                </c:pt>
                <c:pt idx="9">
                  <c:v>0</c:v>
                </c:pt>
                <c:pt idx="10">
                  <c:v>5.6060915299540999E-2</c:v>
                </c:pt>
                <c:pt idx="11">
                  <c:v>0.14404510680760638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70-1346-ADFB-B1A9B6FF66F3}"/>
            </c:ext>
          </c:extLst>
        </c:ser>
        <c:ser>
          <c:idx val="4"/>
          <c:order val="3"/>
          <c:tx>
            <c:strRef>
              <c:f>'aNA.pt0.50'!$F$107</c:f>
              <c:strCache>
                <c:ptCount val="1"/>
                <c:pt idx="0">
                  <c:v>finnish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'aNA.pt0.50'!$G$107:$S$107</c:f>
              <c:numCache>
                <c:formatCode>0.00</c:formatCode>
                <c:ptCount val="13"/>
                <c:pt idx="0">
                  <c:v>0.48947682046682406</c:v>
                </c:pt>
                <c:pt idx="1">
                  <c:v>0.34448659242545515</c:v>
                </c:pt>
                <c:pt idx="2">
                  <c:v>0.47916576050419463</c:v>
                </c:pt>
                <c:pt idx="3">
                  <c:v>0.50480044115893563</c:v>
                </c:pt>
                <c:pt idx="4">
                  <c:v>0.45466229933554264</c:v>
                </c:pt>
                <c:pt idx="5">
                  <c:v>0.36104185559581831</c:v>
                </c:pt>
                <c:pt idx="6">
                  <c:v>0.618024530569105</c:v>
                </c:pt>
                <c:pt idx="7">
                  <c:v>0.49523454167529651</c:v>
                </c:pt>
                <c:pt idx="8">
                  <c:v>0.59412753684218444</c:v>
                </c:pt>
                <c:pt idx="9">
                  <c:v>0.44041238748768752</c:v>
                </c:pt>
                <c:pt idx="10">
                  <c:v>0.30502521925909487</c:v>
                </c:pt>
                <c:pt idx="11">
                  <c:v>0.29750768207939421</c:v>
                </c:pt>
                <c:pt idx="12">
                  <c:v>0.39988323467954584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70-1346-ADFB-B1A9B6FF66F3}"/>
            </c:ext>
          </c:extLst>
        </c:ser>
        <c:ser>
          <c:idx val="5"/>
          <c:order val="4"/>
          <c:tx>
            <c:strRef>
              <c:f>'aNA.pt0.50'!$F$108</c:f>
              <c:strCache>
                <c:ptCount val="1"/>
                <c:pt idx="0">
                  <c:v>german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'aNA.pt0.50'!$G$108:$S$108</c:f>
              <c:numCache>
                <c:formatCode>0.00</c:formatCode>
                <c:ptCount val="13"/>
                <c:pt idx="0">
                  <c:v>0.69692345394935951</c:v>
                </c:pt>
                <c:pt idx="1">
                  <c:v>0.4888020750967122</c:v>
                </c:pt>
                <c:pt idx="2">
                  <c:v>0.41819488471919036</c:v>
                </c:pt>
                <c:pt idx="3">
                  <c:v>0.38545717481545488</c:v>
                </c:pt>
                <c:pt idx="4">
                  <c:v>0.39751754843931425</c:v>
                </c:pt>
                <c:pt idx="5">
                  <c:v>0.52678745544134131</c:v>
                </c:pt>
                <c:pt idx="6">
                  <c:v>0.55772514189660927</c:v>
                </c:pt>
                <c:pt idx="7">
                  <c:v>0.32510487656064285</c:v>
                </c:pt>
                <c:pt idx="8">
                  <c:v>0.38235137756379883</c:v>
                </c:pt>
                <c:pt idx="9">
                  <c:v>0.50414579754396982</c:v>
                </c:pt>
                <c:pt idx="10">
                  <c:v>0.4966153435580008</c:v>
                </c:pt>
                <c:pt idx="11">
                  <c:v>0.31528996518152569</c:v>
                </c:pt>
                <c:pt idx="12">
                  <c:v>0.52455157982771172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70-1346-ADFB-B1A9B6FF66F3}"/>
            </c:ext>
          </c:extLst>
        </c:ser>
        <c:ser>
          <c:idx val="6"/>
          <c:order val="5"/>
          <c:tx>
            <c:strRef>
              <c:f>'aNA.pt0.50'!$F$109</c:f>
              <c:strCache>
                <c:ptCount val="1"/>
                <c:pt idx="0">
                  <c:v>greek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'aNA.pt0.50'!$G$109:$S$109</c:f>
              <c:numCache>
                <c:formatCode>0.00</c:formatCode>
                <c:ptCount val="13"/>
                <c:pt idx="0">
                  <c:v>0.99890943190157377</c:v>
                </c:pt>
                <c:pt idx="1">
                  <c:v>0.99985025263307115</c:v>
                </c:pt>
                <c:pt idx="2">
                  <c:v>1</c:v>
                </c:pt>
                <c:pt idx="3">
                  <c:v>0.99777315626288299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0.99964463397299219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70-1346-ADFB-B1A9B6FF66F3}"/>
            </c:ext>
          </c:extLst>
        </c:ser>
        <c:ser>
          <c:idx val="7"/>
          <c:order val="6"/>
          <c:tx>
            <c:strRef>
              <c:f>'aNA.pt0.50'!$F$110</c:f>
              <c:strCache>
                <c:ptCount val="1"/>
                <c:pt idx="0">
                  <c:v>hebrew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'aNA.pt0.50'!$G$110:$S$110</c:f>
              <c:numCache>
                <c:formatCode>0.00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0.99400920558042316</c:v>
                </c:pt>
                <c:pt idx="5">
                  <c:v>1</c:v>
                </c:pt>
                <c:pt idx="6">
                  <c:v>0.99584470996839813</c:v>
                </c:pt>
                <c:pt idx="7">
                  <c:v>1</c:v>
                </c:pt>
                <c:pt idx="8">
                  <c:v>1</c:v>
                </c:pt>
                <c:pt idx="9">
                  <c:v>0.98012731157689481</c:v>
                </c:pt>
                <c:pt idx="10">
                  <c:v>1</c:v>
                </c:pt>
                <c:pt idx="11">
                  <c:v>1</c:v>
                </c:pt>
                <c:pt idx="12">
                  <c:v>0.97305588141203592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70-1346-ADFB-B1A9B6FF66F3}"/>
            </c:ext>
          </c:extLst>
        </c:ser>
        <c:ser>
          <c:idx val="8"/>
          <c:order val="7"/>
          <c:tx>
            <c:strRef>
              <c:f>'aNA.pt0.50'!$F$111</c:f>
              <c:strCache>
                <c:ptCount val="1"/>
                <c:pt idx="0">
                  <c:v>icelandic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'aNA.pt0.50'!$G$111:$S$111</c:f>
              <c:numCache>
                <c:formatCode>0.00</c:formatCode>
                <c:ptCount val="13"/>
                <c:pt idx="0">
                  <c:v>0.88036146012114969</c:v>
                </c:pt>
                <c:pt idx="1">
                  <c:v>0.75606801114293987</c:v>
                </c:pt>
                <c:pt idx="2">
                  <c:v>0.74873893683966164</c:v>
                </c:pt>
                <c:pt idx="3">
                  <c:v>0.72951942018690097</c:v>
                </c:pt>
                <c:pt idx="4">
                  <c:v>0.78711074797836034</c:v>
                </c:pt>
                <c:pt idx="5">
                  <c:v>0.74191137167575472</c:v>
                </c:pt>
                <c:pt idx="6">
                  <c:v>0.84414107575733011</c:v>
                </c:pt>
                <c:pt idx="7">
                  <c:v>0.66752382432852586</c:v>
                </c:pt>
                <c:pt idx="8">
                  <c:v>0.64452684508265523</c:v>
                </c:pt>
                <c:pt idx="9">
                  <c:v>0.55865971105684031</c:v>
                </c:pt>
                <c:pt idx="10">
                  <c:v>0.61058711997635384</c:v>
                </c:pt>
                <c:pt idx="11">
                  <c:v>0.66933885415861916</c:v>
                </c:pt>
                <c:pt idx="12">
                  <c:v>0.55315843038417234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70-1346-ADFB-B1A9B6FF66F3}"/>
            </c:ext>
          </c:extLst>
        </c:ser>
        <c:ser>
          <c:idx val="9"/>
          <c:order val="8"/>
          <c:tx>
            <c:strRef>
              <c:f>'aNA.pt0.50'!$F$112</c:f>
              <c:strCache>
                <c:ptCount val="1"/>
                <c:pt idx="0">
                  <c:v>russian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'aNA.pt0.50'!$G$112:$S$112</c:f>
              <c:numCache>
                <c:formatCode>0.00</c:formatCode>
                <c:ptCount val="13"/>
                <c:pt idx="0">
                  <c:v>0.96882548889543596</c:v>
                </c:pt>
                <c:pt idx="1">
                  <c:v>0.99099354045433563</c:v>
                </c:pt>
                <c:pt idx="2">
                  <c:v>0.97617764223604508</c:v>
                </c:pt>
                <c:pt idx="3">
                  <c:v>0.98935503644992029</c:v>
                </c:pt>
                <c:pt idx="4">
                  <c:v>0.97399451666860715</c:v>
                </c:pt>
                <c:pt idx="5">
                  <c:v>0.98221229399155685</c:v>
                </c:pt>
                <c:pt idx="6">
                  <c:v>0.98610724255468785</c:v>
                </c:pt>
                <c:pt idx="7">
                  <c:v>0.98958634307672144</c:v>
                </c:pt>
                <c:pt idx="8">
                  <c:v>0.9582663855654423</c:v>
                </c:pt>
                <c:pt idx="9">
                  <c:v>0.98563146768239707</c:v>
                </c:pt>
                <c:pt idx="10">
                  <c:v>0.97320070531535474</c:v>
                </c:pt>
                <c:pt idx="11">
                  <c:v>0.94889954541443899</c:v>
                </c:pt>
                <c:pt idx="12">
                  <c:v>0.99045973957303801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170-1346-ADFB-B1A9B6FF66F3}"/>
            </c:ext>
          </c:extLst>
        </c:ser>
        <c:ser>
          <c:idx val="0"/>
          <c:order val="9"/>
          <c:tx>
            <c:strRef>
              <c:f>'aNA.pt0.50'!$F$113</c:f>
              <c:strCache>
                <c:ptCount val="1"/>
                <c:pt idx="0">
                  <c:v>spanish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'aNA.pt0.50'!$G$113:$S$113</c:f>
              <c:numCache>
                <c:formatCode>0.00</c:formatCode>
                <c:ptCount val="13"/>
                <c:pt idx="0">
                  <c:v>0.6572924099413302</c:v>
                </c:pt>
                <c:pt idx="1">
                  <c:v>0.56396527433277532</c:v>
                </c:pt>
                <c:pt idx="2">
                  <c:v>0.59529935804905365</c:v>
                </c:pt>
                <c:pt idx="3">
                  <c:v>0.41157365902380616</c:v>
                </c:pt>
                <c:pt idx="4">
                  <c:v>0.55578809141917085</c:v>
                </c:pt>
                <c:pt idx="5">
                  <c:v>0.51852865178701302</c:v>
                </c:pt>
                <c:pt idx="6">
                  <c:v>0.50928058340778326</c:v>
                </c:pt>
                <c:pt idx="7">
                  <c:v>0.48243370674212915</c:v>
                </c:pt>
                <c:pt idx="8">
                  <c:v>0.30551143625060934</c:v>
                </c:pt>
                <c:pt idx="9">
                  <c:v>0.33166684596386053</c:v>
                </c:pt>
                <c:pt idx="10">
                  <c:v>0.56092593714219474</c:v>
                </c:pt>
                <c:pt idx="11">
                  <c:v>0.51027996256293084</c:v>
                </c:pt>
                <c:pt idx="12">
                  <c:v>0.15257809407037118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6-094B-BA3A-D3A5622B9864}"/>
            </c:ext>
          </c:extLst>
        </c:ser>
        <c:ser>
          <c:idx val="11"/>
          <c:order val="10"/>
          <c:tx>
            <c:strRef>
              <c:f>'aNA.pt0.50'!$F$114</c:f>
              <c:strCache>
                <c:ptCount val="1"/>
                <c:pt idx="0">
                  <c:v>swahili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'aNA.pt0.50'!$G$114:$S$114</c:f>
              <c:numCache>
                <c:formatCode>0.00</c:formatCode>
                <c:ptCount val="13"/>
                <c:pt idx="0">
                  <c:v>0.51465508943456895</c:v>
                </c:pt>
                <c:pt idx="1">
                  <c:v>0.63625860839603499</c:v>
                </c:pt>
                <c:pt idx="2">
                  <c:v>0.48807583921564235</c:v>
                </c:pt>
                <c:pt idx="3">
                  <c:v>0.42365565773812103</c:v>
                </c:pt>
                <c:pt idx="4">
                  <c:v>0.46343188304551536</c:v>
                </c:pt>
                <c:pt idx="5">
                  <c:v>0.44865982717208602</c:v>
                </c:pt>
                <c:pt idx="6">
                  <c:v>0.14106223154161635</c:v>
                </c:pt>
                <c:pt idx="7">
                  <c:v>0.37770000742094184</c:v>
                </c:pt>
                <c:pt idx="8">
                  <c:v>0.37665123996133093</c:v>
                </c:pt>
                <c:pt idx="9">
                  <c:v>0.2901803885359297</c:v>
                </c:pt>
                <c:pt idx="10">
                  <c:v>0.39253315551361601</c:v>
                </c:pt>
                <c:pt idx="11">
                  <c:v>0.2738733855632936</c:v>
                </c:pt>
                <c:pt idx="12">
                  <c:v>0.4961471341993382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06-094B-BA3A-D3A5622B9864}"/>
            </c:ext>
          </c:extLst>
        </c:ser>
        <c:ser>
          <c:idx val="10"/>
          <c:order val="11"/>
          <c:tx>
            <c:strRef>
              <c:f>'aNA.pt0.50'!$F$115</c:f>
              <c:strCache>
                <c:ptCount val="1"/>
                <c:pt idx="0">
                  <c:v>turkish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'aNA.pt0.50'!$G$1:$S$1</c:f>
              <c:strCache>
                <c:ptCount val="13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</c:strCache>
            </c:strRef>
          </c:cat>
          <c:val>
            <c:numRef>
              <c:f>'aNA.pt0.50'!$G$115:$S$115</c:f>
              <c:numCache>
                <c:formatCode>0.00</c:formatCode>
                <c:ptCount val="13"/>
                <c:pt idx="0">
                  <c:v>0.80423974427860878</c:v>
                </c:pt>
                <c:pt idx="1">
                  <c:v>0.6736270954583351</c:v>
                </c:pt>
                <c:pt idx="2">
                  <c:v>0.71300537163960576</c:v>
                </c:pt>
                <c:pt idx="3">
                  <c:v>0.60509989570944567</c:v>
                </c:pt>
                <c:pt idx="4">
                  <c:v>0.46570450658875223</c:v>
                </c:pt>
                <c:pt idx="5">
                  <c:v>0.54452732241850799</c:v>
                </c:pt>
                <c:pt idx="6">
                  <c:v>0.62440639266960563</c:v>
                </c:pt>
                <c:pt idx="7">
                  <c:v>0.46460627466324644</c:v>
                </c:pt>
                <c:pt idx="8">
                  <c:v>0.64047652137441957</c:v>
                </c:pt>
                <c:pt idx="9">
                  <c:v>0.72369480916578499</c:v>
                </c:pt>
                <c:pt idx="10">
                  <c:v>0.5818503681151258</c:v>
                </c:pt>
                <c:pt idx="11">
                  <c:v>0.71658584663621028</c:v>
                </c:pt>
                <c:pt idx="12">
                  <c:v>0.47897843612069368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70-1346-ADFB-B1A9B6FF6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005344"/>
        <c:axId val="2135655616"/>
      </c:lineChart>
      <c:catAx>
        <c:axId val="213500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655616"/>
        <c:crosses val="autoZero"/>
        <c:auto val="1"/>
        <c:lblAlgn val="ctr"/>
        <c:lblOffset val="100"/>
        <c:noMultiLvlLbl val="0"/>
      </c:catAx>
      <c:valAx>
        <c:axId val="21356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500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895350</xdr:colOff>
      <xdr:row>114</xdr:row>
      <xdr:rowOff>342898</xdr:rowOff>
    </xdr:from>
    <xdr:to>
      <xdr:col>24</xdr:col>
      <xdr:colOff>897350</xdr:colOff>
      <xdr:row>123</xdr:row>
      <xdr:rowOff>153898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E0F10-1F44-87D6-9469-8DE2AB2D6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863600</xdr:colOff>
      <xdr:row>102</xdr:row>
      <xdr:rowOff>184147</xdr:rowOff>
    </xdr:from>
    <xdr:to>
      <xdr:col>25</xdr:col>
      <xdr:colOff>866100</xdr:colOff>
      <xdr:row>111</xdr:row>
      <xdr:rowOff>355147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937A4-89BF-0CEC-A1FB-25B756279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T85" totalsRowShown="0">
  <autoFilter ref="A1:T85" xr:uid="{CFFBF5C2-C562-4A4E-B95B-091D1721BBE3}"/>
  <tableColumns count="20">
    <tableColumn id="1" xr3:uid="{B965C989-233C-BA49-B251-382897A2BABE}" name="lang">
      <calculatedColumnFormula>_xlfn.LET(_xlpm.c,$F2,_xlfn.TEXTBEFORE(_xlpm.c,"-"))</calculatedColumnFormula>
    </tableColumn>
    <tableColumn id="13" xr3:uid="{F3AD09D6-DEE4-004B-9353-31CAC865BD48}" name="1g" dataDxfId="17">
      <calculatedColumnFormula>_xlfn.LET(_xlpm.c,_xlfn.SINGLE(Table1[condition]),IF(RIGHT(_xlpm.c,2)="1g",1,0))</calculatedColumnFormula>
    </tableColumn>
    <tableColumn id="18" xr3:uid="{6A766CD9-CC08-B048-BDB2-C5B6C8FBAC9E}" name="xsk" dataDxfId="16">
      <calculatedColumnFormula>_xlfn.LET(_xlpm.c,_xlfn.SINGLE(Table1[condition]),_xlpm.k,CONCATENATE("*","-xsk","*"),IF(COUNTIF(_xlpm.c,_xlpm.k)&gt;0,1,0))</calculatedColumnFormula>
    </tableColumn>
    <tableColumn id="19" xr3:uid="{70CABA00-98B5-654F-8AF7-EF28D5D5FFAE}" name="sk" dataDxfId="15">
      <calculatedColumnFormula>_xlfn.LET(_xlpm.c,_xlfn.SINGLE(Table1[condition]),_xlpm.k,CONCATENATE("*","-sk","*"),IF(COUNTIF(_xlpm.c,_xlpm.k)&gt;0,1,0))</calculatedColumnFormula>
    </tableColumn>
    <tableColumn id="20" xr3:uid="{1055BC00-75EE-C949-95C7-47A8186D731F}" name="norm" dataDxfId="14">
      <calculatedColumnFormula>IF(AND(Table1[[#This Row],[xsk]]=1,Table1[[#This Row],[sk]]=1),0,1)</calculatedColumnFormula>
    </tableColumn>
    <tableColumn id="12" xr3:uid="{67CADDAA-63EE-5F45-989C-A240EB19AD7C}" name="condition"/>
    <tableColumn id="2" xr3:uid="{E49E0B59-37B0-284D-BE77-40B5319AB755}" name="3" dataDxfId="13"/>
    <tableColumn id="3" xr3:uid="{12F044D8-6B04-8146-9059-0DD6BE8C153F}" name="4" dataDxfId="12"/>
    <tableColumn id="4" xr3:uid="{28314014-34F8-EF4B-AF7B-FC88FF8A6DA9}" name="5" dataDxfId="11"/>
    <tableColumn id="5" xr3:uid="{0BD4A703-F893-784A-B65E-DB2D1E798103}" name="6" dataDxfId="10"/>
    <tableColumn id="6" xr3:uid="{50D9F421-0114-CF41-9767-B830E35DC34D}" name="7" dataDxfId="9"/>
    <tableColumn id="7" xr3:uid="{E0DD0445-0346-1E47-9A2C-83486C4A03C4}" name="8" dataDxfId="8"/>
    <tableColumn id="8" xr3:uid="{5556115A-B62B-C140-944D-BADBB061EBB5}" name="9" dataDxfId="7"/>
    <tableColumn id="9" xr3:uid="{1B92E407-F94E-544F-B76D-B160EB3BC0AB}" name="10" dataDxfId="6"/>
    <tableColumn id="15" xr3:uid="{CA9D90BA-009C-464D-BE92-0011909FDA2B}" name="11" dataDxfId="5"/>
    <tableColumn id="10" xr3:uid="{6871B4E2-64FC-EF4F-91D7-DFBFD9EFB3C2}" name="12" dataDxfId="4"/>
    <tableColumn id="16" xr3:uid="{940501F9-5D71-6942-A362-A269C3BC407F}" name="13" dataDxfId="3"/>
    <tableColumn id="17" xr3:uid="{50A93E03-F3FA-1141-B60E-E238694C2C39}" name="14" dataDxfId="2"/>
    <tableColumn id="11" xr3:uid="{059EBDD8-5269-D041-AFDD-56AB88BB8F27}" name="15" dataDxfId="1"/>
    <tableColumn id="14" xr3:uid="{C3D92A6B-91A7-7248-A813-2D0B01CBD1F8}" name="average" dataDxfId="0">
      <calculatedColumnFormula>_xlfn.LET(_xlpm.d,$G2:$S2,AVERAGE(_xlpm.d))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T121"/>
  <sheetViews>
    <sheetView tabSelected="1" workbookViewId="0">
      <pane xSplit="9080" ySplit="3520" topLeftCell="Q100" activePane="bottomLeft"/>
      <selection activeCell="F2" sqref="F2:F85"/>
      <selection pane="topRight" activeCell="S2" sqref="S2:S85"/>
      <selection pane="bottomLeft" activeCell="D107" sqref="D107"/>
      <selection pane="bottomRight" activeCell="U106" sqref="U106"/>
    </sheetView>
  </sheetViews>
  <sheetFormatPr baseColWidth="10" defaultRowHeight="30" customHeight="1"/>
  <cols>
    <col min="1" max="1" width="9.25" customWidth="1"/>
    <col min="2" max="5" width="7.5" customWidth="1"/>
    <col min="6" max="6" width="14.25" customWidth="1"/>
    <col min="7" max="20" width="5.625" customWidth="1"/>
  </cols>
  <sheetData>
    <row r="1" spans="1:20" ht="30" customHeight="1">
      <c r="A1" t="s">
        <v>36</v>
      </c>
      <c r="B1" t="s">
        <v>43</v>
      </c>
      <c r="C1" t="s">
        <v>49</v>
      </c>
      <c r="D1" t="s">
        <v>50</v>
      </c>
      <c r="E1" t="s">
        <v>51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46</v>
      </c>
      <c r="P1" t="s">
        <v>9</v>
      </c>
      <c r="Q1" t="s">
        <v>47</v>
      </c>
      <c r="R1" t="s">
        <v>48</v>
      </c>
      <c r="S1" t="s">
        <v>10</v>
      </c>
      <c r="T1" t="s">
        <v>45</v>
      </c>
    </row>
    <row r="2" spans="1:20" ht="30" customHeight="1">
      <c r="A2" t="str">
        <f>_xlfn.LET(_xlpm.c,$F2,_xlfn.TEXTBEFORE(_xlpm.c,"-"))</f>
        <v>arabic</v>
      </c>
      <c r="B2">
        <f>_xlfn.LET(_xlpm.c,_xlfn.SINGLE(Table1[condition]),IF(RIGHT(_xlpm.c,2)="1g",1,0))</f>
        <v>1</v>
      </c>
      <c r="C2">
        <f>_xlfn.LET(_xlpm.c,_xlfn.SINGLE(Table1[condition]),_xlpm.k,CONCATENATE("*","-xsk","*"),IF(COUNTIF(_xlpm.c,_xlpm.k)&gt;0,1,0))</f>
        <v>0</v>
      </c>
      <c r="D2">
        <f>_xlfn.LET(_xlpm.c,_xlfn.SINGLE(Table1[condition]),_xlpm.k,CONCATENATE("*","-sk","*"),IF(COUNTIF(_xlpm.c,_xlpm.k)&gt;0,1,0))</f>
        <v>0</v>
      </c>
      <c r="E2">
        <f>IF(AND(Table1[[#This Row],[xsk]]=1,Table1[[#This Row],[sk]]=1),0,1)</f>
        <v>1</v>
      </c>
      <c r="F2" t="s">
        <v>11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 t="shared" ref="T2:T85" si="0">_xlfn.LET(_xlpm.d,$G2:$S2,AVERAGE(_xlpm.d))</f>
        <v>1</v>
      </c>
    </row>
    <row r="3" spans="1:20" ht="30" customHeight="1">
      <c r="A3" t="str">
        <f t="shared" ref="A3:A70" si="1">_xlfn.LET(_xlpm.c,$F3,_xlfn.TEXTBEFORE(_xlpm.c,"-"))</f>
        <v>arabic</v>
      </c>
      <c r="B3">
        <f>_xlfn.LET(_xlpm.c,_xlfn.SINGLE(Table1[condition]),IF(RIGHT(_xlpm.c,2)="1g",1,0))</f>
        <v>0</v>
      </c>
      <c r="C3">
        <f>_xlfn.LET(_xlpm.c,_xlfn.SINGLE(Table1[condition]),_xlpm.k,CONCATENATE("*","-xsk","*"),IF(COUNTIF(_xlpm.c,_xlpm.k)&gt;0,1,0))</f>
        <v>0</v>
      </c>
      <c r="D3">
        <f>_xlfn.LET(_xlpm.c,_xlfn.SINGLE(Table1[condition]),_xlpm.k,CONCATENATE("*","-sk","*"),IF(COUNTIF(_xlpm.c,_xlpm.k)&gt;0,1,0))</f>
        <v>0</v>
      </c>
      <c r="E3">
        <f>IF(AND(Table1[[#This Row],[xsk]]=1,Table1[[#This Row],[sk]]=1),0,1)</f>
        <v>1</v>
      </c>
      <c r="F3" t="s">
        <v>12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ref="T3:T70" si="2">_xlfn.LET(_xlpm.d,$G3:$S3,AVERAGE(_xlpm.d))</f>
        <v>1</v>
      </c>
    </row>
    <row r="4" spans="1:20" ht="30" customHeight="1">
      <c r="A4" t="str">
        <f t="shared" ref="A4:A39" si="3">_xlfn.LET(_xlpm.c,$F4,_xlfn.TEXTBEFORE(_xlpm.c,"-"))</f>
        <v>arabic</v>
      </c>
      <c r="B4">
        <f>_xlfn.LET(_xlpm.c,_xlfn.SINGLE(Table1[condition]),IF(RIGHT(_xlpm.c,2)="1g",1,0))</f>
        <v>0</v>
      </c>
      <c r="C4">
        <f>_xlfn.LET(_xlpm.c,_xlfn.SINGLE(Table1[condition]),_xlpm.k,CONCATENATE("*","-xsk","*"),IF(COUNTIF(_xlpm.c,_xlpm.k)&gt;0,1,0))</f>
        <v>0</v>
      </c>
      <c r="D4">
        <f>_xlfn.LET(_xlpm.c,_xlfn.SINGLE(Table1[condition]),_xlpm.k,CONCATENATE("*","-sk","*"),IF(COUNTIF(_xlpm.c,_xlpm.k)&gt;0,1,0))</f>
        <v>0</v>
      </c>
      <c r="E4">
        <f>IF(AND(Table1[[#This Row],[xsk]]=1,Table1[[#This Row],[sk]]=1),0,1)</f>
        <v>1</v>
      </c>
      <c r="F4" t="s">
        <v>13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ref="T4:T39" si="4">_xlfn.LET(_xlpm.d,$G4:$S4,AVERAGE(_xlpm.d))</f>
        <v>1</v>
      </c>
    </row>
    <row r="5" spans="1:20" ht="30" customHeight="1">
      <c r="A5" t="str">
        <f t="shared" si="3"/>
        <v>arabic</v>
      </c>
      <c r="B5">
        <f>_xlfn.LET(_xlpm.c,_xlfn.SINGLE(Table1[condition]),IF(RIGHT(_xlpm.c,2)="1g",1,0))</f>
        <v>0</v>
      </c>
      <c r="C5">
        <f>_xlfn.LET(_xlpm.c,_xlfn.SINGLE(Table1[condition]),_xlpm.k,CONCATENATE("*","-xsk","*"),IF(COUNTIF(_xlpm.c,_xlpm.k)&gt;0,1,0))</f>
        <v>0</v>
      </c>
      <c r="D5">
        <f>_xlfn.LET(_xlpm.c,_xlfn.SINGLE(Table1[condition]),_xlpm.k,CONCATENATE("*","-sk","*"),IF(COUNTIF(_xlpm.c,_xlpm.k)&gt;0,1,0))</f>
        <v>1</v>
      </c>
      <c r="E5">
        <f>IF(AND(Table1[[#This Row],[xsk]]=1,Table1[[#This Row],[sk]]=1),0,1)</f>
        <v>1</v>
      </c>
      <c r="F5" t="s">
        <v>14</v>
      </c>
      <c r="G5" s="1">
        <v>1</v>
      </c>
      <c r="H5" s="1">
        <v>1</v>
      </c>
      <c r="I5" s="1">
        <v>1</v>
      </c>
      <c r="J5" s="1">
        <v>1</v>
      </c>
      <c r="K5" s="1">
        <v>0.99922480076675502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0.99865951501756001</v>
      </c>
      <c r="S5" s="1">
        <v>1</v>
      </c>
      <c r="T5" s="1">
        <f t="shared" si="4"/>
        <v>0.99983725506033183</v>
      </c>
    </row>
    <row r="6" spans="1:20" ht="30" customHeight="1">
      <c r="A6" t="str">
        <f t="shared" si="3"/>
        <v>arabic</v>
      </c>
      <c r="B6">
        <f>_xlfn.LET(_xlpm.c,_xlfn.SINGLE(Table1[condition]),IF(RIGHT(_xlpm.c,2)="1g",1,0))</f>
        <v>0</v>
      </c>
      <c r="C6">
        <f>_xlfn.LET(_xlpm.c,_xlfn.SINGLE(Table1[condition]),_xlpm.k,CONCATENATE("*","-xsk","*"),IF(COUNTIF(_xlpm.c,_xlpm.k)&gt;0,1,0))</f>
        <v>0</v>
      </c>
      <c r="D6">
        <f>_xlfn.LET(_xlpm.c,_xlfn.SINGLE(Table1[condition]),_xlpm.k,CONCATENATE("*","-sk","*"),IF(COUNTIF(_xlpm.c,_xlpm.k)&gt;0,1,0))</f>
        <v>1</v>
      </c>
      <c r="E6">
        <f>IF(AND(Table1[[#This Row],[xsk]]=1,Table1[[#This Row],[sk]]=1),0,1)</f>
        <v>1</v>
      </c>
      <c r="F6" t="s">
        <v>15</v>
      </c>
      <c r="G6" s="1">
        <v>1</v>
      </c>
      <c r="H6" s="1">
        <v>0.99710125443183695</v>
      </c>
      <c r="I6" s="1">
        <v>1</v>
      </c>
      <c r="J6" s="1">
        <v>0.99719090040743397</v>
      </c>
      <c r="K6" s="1">
        <v>0.99801583395930005</v>
      </c>
      <c r="L6" s="1">
        <v>0.99879662591862495</v>
      </c>
      <c r="M6" s="1">
        <v>1</v>
      </c>
      <c r="N6" s="1">
        <v>1</v>
      </c>
      <c r="O6" s="1">
        <v>1</v>
      </c>
      <c r="P6" s="1">
        <v>1</v>
      </c>
      <c r="Q6" s="1">
        <v>0.99883720144128396</v>
      </c>
      <c r="R6" s="1">
        <v>1</v>
      </c>
      <c r="S6" s="1">
        <v>1</v>
      </c>
      <c r="T6" s="1">
        <f t="shared" si="4"/>
        <v>0.99922629355065229</v>
      </c>
    </row>
    <row r="7" spans="1:20" ht="30" customHeight="1">
      <c r="A7" t="str">
        <f t="shared" si="3"/>
        <v>arabic</v>
      </c>
      <c r="B7">
        <f>_xlfn.LET(_xlpm.c,_xlfn.SINGLE(Table1[condition]),IF(RIGHT(_xlpm.c,2)="1g",1,0))</f>
        <v>0</v>
      </c>
      <c r="C7">
        <f>_xlfn.LET(_xlpm.c,_xlfn.SINGLE(Table1[condition]),_xlpm.k,CONCATENATE("*","-xsk","*"),IF(COUNTIF(_xlpm.c,_xlpm.k)&gt;0,1,0))</f>
        <v>1</v>
      </c>
      <c r="D7">
        <f>_xlfn.LET(_xlpm.c,_xlfn.SINGLE(Table1[condition]),_xlpm.k,CONCATENATE("*","-sk","*"),IF(COUNTIF(_xlpm.c,_xlpm.k)&gt;0,1,0))</f>
        <v>0</v>
      </c>
      <c r="E7">
        <f>IF(AND(Table1[[#This Row],[xsk]]=1,Table1[[#This Row],[sk]]=1),0,1)</f>
        <v>1</v>
      </c>
      <c r="F7" t="s">
        <v>52</v>
      </c>
      <c r="G7" s="1">
        <v>1</v>
      </c>
      <c r="H7" s="1">
        <v>0.99913791758029102</v>
      </c>
      <c r="I7" s="1">
        <v>1</v>
      </c>
      <c r="J7" s="1">
        <v>0.99507197764451805</v>
      </c>
      <c r="K7" s="1">
        <v>1</v>
      </c>
      <c r="L7" s="1">
        <v>0.99907062795663604</v>
      </c>
      <c r="M7" s="1">
        <v>1</v>
      </c>
      <c r="N7" s="1">
        <v>1</v>
      </c>
      <c r="O7" s="1">
        <v>1</v>
      </c>
      <c r="P7" s="1">
        <v>1</v>
      </c>
      <c r="Q7" s="1">
        <v>0.99733318161387696</v>
      </c>
      <c r="R7" s="1">
        <v>1</v>
      </c>
      <c r="S7" s="1">
        <v>0.90252420880022399</v>
      </c>
      <c r="T7" s="1">
        <f t="shared" si="4"/>
        <v>0.99177983950734983</v>
      </c>
    </row>
    <row r="8" spans="1:20" ht="30" customHeight="1">
      <c r="A8" t="str">
        <f t="shared" si="3"/>
        <v>arabic</v>
      </c>
      <c r="B8">
        <f>_xlfn.LET(_xlpm.c,_xlfn.SINGLE(Table1[condition]),IF(RIGHT(_xlpm.c,2)="1g",1,0))</f>
        <v>0</v>
      </c>
      <c r="C8">
        <f>_xlfn.LET(_xlpm.c,_xlfn.SINGLE(Table1[condition]),_xlpm.k,CONCATENATE("*","-xsk","*"),IF(COUNTIF(_xlpm.c,_xlpm.k)&gt;0,1,0))</f>
        <v>1</v>
      </c>
      <c r="D8">
        <f>_xlfn.LET(_xlpm.c,_xlfn.SINGLE(Table1[condition]),_xlpm.k,CONCATENATE("*","-sk","*"),IF(COUNTIF(_xlpm.c,_xlpm.k)&gt;0,1,0))</f>
        <v>0</v>
      </c>
      <c r="E8">
        <f>IF(AND(Table1[[#This Row],[xsk]]=1,Table1[[#This Row],[sk]]=1),0,1)</f>
        <v>1</v>
      </c>
      <c r="F8" t="s">
        <v>53</v>
      </c>
      <c r="G8" s="1">
        <v>1</v>
      </c>
      <c r="H8" s="1">
        <v>0.99433750536257304</v>
      </c>
      <c r="I8" s="1">
        <v>0.99890709338191996</v>
      </c>
      <c r="J8" s="1">
        <v>0.99896479036991703</v>
      </c>
      <c r="K8" s="1">
        <v>1</v>
      </c>
      <c r="L8" s="1">
        <v>0.99747470453128795</v>
      </c>
      <c r="M8" s="1">
        <v>1</v>
      </c>
      <c r="N8" s="1">
        <v>1</v>
      </c>
      <c r="O8" s="1">
        <v>1</v>
      </c>
      <c r="P8" s="1">
        <v>0.99425192415222197</v>
      </c>
      <c r="Q8" s="1">
        <v>0.99893047149613301</v>
      </c>
      <c r="R8" s="1">
        <v>1</v>
      </c>
      <c r="S8" s="1">
        <v>1</v>
      </c>
      <c r="T8" s="1">
        <f t="shared" si="4"/>
        <v>0.99868203763800401</v>
      </c>
    </row>
    <row r="9" spans="1:20" ht="30" customHeight="1">
      <c r="A9" t="str">
        <f t="shared" si="3"/>
        <v>english</v>
      </c>
      <c r="B9">
        <f>_xlfn.LET(_xlpm.c,_xlfn.SINGLE(Table1[condition]),IF(RIGHT(_xlpm.c,2)="1g",1,0))</f>
        <v>1</v>
      </c>
      <c r="C9">
        <f>_xlfn.LET(_xlpm.c,_xlfn.SINGLE(Table1[condition]),_xlpm.k,CONCATENATE("*","-xsk","*"),IF(COUNTIF(_xlpm.c,_xlpm.k)&gt;0,1,0))</f>
        <v>0</v>
      </c>
      <c r="D9">
        <f>_xlfn.LET(_xlpm.c,_xlfn.SINGLE(Table1[condition]),_xlpm.k,CONCATENATE("*","-sk","*"),IF(COUNTIF(_xlpm.c,_xlpm.k)&gt;0,1,0))</f>
        <v>0</v>
      </c>
      <c r="E9">
        <f>IF(AND(Table1[[#This Row],[xsk]]=1,Table1[[#This Row],[sk]]=1),0,1)</f>
        <v>1</v>
      </c>
      <c r="F9" t="s">
        <v>16</v>
      </c>
      <c r="G9" s="1">
        <v>0.71812207633546399</v>
      </c>
      <c r="H9" s="1">
        <v>0.66870246501928299</v>
      </c>
      <c r="I9" s="1">
        <v>0</v>
      </c>
      <c r="J9" s="1"/>
      <c r="K9" s="1">
        <v>0.35129631102981401</v>
      </c>
      <c r="L9" s="1">
        <v>0</v>
      </c>
      <c r="M9" s="1">
        <v>0</v>
      </c>
      <c r="N9" s="1">
        <v>0.43618989688324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f t="shared" si="4"/>
        <v>0.18119256243898341</v>
      </c>
    </row>
    <row r="10" spans="1:20" ht="30" customHeight="1">
      <c r="A10" t="str">
        <f t="shared" si="3"/>
        <v>english</v>
      </c>
      <c r="B10">
        <f>_xlfn.LET(_xlpm.c,_xlfn.SINGLE(Table1[condition]),IF(RIGHT(_xlpm.c,2)="1g",1,0))</f>
        <v>0</v>
      </c>
      <c r="C10">
        <f>_xlfn.LET(_xlpm.c,_xlfn.SINGLE(Table1[condition]),_xlpm.k,CONCATENATE("*","-xsk","*"),IF(COUNTIF(_xlpm.c,_xlpm.k)&gt;0,1,0))</f>
        <v>0</v>
      </c>
      <c r="D10">
        <f>_xlfn.LET(_xlpm.c,_xlfn.SINGLE(Table1[condition]),_xlpm.k,CONCATENATE("*","-sk","*"),IF(COUNTIF(_xlpm.c,_xlpm.k)&gt;0,1,0))</f>
        <v>0</v>
      </c>
      <c r="E10">
        <f>IF(AND(Table1[[#This Row],[xsk]]=1,Table1[[#This Row],[sk]]=1),0,1)</f>
        <v>1</v>
      </c>
      <c r="F10" t="s">
        <v>17</v>
      </c>
      <c r="G10" s="1">
        <v>0.35504331356673502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0.33161106369843901</v>
      </c>
      <c r="N10" s="1">
        <v>0</v>
      </c>
      <c r="O10" s="1">
        <v>0</v>
      </c>
      <c r="P10" s="1">
        <v>0</v>
      </c>
      <c r="Q10" s="1"/>
      <c r="R10" s="1">
        <v>0</v>
      </c>
      <c r="S10" s="1">
        <v>0</v>
      </c>
      <c r="T10" s="1">
        <f t="shared" si="4"/>
        <v>5.7221198105431172E-2</v>
      </c>
    </row>
    <row r="11" spans="1:20" ht="30" customHeight="1">
      <c r="A11" t="str">
        <f t="shared" si="3"/>
        <v>english</v>
      </c>
      <c r="B11">
        <f>_xlfn.LET(_xlpm.c,_xlfn.SINGLE(Table1[condition]),IF(RIGHT(_xlpm.c,2)="1g",1,0))</f>
        <v>0</v>
      </c>
      <c r="C11">
        <f>_xlfn.LET(_xlpm.c,_xlfn.SINGLE(Table1[condition]),_xlpm.k,CONCATENATE("*","-xsk","*"),IF(COUNTIF(_xlpm.c,_xlpm.k)&gt;0,1,0))</f>
        <v>0</v>
      </c>
      <c r="D11">
        <f>_xlfn.LET(_xlpm.c,_xlfn.SINGLE(Table1[condition]),_xlpm.k,CONCATENATE("*","-sk","*"),IF(COUNTIF(_xlpm.c,_xlpm.k)&gt;0,1,0))</f>
        <v>0</v>
      </c>
      <c r="E11">
        <f>IF(AND(Table1[[#This Row],[xsk]]=1,Table1[[#This Row],[sk]]=1),0,1)</f>
        <v>1</v>
      </c>
      <c r="F11" t="s">
        <v>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/>
      <c r="Q11" s="1">
        <v>0</v>
      </c>
      <c r="R11" s="1">
        <v>0</v>
      </c>
      <c r="S11" s="1">
        <v>0</v>
      </c>
      <c r="T11" s="1">
        <f t="shared" si="4"/>
        <v>0</v>
      </c>
    </row>
    <row r="12" spans="1:20" ht="30" customHeight="1">
      <c r="A12" t="str">
        <f t="shared" si="3"/>
        <v>english</v>
      </c>
      <c r="B12">
        <f>_xlfn.LET(_xlpm.c,_xlfn.SINGLE(Table1[condition]),IF(RIGHT(_xlpm.c,2)="1g",1,0))</f>
        <v>0</v>
      </c>
      <c r="C12">
        <f>_xlfn.LET(_xlpm.c,_xlfn.SINGLE(Table1[condition]),_xlpm.k,CONCATENATE("*","-xsk","*"),IF(COUNTIF(_xlpm.c,_xlpm.k)&gt;0,1,0))</f>
        <v>0</v>
      </c>
      <c r="D12">
        <f>_xlfn.LET(_xlpm.c,_xlfn.SINGLE(Table1[condition]),_xlpm.k,CONCATENATE("*","-sk","*"),IF(COUNTIF(_xlpm.c,_xlpm.k)&gt;0,1,0))</f>
        <v>1</v>
      </c>
      <c r="E12">
        <f>IF(AND(Table1[[#This Row],[xsk]]=1,Table1[[#This Row],[sk]]=1),0,1)</f>
        <v>1</v>
      </c>
      <c r="F12" t="s">
        <v>19</v>
      </c>
      <c r="G12" s="1">
        <v>0</v>
      </c>
      <c r="H12" s="1">
        <v>0</v>
      </c>
      <c r="I12" s="1">
        <v>0</v>
      </c>
      <c r="J12" s="1">
        <v>0.30396612925064198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0.26400420068142899</v>
      </c>
      <c r="T12" s="1">
        <f t="shared" si="4"/>
        <v>4.3690025379390075E-2</v>
      </c>
    </row>
    <row r="13" spans="1:20" ht="30" customHeight="1">
      <c r="A13" t="str">
        <f t="shared" si="3"/>
        <v>english</v>
      </c>
      <c r="B13">
        <f>_xlfn.LET(_xlpm.c,_xlfn.SINGLE(Table1[condition]),IF(RIGHT(_xlpm.c,2)="1g",1,0))</f>
        <v>0</v>
      </c>
      <c r="C13">
        <f>_xlfn.LET(_xlpm.c,_xlfn.SINGLE(Table1[condition]),_xlpm.k,CONCATENATE("*","-xsk","*"),IF(COUNTIF(_xlpm.c,_xlpm.k)&gt;0,1,0))</f>
        <v>0</v>
      </c>
      <c r="D13">
        <f>_xlfn.LET(_xlpm.c,_xlfn.SINGLE(Table1[condition]),_xlpm.k,CONCATENATE("*","-sk","*"),IF(COUNTIF(_xlpm.c,_xlpm.k)&gt;0,1,0))</f>
        <v>1</v>
      </c>
      <c r="E13">
        <f>IF(AND(Table1[[#This Row],[xsk]]=1,Table1[[#This Row],[sk]]=1),0,1)</f>
        <v>1</v>
      </c>
      <c r="F13" t="s">
        <v>20</v>
      </c>
      <c r="G13" s="1">
        <v>0</v>
      </c>
      <c r="H13" s="1">
        <v>0.30212675068488398</v>
      </c>
      <c r="I13" s="1">
        <v>0</v>
      </c>
      <c r="J13" s="1">
        <v>0.21170170479475101</v>
      </c>
      <c r="K13" s="1">
        <v>0.241423902516819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f t="shared" si="4"/>
        <v>5.8096335230496461E-2</v>
      </c>
    </row>
    <row r="14" spans="1:20" ht="30" customHeight="1">
      <c r="A14" t="str">
        <f t="shared" si="3"/>
        <v>english</v>
      </c>
      <c r="B14">
        <f>_xlfn.LET(_xlpm.c,_xlfn.SINGLE(Table1[condition]),IF(RIGHT(_xlpm.c,2)="1g",1,0))</f>
        <v>0</v>
      </c>
      <c r="C14">
        <f>_xlfn.LET(_xlpm.c,_xlfn.SINGLE(Table1[condition]),_xlpm.k,CONCATENATE("*","-xsk","*"),IF(COUNTIF(_xlpm.c,_xlpm.k)&gt;0,1,0))</f>
        <v>1</v>
      </c>
      <c r="D14">
        <f>_xlfn.LET(_xlpm.c,_xlfn.SINGLE(Table1[condition]),_xlpm.k,CONCATENATE("*","-sk","*"),IF(COUNTIF(_xlpm.c,_xlpm.k)&gt;0,1,0))</f>
        <v>0</v>
      </c>
      <c r="E14">
        <f>IF(AND(Table1[[#This Row],[xsk]]=1,Table1[[#This Row],[sk]]=1),0,1)</f>
        <v>1</v>
      </c>
      <c r="F14" t="s">
        <v>54</v>
      </c>
      <c r="G14" s="1">
        <v>0.36061426241925298</v>
      </c>
      <c r="H14" s="1">
        <v>0</v>
      </c>
      <c r="I14" s="1">
        <v>0.41581432092866</v>
      </c>
      <c r="J14" s="1">
        <v>0</v>
      </c>
      <c r="K14" s="1">
        <v>0</v>
      </c>
      <c r="L14" s="1">
        <v>0.23788060344658801</v>
      </c>
      <c r="M14" s="1"/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f t="shared" si="4"/>
        <v>8.452576556620843E-2</v>
      </c>
    </row>
    <row r="15" spans="1:20" ht="30" customHeight="1">
      <c r="A15" t="str">
        <f t="shared" si="3"/>
        <v>english</v>
      </c>
      <c r="B15">
        <f>_xlfn.LET(_xlpm.c,_xlfn.SINGLE(Table1[condition]),IF(RIGHT(_xlpm.c,2)="1g",1,0))</f>
        <v>0</v>
      </c>
      <c r="C15">
        <f>_xlfn.LET(_xlpm.c,_xlfn.SINGLE(Table1[condition]),_xlpm.k,CONCATENATE("*","-xsk","*"),IF(COUNTIF(_xlpm.c,_xlpm.k)&gt;0,1,0))</f>
        <v>1</v>
      </c>
      <c r="D15">
        <f>_xlfn.LET(_xlpm.c,_xlfn.SINGLE(Table1[condition]),_xlpm.k,CONCATENATE("*","-sk","*"),IF(COUNTIF(_xlpm.c,_xlpm.k)&gt;0,1,0))</f>
        <v>0</v>
      </c>
      <c r="E15">
        <f>IF(AND(Table1[[#This Row],[xsk]]=1,Table1[[#This Row],[sk]]=1),0,1)</f>
        <v>1</v>
      </c>
      <c r="F15" t="s">
        <v>55</v>
      </c>
      <c r="G15" s="1">
        <v>0</v>
      </c>
      <c r="H15" s="1">
        <v>0.43934314382883199</v>
      </c>
      <c r="I15" s="1">
        <v>0.22109704625866</v>
      </c>
      <c r="J15" s="1">
        <v>0.35098686279489399</v>
      </c>
      <c r="K15" s="1">
        <v>0.73684210526315697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f t="shared" si="4"/>
        <v>0.13448224293427252</v>
      </c>
    </row>
    <row r="16" spans="1:20" ht="30" customHeight="1">
      <c r="A16" t="str">
        <f t="shared" si="3"/>
        <v>french</v>
      </c>
      <c r="B16">
        <f>_xlfn.LET(_xlpm.c,_xlfn.SINGLE(Table1[condition]),IF(RIGHT(_xlpm.c,2)="1g",1,0))</f>
        <v>1</v>
      </c>
      <c r="C16">
        <f>_xlfn.LET(_xlpm.c,_xlfn.SINGLE(Table1[condition]),_xlpm.k,CONCATENATE("*","-xsk","*"),IF(COUNTIF(_xlpm.c,_xlpm.k)&gt;0,1,0))</f>
        <v>0</v>
      </c>
      <c r="D16">
        <f>_xlfn.LET(_xlpm.c,_xlfn.SINGLE(Table1[condition]),_xlpm.k,CONCATENATE("*","-sk","*"),IF(COUNTIF(_xlpm.c,_xlpm.k)&gt;0,1,0))</f>
        <v>0</v>
      </c>
      <c r="E16">
        <f>IF(AND(Table1[[#This Row],[xsk]]=1,Table1[[#This Row],[sk]]=1),0,1)</f>
        <v>1</v>
      </c>
      <c r="F16" t="s">
        <v>21</v>
      </c>
      <c r="G16" s="1">
        <v>0.90020481547525899</v>
      </c>
      <c r="H16" s="1">
        <v>0.61553191721581302</v>
      </c>
      <c r="I16" s="1">
        <v>0.496404821701663</v>
      </c>
      <c r="J16" s="1">
        <v>0.82596482389853498</v>
      </c>
      <c r="K16" s="1">
        <v>0</v>
      </c>
      <c r="L16" s="1">
        <v>0.35870887153790898</v>
      </c>
      <c r="M16" s="1">
        <v>0.47299346036460099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f t="shared" si="4"/>
        <v>0.28229297770721384</v>
      </c>
    </row>
    <row r="17" spans="1:20" ht="30" customHeight="1">
      <c r="A17" t="str">
        <f t="shared" si="3"/>
        <v>french</v>
      </c>
      <c r="B17">
        <f>_xlfn.LET(_xlpm.c,_xlfn.SINGLE(Table1[condition]),IF(RIGHT(_xlpm.c,2)="1g",1,0))</f>
        <v>0</v>
      </c>
      <c r="C17">
        <f>_xlfn.LET(_xlpm.c,_xlfn.SINGLE(Table1[condition]),_xlpm.k,CONCATENATE("*","-xsk","*"),IF(COUNTIF(_xlpm.c,_xlpm.k)&gt;0,1,0))</f>
        <v>0</v>
      </c>
      <c r="D17">
        <f>_xlfn.LET(_xlpm.c,_xlfn.SINGLE(Table1[condition]),_xlpm.k,CONCATENATE("*","-sk","*"),IF(COUNTIF(_xlpm.c,_xlpm.k)&gt;0,1,0))</f>
        <v>0</v>
      </c>
      <c r="E17">
        <f>IF(AND(Table1[[#This Row],[xsk]]=1,Table1[[#This Row],[sk]]=1),0,1)</f>
        <v>1</v>
      </c>
      <c r="F17" t="s">
        <v>22</v>
      </c>
      <c r="G17" s="1">
        <v>0.42286296927403899</v>
      </c>
      <c r="H17" s="1">
        <v>0.35858183470034499</v>
      </c>
      <c r="I17" s="1">
        <v>0.30602954673839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f t="shared" si="4"/>
        <v>8.3651873131751847E-2</v>
      </c>
    </row>
    <row r="18" spans="1:20" ht="30" customHeight="1">
      <c r="A18" t="str">
        <f t="shared" si="3"/>
        <v>french</v>
      </c>
      <c r="B18">
        <f>_xlfn.LET(_xlpm.c,_xlfn.SINGLE(Table1[condition]),IF(RIGHT(_xlpm.c,2)="1g",1,0))</f>
        <v>0</v>
      </c>
      <c r="C18">
        <f>_xlfn.LET(_xlpm.c,_xlfn.SINGLE(Table1[condition]),_xlpm.k,CONCATENATE("*","-xsk","*"),IF(COUNTIF(_xlpm.c,_xlpm.k)&gt;0,1,0))</f>
        <v>0</v>
      </c>
      <c r="D18">
        <f>_xlfn.LET(_xlpm.c,_xlfn.SINGLE(Table1[condition]),_xlpm.k,CONCATENATE("*","-sk","*"),IF(COUNTIF(_xlpm.c,_xlpm.k)&gt;0,1,0))</f>
        <v>0</v>
      </c>
      <c r="E18">
        <f>IF(AND(Table1[[#This Row],[xsk]]=1,Table1[[#This Row],[sk]]=1),0,1)</f>
        <v>1</v>
      </c>
      <c r="F18" t="s">
        <v>23</v>
      </c>
      <c r="G18" s="1">
        <v>0.30550549676412098</v>
      </c>
      <c r="H18" s="1">
        <v>0</v>
      </c>
      <c r="I18" s="1">
        <v>0</v>
      </c>
      <c r="J18" s="1">
        <v>0.31448562005799002</v>
      </c>
      <c r="K18" s="1">
        <v>0</v>
      </c>
      <c r="L18" s="1">
        <v>0</v>
      </c>
      <c r="M18" s="1">
        <v>0</v>
      </c>
      <c r="N18" s="1">
        <v>0.26198464588448001</v>
      </c>
      <c r="O18" s="1">
        <v>0.73076923076922995</v>
      </c>
      <c r="P18" s="1">
        <v>0</v>
      </c>
      <c r="Q18" s="1">
        <v>0</v>
      </c>
      <c r="R18" s="1">
        <v>0</v>
      </c>
      <c r="S18" s="1">
        <v>0</v>
      </c>
      <c r="T18" s="1">
        <f t="shared" si="4"/>
        <v>0.12405730719044776</v>
      </c>
    </row>
    <row r="19" spans="1:20" ht="30" customHeight="1">
      <c r="A19" t="str">
        <f t="shared" si="3"/>
        <v>french</v>
      </c>
      <c r="B19">
        <f>_xlfn.LET(_xlpm.c,_xlfn.SINGLE(Table1[condition]),IF(RIGHT(_xlpm.c,2)="1g",1,0))</f>
        <v>0</v>
      </c>
      <c r="C19">
        <f>_xlfn.LET(_xlpm.c,_xlfn.SINGLE(Table1[condition]),_xlpm.k,CONCATENATE("*","-xsk","*"),IF(COUNTIF(_xlpm.c,_xlpm.k)&gt;0,1,0))</f>
        <v>0</v>
      </c>
      <c r="D19">
        <f>_xlfn.LET(_xlpm.c,_xlfn.SINGLE(Table1[condition]),_xlpm.k,CONCATENATE("*","-sk","*"),IF(COUNTIF(_xlpm.c,_xlpm.k)&gt;0,1,0))</f>
        <v>1</v>
      </c>
      <c r="E19">
        <f>IF(AND(Table1[[#This Row],[xsk]]=1,Table1[[#This Row],[sk]]=1),0,1)</f>
        <v>1</v>
      </c>
      <c r="F19" t="s">
        <v>24</v>
      </c>
      <c r="G19" s="1">
        <v>0</v>
      </c>
      <c r="H19" s="1">
        <v>0.49470528869244501</v>
      </c>
      <c r="I19" s="1">
        <v>0.33370328369546298</v>
      </c>
      <c r="J19" s="1">
        <v>0</v>
      </c>
      <c r="K19" s="1">
        <v>0</v>
      </c>
      <c r="L19" s="1">
        <v>0</v>
      </c>
      <c r="M19" s="1">
        <v>0</v>
      </c>
      <c r="N19" s="1"/>
      <c r="O19" s="1">
        <v>0</v>
      </c>
      <c r="P19" s="1">
        <v>0</v>
      </c>
      <c r="Q19" s="1">
        <v>0</v>
      </c>
      <c r="R19" s="1"/>
      <c r="S19" s="1">
        <v>0</v>
      </c>
      <c r="T19" s="1">
        <f t="shared" si="4"/>
        <v>7.5309870217082547E-2</v>
      </c>
    </row>
    <row r="20" spans="1:20" ht="30" customHeight="1">
      <c r="A20" t="str">
        <f t="shared" si="3"/>
        <v>french</v>
      </c>
      <c r="B20">
        <f>_xlfn.LET(_xlpm.c,_xlfn.SINGLE(Table1[condition]),IF(RIGHT(_xlpm.c,2)="1g",1,0))</f>
        <v>0</v>
      </c>
      <c r="C20">
        <f>_xlfn.LET(_xlpm.c,_xlfn.SINGLE(Table1[condition]),_xlpm.k,CONCATENATE("*","-xsk","*"),IF(COUNTIF(_xlpm.c,_xlpm.k)&gt;0,1,0))</f>
        <v>0</v>
      </c>
      <c r="D20">
        <f>_xlfn.LET(_xlpm.c,_xlfn.SINGLE(Table1[condition]),_xlpm.k,CONCATENATE("*","-sk","*"),IF(COUNTIF(_xlpm.c,_xlpm.k)&gt;0,1,0))</f>
        <v>1</v>
      </c>
      <c r="E20">
        <f>IF(AND(Table1[[#This Row],[xsk]]=1,Table1[[#This Row],[sk]]=1),0,1)</f>
        <v>1</v>
      </c>
      <c r="F20" t="s">
        <v>25</v>
      </c>
      <c r="G20" s="1">
        <v>0</v>
      </c>
      <c r="H20" s="1">
        <v>0</v>
      </c>
      <c r="I20" s="1">
        <v>0.20308993008735199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0.42880257346403899</v>
      </c>
      <c r="S20" s="1">
        <v>0</v>
      </c>
      <c r="T20" s="1">
        <f t="shared" si="4"/>
        <v>4.86071156577993E-2</v>
      </c>
    </row>
    <row r="21" spans="1:20" ht="30" customHeight="1">
      <c r="A21" t="str">
        <f t="shared" si="3"/>
        <v>french</v>
      </c>
      <c r="B21">
        <f>_xlfn.LET(_xlpm.c,_xlfn.SINGLE(Table1[condition]),IF(RIGHT(_xlpm.c,2)="1g",1,0))</f>
        <v>0</v>
      </c>
      <c r="C21">
        <f>_xlfn.LET(_xlpm.c,_xlfn.SINGLE(Table1[condition]),_xlpm.k,CONCATENATE("*","-xsk","*"),IF(COUNTIF(_xlpm.c,_xlpm.k)&gt;0,1,0))</f>
        <v>1</v>
      </c>
      <c r="D21">
        <f>_xlfn.LET(_xlpm.c,_xlfn.SINGLE(Table1[condition]),_xlpm.k,CONCATENATE("*","-sk","*"),IF(COUNTIF(_xlpm.c,_xlpm.k)&gt;0,1,0))</f>
        <v>0</v>
      </c>
      <c r="E21">
        <f>IF(AND(Table1[[#This Row],[xsk]]=1,Table1[[#This Row],[sk]]=1),0,1)</f>
        <v>1</v>
      </c>
      <c r="F21" t="s">
        <v>56</v>
      </c>
      <c r="G21" s="1">
        <v>0.39631206134638203</v>
      </c>
      <c r="H21" s="1">
        <v>0</v>
      </c>
      <c r="I21" s="1">
        <v>0.33952413344712501</v>
      </c>
      <c r="J21" s="1">
        <v>0</v>
      </c>
      <c r="K21" s="1">
        <v>0</v>
      </c>
      <c r="L21" s="1">
        <v>0.26624591097417</v>
      </c>
      <c r="M21" s="1">
        <v>0</v>
      </c>
      <c r="N21" s="1">
        <v>0</v>
      </c>
      <c r="O21" s="1">
        <v>0</v>
      </c>
      <c r="P21" s="1">
        <v>0</v>
      </c>
      <c r="Q21" s="1">
        <v>0.33636549179724601</v>
      </c>
      <c r="R21" s="1">
        <v>0</v>
      </c>
      <c r="S21" s="1">
        <v>0</v>
      </c>
      <c r="T21" s="1">
        <f t="shared" si="4"/>
        <v>0.10295750750499408</v>
      </c>
    </row>
    <row r="22" spans="1:20" ht="30" customHeight="1">
      <c r="A22" t="str">
        <f t="shared" si="3"/>
        <v>french</v>
      </c>
      <c r="B22">
        <f>_xlfn.LET(_xlpm.c,_xlfn.SINGLE(Table1[condition]),IF(RIGHT(_xlpm.c,2)="1g",1,0))</f>
        <v>0</v>
      </c>
      <c r="C22">
        <f>_xlfn.LET(_xlpm.c,_xlfn.SINGLE(Table1[condition]),_xlpm.k,CONCATENATE("*","-xsk","*"),IF(COUNTIF(_xlpm.c,_xlpm.k)&gt;0,1,0))</f>
        <v>1</v>
      </c>
      <c r="D22">
        <f>_xlfn.LET(_xlpm.c,_xlfn.SINGLE(Table1[condition]),_xlpm.k,CONCATENATE("*","-sk","*"),IF(COUNTIF(_xlpm.c,_xlpm.k)&gt;0,1,0))</f>
        <v>0</v>
      </c>
      <c r="E22">
        <f>IF(AND(Table1[[#This Row],[xsk]]=1,Table1[[#This Row],[sk]]=1),0,1)</f>
        <v>1</v>
      </c>
      <c r="F22" t="s">
        <v>57</v>
      </c>
      <c r="G22" s="1">
        <v>0.42885656766685298</v>
      </c>
      <c r="H22" s="1">
        <v>0.30620425118785399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0.29142296057399297</v>
      </c>
      <c r="S22" s="1">
        <v>0</v>
      </c>
      <c r="T22" s="1">
        <f t="shared" si="4"/>
        <v>7.8960290725284626E-2</v>
      </c>
    </row>
    <row r="23" spans="1:20" ht="30" customHeight="1">
      <c r="A23" t="str">
        <f t="shared" si="3"/>
        <v>finnish</v>
      </c>
      <c r="B23">
        <f>_xlfn.LET(_xlpm.c,_xlfn.SINGLE(Table1[condition]),IF(RIGHT(_xlpm.c,2)="1g",1,0))</f>
        <v>1</v>
      </c>
      <c r="C23">
        <f>_xlfn.LET(_xlpm.c,_xlfn.SINGLE(Table1[condition]),_xlpm.k,CONCATENATE("*","-xsk","*"),IF(COUNTIF(_xlpm.c,_xlpm.k)&gt;0,1,0))</f>
        <v>0</v>
      </c>
      <c r="D23">
        <f>_xlfn.LET(_xlpm.c,_xlfn.SINGLE(Table1[condition]),_xlpm.k,CONCATENATE("*","-sk","*"),IF(COUNTIF(_xlpm.c,_xlpm.k)&gt;0,1,0))</f>
        <v>0</v>
      </c>
      <c r="E23">
        <f>IF(AND(Table1[[#This Row],[xsk]]=1,Table1[[#This Row],[sk]]=1),0,1)</f>
        <v>1</v>
      </c>
      <c r="F23" t="s">
        <v>58</v>
      </c>
      <c r="G23" s="1">
        <v>0.70350820729616603</v>
      </c>
      <c r="H23" s="1">
        <v>0.92420869755966095</v>
      </c>
      <c r="I23" s="1">
        <v>0.54279037597867297</v>
      </c>
      <c r="J23" s="1">
        <v>0.40255450955602701</v>
      </c>
      <c r="K23" s="1">
        <v>0.236440371574206</v>
      </c>
      <c r="L23" s="1">
        <v>0.25327379573554498</v>
      </c>
      <c r="M23" s="1">
        <v>0.40991838973445999</v>
      </c>
      <c r="N23" s="1">
        <v>0.28590545363069397</v>
      </c>
      <c r="O23" s="1">
        <v>0.265597155218113</v>
      </c>
      <c r="P23" s="1">
        <v>0.463286262008482</v>
      </c>
      <c r="Q23" s="1">
        <v>0.52733261923081698</v>
      </c>
      <c r="R23" s="1">
        <v>0.49725266430930298</v>
      </c>
      <c r="S23" s="1">
        <v>0.31421595719482098</v>
      </c>
      <c r="T23" s="1">
        <f t="shared" si="4"/>
        <v>0.44817572761745911</v>
      </c>
    </row>
    <row r="24" spans="1:20" ht="30" customHeight="1">
      <c r="A24" t="str">
        <f t="shared" si="3"/>
        <v>finnish</v>
      </c>
      <c r="B24">
        <f>_xlfn.LET(_xlpm.c,_xlfn.SINGLE(Table1[condition]),IF(RIGHT(_xlpm.c,2)="1g",1,0))</f>
        <v>0</v>
      </c>
      <c r="C24">
        <f>_xlfn.LET(_xlpm.c,_xlfn.SINGLE(Table1[condition]),_xlpm.k,CONCATENATE("*","-xsk","*"),IF(COUNTIF(_xlpm.c,_xlpm.k)&gt;0,1,0))</f>
        <v>0</v>
      </c>
      <c r="D24">
        <f>_xlfn.LET(_xlpm.c,_xlfn.SINGLE(Table1[condition]),_xlpm.k,CONCATENATE("*","-sk","*"),IF(COUNTIF(_xlpm.c,_xlpm.k)&gt;0,1,0))</f>
        <v>0</v>
      </c>
      <c r="E24">
        <f>IF(AND(Table1[[#This Row],[xsk]]=1,Table1[[#This Row],[sk]]=1),0,1)</f>
        <v>1</v>
      </c>
      <c r="F24" t="s">
        <v>59</v>
      </c>
      <c r="G24" s="1">
        <v>0.440527537048225</v>
      </c>
      <c r="H24" s="1">
        <v>0.395980934031193</v>
      </c>
      <c r="I24" s="1">
        <v>0.44744171191417798</v>
      </c>
      <c r="J24" s="1">
        <v>0.57688830195278495</v>
      </c>
      <c r="K24" s="1">
        <v>0.230142352057112</v>
      </c>
      <c r="L24" s="1">
        <v>0.21308687332041201</v>
      </c>
      <c r="M24" s="1">
        <v>0.52651932128345602</v>
      </c>
      <c r="N24" s="1">
        <v>0.34476246383299802</v>
      </c>
      <c r="O24" s="1">
        <v>0.65379806358868797</v>
      </c>
      <c r="P24" s="1">
        <v>0.35735532488141603</v>
      </c>
      <c r="Q24" s="1">
        <v>0</v>
      </c>
      <c r="R24" s="1">
        <v>0.36190043306230901</v>
      </c>
      <c r="S24" s="1">
        <v>0.36689092541363699</v>
      </c>
      <c r="T24" s="1">
        <f t="shared" si="4"/>
        <v>0.37809955710664689</v>
      </c>
    </row>
    <row r="25" spans="1:20" ht="30" customHeight="1">
      <c r="A25" t="str">
        <f t="shared" si="3"/>
        <v>finnish</v>
      </c>
      <c r="B25">
        <f>_xlfn.LET(_xlpm.c,_xlfn.SINGLE(Table1[condition]),IF(RIGHT(_xlpm.c,2)="1g",1,0))</f>
        <v>0</v>
      </c>
      <c r="C25">
        <f>_xlfn.LET(_xlpm.c,_xlfn.SINGLE(Table1[condition]),_xlpm.k,CONCATENATE("*","-xsk","*"),IF(COUNTIF(_xlpm.c,_xlpm.k)&gt;0,1,0))</f>
        <v>0</v>
      </c>
      <c r="D25">
        <f>_xlfn.LET(_xlpm.c,_xlfn.SINGLE(Table1[condition]),_xlpm.k,CONCATENATE("*","-sk","*"),IF(COUNTIF(_xlpm.c,_xlpm.k)&gt;0,1,0))</f>
        <v>0</v>
      </c>
      <c r="E25">
        <f>IF(AND(Table1[[#This Row],[xsk]]=1,Table1[[#This Row],[sk]]=1),0,1)</f>
        <v>1</v>
      </c>
      <c r="F25" t="s">
        <v>60</v>
      </c>
      <c r="G25" s="1">
        <v>0.49169543945098798</v>
      </c>
      <c r="H25" s="1">
        <v>0.42717391620587902</v>
      </c>
      <c r="I25" s="1">
        <v>0.398762007899854</v>
      </c>
      <c r="J25" s="1">
        <v>0.45930535177634801</v>
      </c>
      <c r="K25" s="1">
        <v>0.332344032696542</v>
      </c>
      <c r="L25" s="1">
        <v>0.39173799503362899</v>
      </c>
      <c r="M25" s="1">
        <v>0.52657793526712604</v>
      </c>
      <c r="N25" s="1">
        <v>0.47100838281942098</v>
      </c>
      <c r="O25" s="1">
        <v>0.53627577166278295</v>
      </c>
      <c r="P25" s="1">
        <v>0.94623655913978399</v>
      </c>
      <c r="Q25" s="1">
        <v>0.36476640620419298</v>
      </c>
      <c r="R25" s="1">
        <v>0</v>
      </c>
      <c r="S25" s="1">
        <v>0</v>
      </c>
      <c r="T25" s="1">
        <f t="shared" si="4"/>
        <v>0.41122183062742668</v>
      </c>
    </row>
    <row r="26" spans="1:20" ht="30" customHeight="1">
      <c r="A26" t="str">
        <f t="shared" si="3"/>
        <v>finnish</v>
      </c>
      <c r="B26">
        <f>_xlfn.LET(_xlpm.c,_xlfn.SINGLE(Table1[condition]),IF(RIGHT(_xlpm.c,2)="1g",1,0))</f>
        <v>0</v>
      </c>
      <c r="C26">
        <f>_xlfn.LET(_xlpm.c,_xlfn.SINGLE(Table1[condition]),_xlpm.k,CONCATENATE("*","-xsk","*"),IF(COUNTIF(_xlpm.c,_xlpm.k)&gt;0,1,0))</f>
        <v>0</v>
      </c>
      <c r="D26">
        <f>_xlfn.LET(_xlpm.c,_xlfn.SINGLE(Table1[condition]),_xlpm.k,CONCATENATE("*","-sk","*"),IF(COUNTIF(_xlpm.c,_xlpm.k)&gt;0,1,0))</f>
        <v>1</v>
      </c>
      <c r="E26">
        <f>IF(AND(Table1[[#This Row],[xsk]]=1,Table1[[#This Row],[sk]]=1),0,1)</f>
        <v>1</v>
      </c>
      <c r="F26" t="s">
        <v>61</v>
      </c>
      <c r="G26" s="1">
        <v>0.672072662779026</v>
      </c>
      <c r="H26" s="1">
        <v>0</v>
      </c>
      <c r="I26" s="1">
        <v>0.38493114756464603</v>
      </c>
      <c r="J26" s="1">
        <v>0.340614127878274</v>
      </c>
      <c r="K26" s="1">
        <v>0.40254325842798899</v>
      </c>
      <c r="L26" s="1">
        <v>0.51515871476759401</v>
      </c>
      <c r="M26" s="1">
        <v>0.41734370216373801</v>
      </c>
      <c r="N26" s="1">
        <v>0.26579998391776299</v>
      </c>
      <c r="O26" s="1">
        <v>0.31561626570401702</v>
      </c>
      <c r="P26" s="1">
        <v>0.39205905183093698</v>
      </c>
      <c r="Q26" s="1">
        <v>0.29421424813302199</v>
      </c>
      <c r="R26" s="1"/>
      <c r="S26" s="1">
        <v>0.51586146825385304</v>
      </c>
      <c r="T26" s="1">
        <f t="shared" si="4"/>
        <v>0.37635121928507159</v>
      </c>
    </row>
    <row r="27" spans="1:20" ht="30" customHeight="1">
      <c r="A27" t="str">
        <f t="shared" si="3"/>
        <v>finnish</v>
      </c>
      <c r="B27">
        <f>_xlfn.LET(_xlpm.c,_xlfn.SINGLE(Table1[condition]),IF(RIGHT(_xlpm.c,2)="1g",1,0))</f>
        <v>0</v>
      </c>
      <c r="C27">
        <f>_xlfn.LET(_xlpm.c,_xlfn.SINGLE(Table1[condition]),_xlpm.k,CONCATENATE("*","-xsk","*"),IF(COUNTIF(_xlpm.c,_xlpm.k)&gt;0,1,0))</f>
        <v>0</v>
      </c>
      <c r="D27">
        <f>_xlfn.LET(_xlpm.c,_xlfn.SINGLE(Table1[condition]),_xlpm.k,CONCATENATE("*","-sk","*"),IF(COUNTIF(_xlpm.c,_xlpm.k)&gt;0,1,0))</f>
        <v>1</v>
      </c>
      <c r="E27">
        <f>IF(AND(Table1[[#This Row],[xsk]]=1,Table1[[#This Row],[sk]]=1),0,1)</f>
        <v>1</v>
      </c>
      <c r="F27" t="s">
        <v>62</v>
      </c>
      <c r="G27" s="1">
        <v>0.44475676522478103</v>
      </c>
      <c r="H27" s="1">
        <v>0.43511929375051001</v>
      </c>
      <c r="I27" s="1">
        <v>0.575861967155195</v>
      </c>
      <c r="J27" s="1">
        <v>0.65620905321946399</v>
      </c>
      <c r="K27" s="1">
        <v>0.30067707495139701</v>
      </c>
      <c r="L27" s="1">
        <v>0.39647631728645899</v>
      </c>
      <c r="M27" s="1">
        <v>0.36895622470030998</v>
      </c>
      <c r="N27" s="1">
        <v>0.42161601212811101</v>
      </c>
      <c r="O27" s="1">
        <v>0.97260273972602695</v>
      </c>
      <c r="P27" s="1">
        <v>0.29082630056300501</v>
      </c>
      <c r="Q27" s="1">
        <v>0.50492103627641305</v>
      </c>
      <c r="R27" s="1">
        <v>0.32873407182034398</v>
      </c>
      <c r="S27" s="1">
        <v>0.51974374974367898</v>
      </c>
      <c r="T27" s="1">
        <f t="shared" si="4"/>
        <v>0.47819235434966889</v>
      </c>
    </row>
    <row r="28" spans="1:20" ht="30" customHeight="1">
      <c r="A28" t="str">
        <f t="shared" si="3"/>
        <v>finnish</v>
      </c>
      <c r="B28">
        <f>_xlfn.LET(_xlpm.c,_xlfn.SINGLE(Table1[condition]),IF(RIGHT(_xlpm.c,2)="1g",1,0))</f>
        <v>0</v>
      </c>
      <c r="C28">
        <f>_xlfn.LET(_xlpm.c,_xlfn.SINGLE(Table1[condition]),_xlpm.k,CONCATENATE("*","-xsk","*"),IF(COUNTIF(_xlpm.c,_xlpm.k)&gt;0,1,0))</f>
        <v>1</v>
      </c>
      <c r="D28">
        <f>_xlfn.LET(_xlpm.c,_xlfn.SINGLE(Table1[condition]),_xlpm.k,CONCATENATE("*","-sk","*"),IF(COUNTIF(_xlpm.c,_xlpm.k)&gt;0,1,0))</f>
        <v>0</v>
      </c>
      <c r="E28">
        <f>IF(AND(Table1[[#This Row],[xsk]]=1,Table1[[#This Row],[sk]]=1),0,1)</f>
        <v>1</v>
      </c>
      <c r="F28" t="s">
        <v>63</v>
      </c>
      <c r="G28" s="1">
        <v>0.44399180947244898</v>
      </c>
      <c r="H28" s="1">
        <v>0.32257756084960498</v>
      </c>
      <c r="I28" s="1">
        <v>0.56414355150717999</v>
      </c>
      <c r="J28" s="1">
        <v>0.59090350281600301</v>
      </c>
      <c r="K28" s="1">
        <v>0.51721213282527101</v>
      </c>
      <c r="L28" s="1">
        <v>0.32036362695082299</v>
      </c>
      <c r="M28" s="1">
        <v>0.96875</v>
      </c>
      <c r="N28" s="1">
        <v>0.51826358533993699</v>
      </c>
      <c r="O28" s="1">
        <v>0.461363366560257</v>
      </c>
      <c r="P28" s="1">
        <v>0.36192443143323899</v>
      </c>
      <c r="Q28" s="1">
        <v>0.37392952051707401</v>
      </c>
      <c r="R28" s="1">
        <v>0.49377833720624997</v>
      </c>
      <c r="S28" s="1">
        <v>0.40098963191510201</v>
      </c>
      <c r="T28" s="1">
        <f t="shared" si="4"/>
        <v>0.48755315826101459</v>
      </c>
    </row>
    <row r="29" spans="1:20" ht="30" customHeight="1">
      <c r="A29" t="str">
        <f t="shared" si="3"/>
        <v>finnish</v>
      </c>
      <c r="B29">
        <f>_xlfn.LET(_xlpm.c,_xlfn.SINGLE(Table1[condition]),IF(RIGHT(_xlpm.c,2)="1g",1,0))</f>
        <v>0</v>
      </c>
      <c r="C29">
        <f>_xlfn.LET(_xlpm.c,_xlfn.SINGLE(Table1[condition]),_xlpm.k,CONCATENATE("*","-xsk","*"),IF(COUNTIF(_xlpm.c,_xlpm.k)&gt;0,1,0))</f>
        <v>1</v>
      </c>
      <c r="D29">
        <f>_xlfn.LET(_xlpm.c,_xlfn.SINGLE(Table1[condition]),_xlpm.k,CONCATENATE("*","-sk","*"),IF(COUNTIF(_xlpm.c,_xlpm.k)&gt;0,1,0))</f>
        <v>0</v>
      </c>
      <c r="E29">
        <f>IF(AND(Table1[[#This Row],[xsk]]=1,Table1[[#This Row],[sk]]=1),0,1)</f>
        <v>1</v>
      </c>
      <c r="F29" t="s">
        <v>64</v>
      </c>
      <c r="G29" s="1">
        <v>0.44381670882547503</v>
      </c>
      <c r="H29" s="1">
        <v>0.48606784971554401</v>
      </c>
      <c r="I29" s="1">
        <v>0.50385417698411505</v>
      </c>
      <c r="J29" s="1">
        <v>0.40488230931073999</v>
      </c>
      <c r="K29" s="1">
        <v>0.94505494505494503</v>
      </c>
      <c r="L29" s="1">
        <v>0.32942760621599299</v>
      </c>
      <c r="M29" s="1">
        <v>0.9</v>
      </c>
      <c r="N29" s="1">
        <v>0.94995682201354903</v>
      </c>
      <c r="O29" s="1">
        <v>0.62510901381133499</v>
      </c>
      <c r="P29" s="1">
        <v>0.29407265707774399</v>
      </c>
      <c r="Q29" s="1">
        <v>0.29232010442386702</v>
      </c>
      <c r="R29" s="1">
        <v>0.30312556830806803</v>
      </c>
      <c r="S29" s="1">
        <v>0.59581363275100396</v>
      </c>
      <c r="T29" s="1">
        <f t="shared" si="4"/>
        <v>0.54411549188402919</v>
      </c>
    </row>
    <row r="30" spans="1:20" ht="30" customHeight="1">
      <c r="A30" t="str">
        <f t="shared" si="3"/>
        <v>german</v>
      </c>
      <c r="B30">
        <f>_xlfn.LET(_xlpm.c,_xlfn.SINGLE(Table1[condition]),IF(RIGHT(_xlpm.c,2)="1g",1,0))</f>
        <v>1</v>
      </c>
      <c r="C30">
        <f>_xlfn.LET(_xlpm.c,_xlfn.SINGLE(Table1[condition]),_xlpm.k,CONCATENATE("*","-xsk","*"),IF(COUNTIF(_xlpm.c,_xlpm.k)&gt;0,1,0))</f>
        <v>0</v>
      </c>
      <c r="D30">
        <f>_xlfn.LET(_xlpm.c,_xlfn.SINGLE(Table1[condition]),_xlpm.k,CONCATENATE("*","-sk","*"),IF(COUNTIF(_xlpm.c,_xlpm.k)&gt;0,1,0))</f>
        <v>0</v>
      </c>
      <c r="E30">
        <f>IF(AND(Table1[[#This Row],[xsk]]=1,Table1[[#This Row],[sk]]=1),0,1)</f>
        <v>1</v>
      </c>
      <c r="F30" t="s">
        <v>26</v>
      </c>
      <c r="G30" s="1">
        <v>0.63757969819251703</v>
      </c>
      <c r="H30" s="1">
        <v>1</v>
      </c>
      <c r="I30" s="1">
        <v>0.56291369037426897</v>
      </c>
      <c r="J30" s="1">
        <v>0.454642264422777</v>
      </c>
      <c r="K30" s="1">
        <v>0.30532163904286203</v>
      </c>
      <c r="L30" s="1">
        <v>0.34419555613011499</v>
      </c>
      <c r="M30" s="1">
        <v>0.58775075143842304</v>
      </c>
      <c r="N30" s="1">
        <v>0.337175383724021</v>
      </c>
      <c r="O30" s="1">
        <v>0.28965287187636102</v>
      </c>
      <c r="P30" s="1">
        <v>1</v>
      </c>
      <c r="Q30" s="1">
        <v>0</v>
      </c>
      <c r="R30" s="1">
        <v>0.34656778509751102</v>
      </c>
      <c r="S30" s="1">
        <v>0</v>
      </c>
      <c r="T30" s="1">
        <f t="shared" si="4"/>
        <v>0.45121535694606585</v>
      </c>
    </row>
    <row r="31" spans="1:20" ht="30" customHeight="1">
      <c r="A31" t="str">
        <f t="shared" si="3"/>
        <v>german</v>
      </c>
      <c r="B31">
        <f>_xlfn.LET(_xlpm.c,_xlfn.SINGLE(Table1[condition]),IF(RIGHT(_xlpm.c,2)="1g",1,0))</f>
        <v>0</v>
      </c>
      <c r="C31">
        <f>_xlfn.LET(_xlpm.c,_xlfn.SINGLE(Table1[condition]),_xlpm.k,CONCATENATE("*","-xsk","*"),IF(COUNTIF(_xlpm.c,_xlpm.k)&gt;0,1,0))</f>
        <v>0</v>
      </c>
      <c r="D31">
        <f>_xlfn.LET(_xlpm.c,_xlfn.SINGLE(Table1[condition]),_xlpm.k,CONCATENATE("*","-sk","*"),IF(COUNTIF(_xlpm.c,_xlpm.k)&gt;0,1,0))</f>
        <v>0</v>
      </c>
      <c r="E31">
        <f>IF(AND(Table1[[#This Row],[xsk]]=1,Table1[[#This Row],[sk]]=1),0,1)</f>
        <v>1</v>
      </c>
      <c r="F31" t="s">
        <v>27</v>
      </c>
      <c r="G31" s="1">
        <v>0.44699225202221499</v>
      </c>
      <c r="H31" s="1">
        <v>0.46296009130766802</v>
      </c>
      <c r="I31" s="1">
        <v>0.18760455453714001</v>
      </c>
      <c r="J31" s="1">
        <v>0.50498057382700401</v>
      </c>
      <c r="K31" s="1">
        <v>1</v>
      </c>
      <c r="L31" s="1">
        <v>0.40736781608237799</v>
      </c>
      <c r="M31" s="1">
        <v>0.30964533594450599</v>
      </c>
      <c r="N31" s="1">
        <v>0.37300026897400002</v>
      </c>
      <c r="O31" s="1">
        <v>0.49083461764588499</v>
      </c>
      <c r="P31" s="1">
        <v>0.468784275941731</v>
      </c>
      <c r="Q31" s="1"/>
      <c r="R31" s="1">
        <v>0.34853485641138698</v>
      </c>
      <c r="S31" s="1">
        <v>0.43002856002741702</v>
      </c>
      <c r="T31" s="1">
        <f t="shared" si="4"/>
        <v>0.4525611002267777</v>
      </c>
    </row>
    <row r="32" spans="1:20" ht="30" customHeight="1">
      <c r="A32" t="str">
        <f t="shared" si="3"/>
        <v>german</v>
      </c>
      <c r="B32">
        <f>_xlfn.LET(_xlpm.c,_xlfn.SINGLE(Table1[condition]),IF(RIGHT(_xlpm.c,2)="1g",1,0))</f>
        <v>0</v>
      </c>
      <c r="C32">
        <f>_xlfn.LET(_xlpm.c,_xlfn.SINGLE(Table1[condition]),_xlpm.k,CONCATENATE("*","-xsk","*"),IF(COUNTIF(_xlpm.c,_xlpm.k)&gt;0,1,0))</f>
        <v>0</v>
      </c>
      <c r="D32">
        <f>_xlfn.LET(_xlpm.c,_xlfn.SINGLE(Table1[condition]),_xlpm.k,CONCATENATE("*","-sk","*"),IF(COUNTIF(_xlpm.c,_xlpm.k)&gt;0,1,0))</f>
        <v>0</v>
      </c>
      <c r="E32">
        <f>IF(AND(Table1[[#This Row],[xsk]]=1,Table1[[#This Row],[sk]]=1),0,1)</f>
        <v>1</v>
      </c>
      <c r="F32" t="s">
        <v>28</v>
      </c>
      <c r="G32" s="1">
        <v>0.64797031330989896</v>
      </c>
      <c r="H32" s="1">
        <v>0.22598784022301899</v>
      </c>
      <c r="I32" s="1">
        <v>0.25548534893462199</v>
      </c>
      <c r="J32" s="1">
        <v>0.39490101979487302</v>
      </c>
      <c r="K32" s="1">
        <v>0.38819587877183998</v>
      </c>
      <c r="L32" s="1">
        <v>0.35826647260682498</v>
      </c>
      <c r="M32" s="1">
        <v>1</v>
      </c>
      <c r="N32" s="1">
        <v>0.35814370310557597</v>
      </c>
      <c r="O32" s="1">
        <v>0.36598225424823899</v>
      </c>
      <c r="P32" s="1">
        <v>0.43593400509465702</v>
      </c>
      <c r="Q32" s="1">
        <v>0.50806661517033203</v>
      </c>
      <c r="R32" s="1">
        <v>0.25525487495911098</v>
      </c>
      <c r="S32" s="1">
        <v>0.37988561175782498</v>
      </c>
      <c r="T32" s="1">
        <f t="shared" si="4"/>
        <v>0.42877491830590908</v>
      </c>
    </row>
    <row r="33" spans="1:20" ht="30" customHeight="1">
      <c r="A33" t="str">
        <f t="shared" si="3"/>
        <v>german</v>
      </c>
      <c r="B33">
        <f>_xlfn.LET(_xlpm.c,_xlfn.SINGLE(Table1[condition]),IF(RIGHT(_xlpm.c,2)="1g",1,0))</f>
        <v>0</v>
      </c>
      <c r="C33">
        <f>_xlfn.LET(_xlpm.c,_xlfn.SINGLE(Table1[condition]),_xlpm.k,CONCATENATE("*","-xsk","*"),IF(COUNTIF(_xlpm.c,_xlpm.k)&gt;0,1,0))</f>
        <v>0</v>
      </c>
      <c r="D33">
        <f>_xlfn.LET(_xlpm.c,_xlfn.SINGLE(Table1[condition]),_xlpm.k,CONCATENATE("*","-sk","*"),IF(COUNTIF(_xlpm.c,_xlpm.k)&gt;0,1,0))</f>
        <v>1</v>
      </c>
      <c r="E33">
        <f>IF(AND(Table1[[#This Row],[xsk]]=1,Table1[[#This Row],[sk]]=1),0,1)</f>
        <v>1</v>
      </c>
      <c r="F33" t="s">
        <v>29</v>
      </c>
      <c r="G33" s="1">
        <v>0.56229800320034495</v>
      </c>
      <c r="H33" s="1">
        <v>0.62993297901904999</v>
      </c>
      <c r="I33" s="1">
        <v>0.25477599621718799</v>
      </c>
      <c r="J33" s="1">
        <v>0.26582208334882501</v>
      </c>
      <c r="K33" s="1">
        <v>0.31396926820144899</v>
      </c>
      <c r="L33" s="1">
        <v>0.50157234259283701</v>
      </c>
      <c r="M33" s="1">
        <v>0.2723583733653</v>
      </c>
      <c r="N33" s="1">
        <v>0.31379771658931499</v>
      </c>
      <c r="O33" s="1">
        <v>0.28573476780970197</v>
      </c>
      <c r="P33" s="1">
        <v>1</v>
      </c>
      <c r="Q33" s="1">
        <v>0.36923348352513002</v>
      </c>
      <c r="R33" s="1">
        <v>0</v>
      </c>
      <c r="S33" s="1">
        <v>0.53460947685571103</v>
      </c>
      <c r="T33" s="1">
        <f t="shared" si="4"/>
        <v>0.40800803774806549</v>
      </c>
    </row>
    <row r="34" spans="1:20" ht="30" customHeight="1">
      <c r="A34" t="str">
        <f t="shared" si="3"/>
        <v>german</v>
      </c>
      <c r="B34">
        <f>_xlfn.LET(_xlpm.c,_xlfn.SINGLE(Table1[condition]),IF(RIGHT(_xlpm.c,2)="1g",1,0))</f>
        <v>0</v>
      </c>
      <c r="C34">
        <f>_xlfn.LET(_xlpm.c,_xlfn.SINGLE(Table1[condition]),_xlpm.k,CONCATENATE("*","-xsk","*"),IF(COUNTIF(_xlpm.c,_xlpm.k)&gt;0,1,0))</f>
        <v>0</v>
      </c>
      <c r="D34">
        <f>_xlfn.LET(_xlpm.c,_xlfn.SINGLE(Table1[condition]),_xlpm.k,CONCATENATE("*","-sk","*"),IF(COUNTIF(_xlpm.c,_xlpm.k)&gt;0,1,0))</f>
        <v>1</v>
      </c>
      <c r="E34">
        <f>IF(AND(Table1[[#This Row],[xsk]]=1,Table1[[#This Row],[sk]]=1),0,1)</f>
        <v>1</v>
      </c>
      <c r="F34" t="s">
        <v>30</v>
      </c>
      <c r="G34" s="1">
        <v>1</v>
      </c>
      <c r="H34" s="1">
        <v>0.56925221045435404</v>
      </c>
      <c r="I34" s="1">
        <v>0.26079315140937098</v>
      </c>
      <c r="J34" s="1">
        <v>0.38455725066340501</v>
      </c>
      <c r="K34" s="1">
        <v>0.29983774279820202</v>
      </c>
      <c r="L34" s="1">
        <v>0.35761971650376301</v>
      </c>
      <c r="M34" s="1">
        <v>0.29682065101241201</v>
      </c>
      <c r="N34" s="1">
        <v>0.25677655818150602</v>
      </c>
      <c r="O34" s="1">
        <v>0.51831723324637502</v>
      </c>
      <c r="P34" s="1">
        <v>0.36322265418049898</v>
      </c>
      <c r="Q34" s="1">
        <v>0.23433066264301999</v>
      </c>
      <c r="R34" s="1">
        <v>0.28495760276843202</v>
      </c>
      <c r="S34" s="1">
        <v>0.46224007957801699</v>
      </c>
      <c r="T34" s="1">
        <f t="shared" si="4"/>
        <v>0.40682503949533505</v>
      </c>
    </row>
    <row r="35" spans="1:20" ht="30" customHeight="1">
      <c r="A35" t="str">
        <f t="shared" si="3"/>
        <v>german</v>
      </c>
      <c r="B35">
        <f>_xlfn.LET(_xlpm.c,_xlfn.SINGLE(Table1[condition]),IF(RIGHT(_xlpm.c,2)="1g",1,0))</f>
        <v>0</v>
      </c>
      <c r="C35">
        <f>_xlfn.LET(_xlpm.c,_xlfn.SINGLE(Table1[condition]),_xlpm.k,CONCATENATE("*","-xsk","*"),IF(COUNTIF(_xlpm.c,_xlpm.k)&gt;0,1,0))</f>
        <v>1</v>
      </c>
      <c r="D35">
        <f>_xlfn.LET(_xlpm.c,_xlfn.SINGLE(Table1[condition]),_xlpm.k,CONCATENATE("*","-sk","*"),IF(COUNTIF(_xlpm.c,_xlpm.k)&gt;0,1,0))</f>
        <v>0</v>
      </c>
      <c r="E35">
        <f>IF(AND(Table1[[#This Row],[xsk]]=1,Table1[[#This Row],[sk]]=1),0,1)</f>
        <v>1</v>
      </c>
      <c r="F35" t="s">
        <v>65</v>
      </c>
      <c r="G35" s="1">
        <v>1</v>
      </c>
      <c r="H35" s="1">
        <v>0.53209896193751205</v>
      </c>
      <c r="I35" s="1">
        <v>1</v>
      </c>
      <c r="J35" s="1">
        <v>0.353812921229751</v>
      </c>
      <c r="K35" s="1">
        <v>0.38310240086439401</v>
      </c>
      <c r="L35" s="1">
        <v>0.53589838486224495</v>
      </c>
      <c r="M35" s="1">
        <v>0.99310344827586206</v>
      </c>
      <c r="N35" s="1">
        <v>0.38005251745244401</v>
      </c>
      <c r="O35" s="1">
        <v>0.27825892134711</v>
      </c>
      <c r="P35" s="1">
        <v>0.25527820275442897</v>
      </c>
      <c r="Q35" s="1">
        <v>1</v>
      </c>
      <c r="R35" s="1">
        <v>0.54196010845019105</v>
      </c>
      <c r="S35" s="1">
        <v>1</v>
      </c>
      <c r="T35" s="1">
        <f t="shared" si="4"/>
        <v>0.63488968209030294</v>
      </c>
    </row>
    <row r="36" spans="1:20" ht="30" customHeight="1">
      <c r="A36" t="str">
        <f t="shared" si="3"/>
        <v>german</v>
      </c>
      <c r="B36">
        <f>_xlfn.LET(_xlpm.c,_xlfn.SINGLE(Table1[condition]),IF(RIGHT(_xlpm.c,2)="1g",1,0))</f>
        <v>0</v>
      </c>
      <c r="C36">
        <f>_xlfn.LET(_xlpm.c,_xlfn.SINGLE(Table1[condition]),_xlpm.k,CONCATENATE("*","-xsk","*"),IF(COUNTIF(_xlpm.c,_xlpm.k)&gt;0,1,0))</f>
        <v>1</v>
      </c>
      <c r="D36">
        <f>_xlfn.LET(_xlpm.c,_xlfn.SINGLE(Table1[condition]),_xlpm.k,CONCATENATE("*","-sk","*"),IF(COUNTIF(_xlpm.c,_xlpm.k)&gt;0,1,0))</f>
        <v>0</v>
      </c>
      <c r="E36">
        <f>IF(AND(Table1[[#This Row],[xsk]]=1,Table1[[#This Row],[sk]]=1),0,1)</f>
        <v>1</v>
      </c>
      <c r="F36" t="s">
        <v>66</v>
      </c>
      <c r="G36" s="1">
        <v>0.52428015516369797</v>
      </c>
      <c r="H36" s="1">
        <v>0.51258036763866999</v>
      </c>
      <c r="I36" s="1">
        <v>0.55051025721682101</v>
      </c>
      <c r="J36" s="1">
        <v>0.40866920002887103</v>
      </c>
      <c r="K36" s="1">
        <v>0</v>
      </c>
      <c r="L36" s="1">
        <v>1</v>
      </c>
      <c r="M36" s="1">
        <v>0.47442304278157599</v>
      </c>
      <c r="N36" s="1">
        <v>0.268858495061016</v>
      </c>
      <c r="O36" s="1">
        <v>0.35498047108548197</v>
      </c>
      <c r="P36" s="1">
        <v>0.501655647292503</v>
      </c>
      <c r="Q36" s="1">
        <v>0.37144595645152201</v>
      </c>
      <c r="R36" s="1">
        <v>0.461032348500033</v>
      </c>
      <c r="S36" s="1">
        <v>0.34054575074729998</v>
      </c>
      <c r="T36" s="1">
        <f t="shared" si="4"/>
        <v>0.44376782245903779</v>
      </c>
    </row>
    <row r="37" spans="1:20" ht="30" customHeight="1">
      <c r="A37" t="str">
        <f t="shared" si="3"/>
        <v>greek</v>
      </c>
      <c r="B37">
        <f>_xlfn.LET(_xlpm.c,_xlfn.SINGLE(Table1[condition]),IF(RIGHT(_xlpm.c,2)="1g",1,0))</f>
        <v>1</v>
      </c>
      <c r="C37">
        <f>_xlfn.LET(_xlpm.c,_xlfn.SINGLE(Table1[condition]),_xlpm.k,CONCATENATE("*","-xsk","*"),IF(COUNTIF(_xlpm.c,_xlpm.k)&gt;0,1,0))</f>
        <v>0</v>
      </c>
      <c r="D37">
        <f>_xlfn.LET(_xlpm.c,_xlfn.SINGLE(Table1[condition]),_xlpm.k,CONCATENATE("*","-sk","*"),IF(COUNTIF(_xlpm.c,_xlpm.k)&gt;0,1,0))</f>
        <v>0</v>
      </c>
      <c r="E37">
        <f>IF(AND(Table1[[#This Row],[xsk]]=1,Table1[[#This Row],[sk]]=1),0,1)</f>
        <v>1</v>
      </c>
      <c r="F37" t="s">
        <v>67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f t="shared" si="4"/>
        <v>1</v>
      </c>
    </row>
    <row r="38" spans="1:20" ht="30" customHeight="1">
      <c r="A38" t="str">
        <f t="shared" si="3"/>
        <v>greek</v>
      </c>
      <c r="B38">
        <f>_xlfn.LET(_xlpm.c,_xlfn.SINGLE(Table1[condition]),IF(RIGHT(_xlpm.c,2)="1g",1,0))</f>
        <v>0</v>
      </c>
      <c r="C38">
        <f>_xlfn.LET(_xlpm.c,_xlfn.SINGLE(Table1[condition]),_xlpm.k,CONCATENATE("*","-xsk","*"),IF(COUNTIF(_xlpm.c,_xlpm.k)&gt;0,1,0))</f>
        <v>0</v>
      </c>
      <c r="D38">
        <f>_xlfn.LET(_xlpm.c,_xlfn.SINGLE(Table1[condition]),_xlpm.k,CONCATENATE("*","-sk","*"),IF(COUNTIF(_xlpm.c,_xlpm.k)&gt;0,1,0))</f>
        <v>0</v>
      </c>
      <c r="E38">
        <f>IF(AND(Table1[[#This Row],[xsk]]=1,Table1[[#This Row],[sk]]=1),0,1)</f>
        <v>1</v>
      </c>
      <c r="F38" t="s">
        <v>68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f t="shared" si="4"/>
        <v>1</v>
      </c>
    </row>
    <row r="39" spans="1:20" ht="30" customHeight="1">
      <c r="A39" t="str">
        <f t="shared" si="3"/>
        <v>greek</v>
      </c>
      <c r="B39">
        <f>_xlfn.LET(_xlpm.c,_xlfn.SINGLE(Table1[condition]),IF(RIGHT(_xlpm.c,2)="1g",1,0))</f>
        <v>0</v>
      </c>
      <c r="C39">
        <f>_xlfn.LET(_xlpm.c,_xlfn.SINGLE(Table1[condition]),_xlpm.k,CONCATENATE("*","-xsk","*"),IF(COUNTIF(_xlpm.c,_xlpm.k)&gt;0,1,0))</f>
        <v>0</v>
      </c>
      <c r="D39">
        <f>_xlfn.LET(_xlpm.c,_xlfn.SINGLE(Table1[condition]),_xlpm.k,CONCATENATE("*","-sk","*"),IF(COUNTIF(_xlpm.c,_xlpm.k)&gt;0,1,0))</f>
        <v>0</v>
      </c>
      <c r="E39">
        <f>IF(AND(Table1[[#This Row],[xsk]]=1,Table1[[#This Row],[sk]]=1),0,1)</f>
        <v>1</v>
      </c>
      <c r="F39" t="s">
        <v>69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f t="shared" si="4"/>
        <v>1</v>
      </c>
    </row>
    <row r="40" spans="1:20" ht="30" customHeight="1">
      <c r="A40" t="str">
        <f t="shared" si="1"/>
        <v>greek</v>
      </c>
      <c r="B40">
        <f>_xlfn.LET(_xlpm.c,_xlfn.SINGLE(Table1[condition]),IF(RIGHT(_xlpm.c,2)="1g",1,0))</f>
        <v>0</v>
      </c>
      <c r="C40">
        <f>_xlfn.LET(_xlpm.c,_xlfn.SINGLE(Table1[condition]),_xlpm.k,CONCATENATE("*","-xsk","*"),IF(COUNTIF(_xlpm.c,_xlpm.k)&gt;0,1,0))</f>
        <v>0</v>
      </c>
      <c r="D40">
        <f>_xlfn.LET(_xlpm.c,_xlfn.SINGLE(Table1[condition]),_xlpm.k,CONCATENATE("*","-sk","*"),IF(COUNTIF(_xlpm.c,_xlpm.k)&gt;0,1,0))</f>
        <v>1</v>
      </c>
      <c r="E40">
        <f>IF(AND(Table1[[#This Row],[xsk]]=1,Table1[[#This Row],[sk]]=1),0,1)</f>
        <v>1</v>
      </c>
      <c r="F40" t="s">
        <v>70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0.99786780383795304</v>
      </c>
      <c r="R40" s="1">
        <v>1</v>
      </c>
      <c r="S40" s="1">
        <v>1</v>
      </c>
      <c r="T40" s="1">
        <f t="shared" si="2"/>
        <v>0.99983598491061187</v>
      </c>
    </row>
    <row r="41" spans="1:20" ht="30" customHeight="1">
      <c r="A41" t="str">
        <f t="shared" si="1"/>
        <v>greek</v>
      </c>
      <c r="B41">
        <f>_xlfn.LET(_xlpm.c,_xlfn.SINGLE(Table1[condition]),IF(RIGHT(_xlpm.c,2)="1g",1,0))</f>
        <v>0</v>
      </c>
      <c r="C41">
        <f>_xlfn.LET(_xlpm.c,_xlfn.SINGLE(Table1[condition]),_xlpm.k,CONCATENATE("*","-xsk","*"),IF(COUNTIF(_xlpm.c,_xlpm.k)&gt;0,1,0))</f>
        <v>0</v>
      </c>
      <c r="D41">
        <f>_xlfn.LET(_xlpm.c,_xlfn.SINGLE(Table1[condition]),_xlpm.k,CONCATENATE("*","-sk","*"),IF(COUNTIF(_xlpm.c,_xlpm.k)&gt;0,1,0))</f>
        <v>1</v>
      </c>
      <c r="E41">
        <f>IF(AND(Table1[[#This Row],[xsk]]=1,Table1[[#This Row],[sk]]=1),0,1)</f>
        <v>1</v>
      </c>
      <c r="F41" t="s">
        <v>71</v>
      </c>
      <c r="G41" s="1">
        <v>0.99345659140944298</v>
      </c>
      <c r="H41" s="1">
        <v>1</v>
      </c>
      <c r="I41" s="1">
        <v>1</v>
      </c>
      <c r="J41" s="1">
        <v>0.99705861996207601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f t="shared" si="2"/>
        <v>0.99927040087473229</v>
      </c>
    </row>
    <row r="42" spans="1:20" ht="30" customHeight="1">
      <c r="A42" t="str">
        <f t="shared" si="1"/>
        <v>greek</v>
      </c>
      <c r="B42">
        <f>_xlfn.LET(_xlpm.c,_xlfn.SINGLE(Table1[condition]),IF(RIGHT(_xlpm.c,2)="1g",1,0))</f>
        <v>0</v>
      </c>
      <c r="C42">
        <f>_xlfn.LET(_xlpm.c,_xlfn.SINGLE(Table1[condition]),_xlpm.k,CONCATENATE("*","-xsk","*"),IF(COUNTIF(_xlpm.c,_xlpm.k)&gt;0,1,0))</f>
        <v>1</v>
      </c>
      <c r="D42">
        <f>_xlfn.LET(_xlpm.c,_xlfn.SINGLE(Table1[condition]),_xlpm.k,CONCATENATE("*","-sk","*"),IF(COUNTIF(_xlpm.c,_xlpm.k)&gt;0,1,0))</f>
        <v>0</v>
      </c>
      <c r="E42">
        <f>IF(AND(Table1[[#This Row],[xsk]]=1,Table1[[#This Row],[sk]]=1),0,1)</f>
        <v>1</v>
      </c>
      <c r="F42" t="s">
        <v>72</v>
      </c>
      <c r="G42" s="1">
        <v>1</v>
      </c>
      <c r="H42" s="1">
        <v>1</v>
      </c>
      <c r="I42" s="1">
        <v>1</v>
      </c>
      <c r="J42" s="1">
        <v>0.98958031761522203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f t="shared" si="2"/>
        <v>0.99919848597040162</v>
      </c>
    </row>
    <row r="43" spans="1:20" ht="30" customHeight="1">
      <c r="A43" t="str">
        <f t="shared" si="1"/>
        <v>greek</v>
      </c>
      <c r="B43">
        <f>_xlfn.LET(_xlpm.c,_xlfn.SINGLE(Table1[condition]),IF(RIGHT(_xlpm.c,2)="1g",1,0))</f>
        <v>0</v>
      </c>
      <c r="C43">
        <f>_xlfn.LET(_xlpm.c,_xlfn.SINGLE(Table1[condition]),_xlpm.k,CONCATENATE("*","-xsk","*"),IF(COUNTIF(_xlpm.c,_xlpm.k)&gt;0,1,0))</f>
        <v>1</v>
      </c>
      <c r="D43">
        <f>_xlfn.LET(_xlpm.c,_xlfn.SINGLE(Table1[condition]),_xlpm.k,CONCATENATE("*","-sk","*"),IF(COUNTIF(_xlpm.c,_xlpm.k)&gt;0,1,0))</f>
        <v>0</v>
      </c>
      <c r="E43">
        <f>IF(AND(Table1[[#This Row],[xsk]]=1,Table1[[#This Row],[sk]]=1),0,1)</f>
        <v>1</v>
      </c>
      <c r="F43" t="s">
        <v>73</v>
      </c>
      <c r="G43" s="1">
        <v>1</v>
      </c>
      <c r="H43" s="1">
        <v>0.99910151579842699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f t="shared" si="2"/>
        <v>0.99993088583064826</v>
      </c>
    </row>
    <row r="44" spans="1:20" ht="30" customHeight="1">
      <c r="A44" t="str">
        <f t="shared" si="1"/>
        <v>hebrew</v>
      </c>
      <c r="B44">
        <f>_xlfn.LET(_xlpm.c,_xlfn.SINGLE(Table1[condition]),IF(RIGHT(_xlpm.c,2)="1g",1,0))</f>
        <v>1</v>
      </c>
      <c r="C44">
        <f>_xlfn.LET(_xlpm.c,_xlfn.SINGLE(Table1[condition]),_xlpm.k,CONCATENATE("*","-xsk","*"),IF(COUNTIF(_xlpm.c,_xlpm.k)&gt;0,1,0))</f>
        <v>0</v>
      </c>
      <c r="D44">
        <f>_xlfn.LET(_xlpm.c,_xlfn.SINGLE(Table1[condition]),_xlpm.k,CONCATENATE("*","-sk","*"),IF(COUNTIF(_xlpm.c,_xlpm.k)&gt;0,1,0))</f>
        <v>0</v>
      </c>
      <c r="E44">
        <f>IF(AND(Table1[[#This Row],[xsk]]=1,Table1[[#This Row],[sk]]=1),0,1)</f>
        <v>1</v>
      </c>
      <c r="F44" t="s">
        <v>74</v>
      </c>
      <c r="G44" s="1">
        <v>1</v>
      </c>
      <c r="H44" s="1">
        <v>0.998998996324302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f t="shared" si="2"/>
        <v>0.99992299971725396</v>
      </c>
    </row>
    <row r="45" spans="1:20" ht="30" customHeight="1">
      <c r="A45" t="str">
        <f t="shared" si="1"/>
        <v>hebrew</v>
      </c>
      <c r="B45">
        <f>_xlfn.LET(_xlpm.c,_xlfn.SINGLE(Table1[condition]),IF(RIGHT(_xlpm.c,2)="1g",1,0))</f>
        <v>0</v>
      </c>
      <c r="C45">
        <f>_xlfn.LET(_xlpm.c,_xlfn.SINGLE(Table1[condition]),_xlpm.k,CONCATENATE("*","-xsk","*"),IF(COUNTIF(_xlpm.c,_xlpm.k)&gt;0,1,0))</f>
        <v>0</v>
      </c>
      <c r="D45">
        <f>_xlfn.LET(_xlpm.c,_xlfn.SINGLE(Table1[condition]),_xlpm.k,CONCATENATE("*","-sk","*"),IF(COUNTIF(_xlpm.c,_xlpm.k)&gt;0,1,0))</f>
        <v>0</v>
      </c>
      <c r="E45">
        <f>IF(AND(Table1[[#This Row],[xsk]]=1,Table1[[#This Row],[sk]]=1),0,1)</f>
        <v>1</v>
      </c>
      <c r="F45" t="s">
        <v>75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f t="shared" si="2"/>
        <v>1</v>
      </c>
    </row>
    <row r="46" spans="1:20" ht="30" customHeight="1">
      <c r="A46" t="str">
        <f t="shared" si="1"/>
        <v>hebrew</v>
      </c>
      <c r="B46">
        <f>_xlfn.LET(_xlpm.c,_xlfn.SINGLE(Table1[condition]),IF(RIGHT(_xlpm.c,2)="1g",1,0))</f>
        <v>0</v>
      </c>
      <c r="C46">
        <f>_xlfn.LET(_xlpm.c,_xlfn.SINGLE(Table1[condition]),_xlpm.k,CONCATENATE("*","-xsk","*"),IF(COUNTIF(_xlpm.c,_xlpm.k)&gt;0,1,0))</f>
        <v>0</v>
      </c>
      <c r="D46">
        <f>_xlfn.LET(_xlpm.c,_xlfn.SINGLE(Table1[condition]),_xlpm.k,CONCATENATE("*","-sk","*"),IF(COUNTIF(_xlpm.c,_xlpm.k)&gt;0,1,0))</f>
        <v>0</v>
      </c>
      <c r="E46">
        <f>IF(AND(Table1[[#This Row],[xsk]]=1,Table1[[#This Row],[sk]]=1),0,1)</f>
        <v>1</v>
      </c>
      <c r="F46" t="s">
        <v>76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f t="shared" si="2"/>
        <v>1</v>
      </c>
    </row>
    <row r="47" spans="1:20" ht="30" customHeight="1">
      <c r="A47" t="str">
        <f t="shared" si="1"/>
        <v>hebrew</v>
      </c>
      <c r="B47">
        <f>_xlfn.LET(_xlpm.c,_xlfn.SINGLE(Table1[condition]),IF(RIGHT(_xlpm.c,2)="1g",1,0))</f>
        <v>0</v>
      </c>
      <c r="C47">
        <f>_xlfn.LET(_xlpm.c,_xlfn.SINGLE(Table1[condition]),_xlpm.k,CONCATENATE("*","-xsk","*"),IF(COUNTIF(_xlpm.c,_xlpm.k)&gt;0,1,0))</f>
        <v>0</v>
      </c>
      <c r="D47">
        <f>_xlfn.LET(_xlpm.c,_xlfn.SINGLE(Table1[condition]),_xlpm.k,CONCATENATE("*","-sk","*"),IF(COUNTIF(_xlpm.c,_xlpm.k)&gt;0,1,0))</f>
        <v>1</v>
      </c>
      <c r="E47">
        <f>IF(AND(Table1[[#This Row],[xsk]]=1,Table1[[#This Row],[sk]]=1),0,1)</f>
        <v>1</v>
      </c>
      <c r="F47" t="s">
        <v>77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0.97506825981038803</v>
      </c>
      <c r="N47" s="1">
        <v>1</v>
      </c>
      <c r="O47" s="1">
        <v>1</v>
      </c>
      <c r="P47" s="1">
        <v>0.88076386946136898</v>
      </c>
      <c r="Q47" s="1">
        <v>1</v>
      </c>
      <c r="R47" s="1">
        <v>1</v>
      </c>
      <c r="S47" s="1">
        <v>1</v>
      </c>
      <c r="T47" s="1">
        <f t="shared" si="2"/>
        <v>0.98891016379013519</v>
      </c>
    </row>
    <row r="48" spans="1:20" ht="30" customHeight="1">
      <c r="A48" t="str">
        <f t="shared" si="1"/>
        <v>hebrew</v>
      </c>
      <c r="B48">
        <f>_xlfn.LET(_xlpm.c,_xlfn.SINGLE(Table1[condition]),IF(RIGHT(_xlpm.c,2)="1g",1,0))</f>
        <v>0</v>
      </c>
      <c r="C48">
        <f>_xlfn.LET(_xlpm.c,_xlfn.SINGLE(Table1[condition]),_xlpm.k,CONCATENATE("*","-xsk","*"),IF(COUNTIF(_xlpm.c,_xlpm.k)&gt;0,1,0))</f>
        <v>0</v>
      </c>
      <c r="D48">
        <f>_xlfn.LET(_xlpm.c,_xlfn.SINGLE(Table1[condition]),_xlpm.k,CONCATENATE("*","-sk","*"),IF(COUNTIF(_xlpm.c,_xlpm.k)&gt;0,1,0))</f>
        <v>1</v>
      </c>
      <c r="E48">
        <f>IF(AND(Table1[[#This Row],[xsk]]=1,Table1[[#This Row],[sk]]=1),0,1)</f>
        <v>1</v>
      </c>
      <c r="F48" t="s">
        <v>78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0.83833528847221594</v>
      </c>
      <c r="T48" s="1">
        <f t="shared" si="2"/>
        <v>0.9875642529594012</v>
      </c>
    </row>
    <row r="49" spans="1:20" ht="30" customHeight="1">
      <c r="A49" t="str">
        <f t="shared" si="1"/>
        <v>hebrew</v>
      </c>
      <c r="B49">
        <f>_xlfn.LET(_xlpm.c,_xlfn.SINGLE(Table1[condition]),IF(RIGHT(_xlpm.c,2)="1g",1,0))</f>
        <v>0</v>
      </c>
      <c r="C49">
        <f>_xlfn.LET(_xlpm.c,_xlfn.SINGLE(Table1[condition]),_xlpm.k,CONCATENATE("*","-xsk","*"),IF(COUNTIF(_xlpm.c,_xlpm.k)&gt;0,1,0))</f>
        <v>1</v>
      </c>
      <c r="D49">
        <f>_xlfn.LET(_xlpm.c,_xlfn.SINGLE(Table1[condition]),_xlpm.k,CONCATENATE("*","-sk","*"),IF(COUNTIF(_xlpm.c,_xlpm.k)&gt;0,1,0))</f>
        <v>0</v>
      </c>
      <c r="E49">
        <f>IF(AND(Table1[[#This Row],[xsk]]=1,Table1[[#This Row],[sk]]=1),0,1)</f>
        <v>1</v>
      </c>
      <c r="F49" t="s">
        <v>79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f t="shared" si="2"/>
        <v>1</v>
      </c>
    </row>
    <row r="50" spans="1:20" ht="30" customHeight="1">
      <c r="A50" t="str">
        <f t="shared" si="1"/>
        <v>hebrew</v>
      </c>
      <c r="B50">
        <f>_xlfn.LET(_xlpm.c,_xlfn.SINGLE(Table1[condition]),IF(RIGHT(_xlpm.c,2)="1g",1,0))</f>
        <v>0</v>
      </c>
      <c r="C50">
        <f>_xlfn.LET(_xlpm.c,_xlfn.SINGLE(Table1[condition]),_xlpm.k,CONCATENATE("*","-xsk","*"),IF(COUNTIF(_xlpm.c,_xlpm.k)&gt;0,1,0))</f>
        <v>1</v>
      </c>
      <c r="D50">
        <f>_xlfn.LET(_xlpm.c,_xlfn.SINGLE(Table1[condition]),_xlpm.k,CONCATENATE("*","-sk","*"),IF(COUNTIF(_xlpm.c,_xlpm.k)&gt;0,1,0))</f>
        <v>0</v>
      </c>
      <c r="E50">
        <f>IF(AND(Table1[[#This Row],[xsk]]=1,Table1[[#This Row],[sk]]=1),0,1)</f>
        <v>1</v>
      </c>
      <c r="F50" t="s">
        <v>80</v>
      </c>
      <c r="G50" s="1">
        <v>1</v>
      </c>
      <c r="H50" s="1">
        <v>1</v>
      </c>
      <c r="I50" s="1">
        <v>1</v>
      </c>
      <c r="J50" s="1">
        <v>1</v>
      </c>
      <c r="K50" s="1">
        <v>0.96405523348253896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f t="shared" si="2"/>
        <v>0.99723501796019542</v>
      </c>
    </row>
    <row r="51" spans="1:20" ht="30" customHeight="1">
      <c r="A51" t="str">
        <f t="shared" ref="A51:A64" si="5">_xlfn.LET(_xlpm.c,$F51,_xlfn.TEXTBEFORE(_xlpm.c,"-"))</f>
        <v>icelandic</v>
      </c>
      <c r="B51">
        <f>_xlfn.LET(_xlpm.c,_xlfn.SINGLE(Table1[condition]),IF(RIGHT(_xlpm.c,2)="1g",1,0))</f>
        <v>1</v>
      </c>
      <c r="C51">
        <f>_xlfn.LET(_xlpm.c,_xlfn.SINGLE(Table1[condition]),_xlpm.k,CONCATENATE("*","-xsk","*"),IF(COUNTIF(_xlpm.c,_xlpm.k)&gt;0,1,0))</f>
        <v>0</v>
      </c>
      <c r="D51">
        <f>_xlfn.LET(_xlpm.c,_xlfn.SINGLE(Table1[condition]),_xlpm.k,CONCATENATE("*","-sk","*"),IF(COUNTIF(_xlpm.c,_xlpm.k)&gt;0,1,0))</f>
        <v>0</v>
      </c>
      <c r="E51">
        <f>IF(AND(Table1[[#This Row],[xsk]]=1,Table1[[#This Row],[sk]]=1),0,1)</f>
        <v>1</v>
      </c>
      <c r="F51" t="s">
        <v>81</v>
      </c>
      <c r="G51" s="1">
        <v>1</v>
      </c>
      <c r="H51" s="1">
        <v>0.69998384234008904</v>
      </c>
      <c r="I51" s="1">
        <v>0.57856170046398203</v>
      </c>
      <c r="J51" s="1">
        <v>0.93306215657589897</v>
      </c>
      <c r="K51" s="1">
        <v>0.64057064657522</v>
      </c>
      <c r="L51" s="1">
        <v>0.31717409215137699</v>
      </c>
      <c r="M51" s="1">
        <v>0.37235195833214202</v>
      </c>
      <c r="N51" s="1">
        <v>0.25093589264970301</v>
      </c>
      <c r="O51" s="1">
        <v>0.52586431745287898</v>
      </c>
      <c r="P51" s="1">
        <v>0.48397864105525101</v>
      </c>
      <c r="Q51" s="1">
        <v>0.58406940779087702</v>
      </c>
      <c r="R51" s="1">
        <v>0.38995948993804402</v>
      </c>
      <c r="S51" s="1">
        <v>0.23451018917283101</v>
      </c>
      <c r="T51" s="1">
        <f t="shared" ref="T51:T64" si="6">_xlfn.LET(_xlpm.d,$G51:$S51,AVERAGE(_xlpm.d))</f>
        <v>0.53930941034602264</v>
      </c>
    </row>
    <row r="52" spans="1:20" ht="30" customHeight="1">
      <c r="A52" t="str">
        <f t="shared" si="5"/>
        <v>icelandic</v>
      </c>
      <c r="B52">
        <f>_xlfn.LET(_xlpm.c,_xlfn.SINGLE(Table1[condition]),IF(RIGHT(_xlpm.c,2)="1g",1,0))</f>
        <v>0</v>
      </c>
      <c r="C52">
        <f>_xlfn.LET(_xlpm.c,_xlfn.SINGLE(Table1[condition]),_xlpm.k,CONCATENATE("*","-xsk","*"),IF(COUNTIF(_xlpm.c,_xlpm.k)&gt;0,1,0))</f>
        <v>0</v>
      </c>
      <c r="D52">
        <f>_xlfn.LET(_xlpm.c,_xlfn.SINGLE(Table1[condition]),_xlpm.k,CONCATENATE("*","-sk","*"),IF(COUNTIF(_xlpm.c,_xlpm.k)&gt;0,1,0))</f>
        <v>0</v>
      </c>
      <c r="E52">
        <f>IF(AND(Table1[[#This Row],[xsk]]=1,Table1[[#This Row],[sk]]=1),0,1)</f>
        <v>1</v>
      </c>
      <c r="F52" t="s">
        <v>82</v>
      </c>
      <c r="G52" s="1">
        <v>0.69814351662402996</v>
      </c>
      <c r="H52" s="1">
        <v>0.78932697781898098</v>
      </c>
      <c r="I52" s="1">
        <v>0.66666666666666596</v>
      </c>
      <c r="J52" s="1">
        <v>0.37162853085881598</v>
      </c>
      <c r="K52" s="1">
        <v>0.38122676496367802</v>
      </c>
      <c r="L52" s="1">
        <v>0.594860263136336</v>
      </c>
      <c r="M52" s="1">
        <v>0.58204834928050797</v>
      </c>
      <c r="N52" s="1">
        <v>0.40024935372264803</v>
      </c>
      <c r="O52" s="1">
        <v>0</v>
      </c>
      <c r="P52" s="1">
        <v>0</v>
      </c>
      <c r="Q52" s="1">
        <v>0</v>
      </c>
      <c r="R52" s="1">
        <v>0.26315998009862202</v>
      </c>
      <c r="S52" s="1">
        <v>0.54118667416654698</v>
      </c>
      <c r="T52" s="1">
        <f t="shared" si="6"/>
        <v>0.40680746748744856</v>
      </c>
    </row>
    <row r="53" spans="1:20" ht="30" customHeight="1">
      <c r="A53" t="str">
        <f t="shared" si="5"/>
        <v>icelandic</v>
      </c>
      <c r="B53">
        <f>_xlfn.LET(_xlpm.c,_xlfn.SINGLE(Table1[condition]),IF(RIGHT(_xlpm.c,2)="1g",1,0))</f>
        <v>0</v>
      </c>
      <c r="C53">
        <f>_xlfn.LET(_xlpm.c,_xlfn.SINGLE(Table1[condition]),_xlpm.k,CONCATENATE("*","-xsk","*"),IF(COUNTIF(_xlpm.c,_xlpm.k)&gt;0,1,0))</f>
        <v>0</v>
      </c>
      <c r="D53">
        <f>_xlfn.LET(_xlpm.c,_xlfn.SINGLE(Table1[condition]),_xlpm.k,CONCATENATE("*","-sk","*"),IF(COUNTIF(_xlpm.c,_xlpm.k)&gt;0,1,0))</f>
        <v>0</v>
      </c>
      <c r="E53">
        <f>IF(AND(Table1[[#This Row],[xsk]]=1,Table1[[#This Row],[sk]]=1),0,1)</f>
        <v>1</v>
      </c>
      <c r="F53" t="s">
        <v>83</v>
      </c>
      <c r="G53" s="1">
        <v>0.81710057494575306</v>
      </c>
      <c r="H53" s="1">
        <v>0.75488580599120603</v>
      </c>
      <c r="I53" s="1">
        <v>0.472135954999579</v>
      </c>
      <c r="J53" s="1">
        <v>0.49065535485058798</v>
      </c>
      <c r="K53" s="1">
        <v>0.87418630590935797</v>
      </c>
      <c r="L53" s="1">
        <v>0.55051025721682101</v>
      </c>
      <c r="M53" s="1">
        <v>1</v>
      </c>
      <c r="N53" s="1">
        <v>0.20560755867170699</v>
      </c>
      <c r="O53" s="1">
        <v>1</v>
      </c>
      <c r="P53" s="1">
        <v>0.46805191342453001</v>
      </c>
      <c r="Q53" s="1">
        <v>0.49242250247064201</v>
      </c>
      <c r="R53" s="1">
        <v>1</v>
      </c>
      <c r="S53" s="1">
        <v>0.54227077980275895</v>
      </c>
      <c r="T53" s="1">
        <f t="shared" si="6"/>
        <v>0.66675592371407266</v>
      </c>
    </row>
    <row r="54" spans="1:20" ht="30" customHeight="1">
      <c r="A54" t="str">
        <f t="shared" si="5"/>
        <v>icelandic</v>
      </c>
      <c r="B54">
        <f>_xlfn.LET(_xlpm.c,_xlfn.SINGLE(Table1[condition]),IF(RIGHT(_xlpm.c,2)="1g",1,0))</f>
        <v>0</v>
      </c>
      <c r="C54">
        <f>_xlfn.LET(_xlpm.c,_xlfn.SINGLE(Table1[condition]),_xlpm.k,CONCATENATE("*","-xsk","*"),IF(COUNTIF(_xlpm.c,_xlpm.k)&gt;0,1,0))</f>
        <v>0</v>
      </c>
      <c r="D54">
        <f>_xlfn.LET(_xlpm.c,_xlfn.SINGLE(Table1[condition]),_xlpm.k,CONCATENATE("*","-sk","*"),IF(COUNTIF(_xlpm.c,_xlpm.k)&gt;0,1,0))</f>
        <v>1</v>
      </c>
      <c r="E54">
        <f>IF(AND(Table1[[#This Row],[xsk]]=1,Table1[[#This Row],[sk]]=1),0,1)</f>
        <v>1</v>
      </c>
      <c r="F54" t="s">
        <v>84</v>
      </c>
      <c r="G54" s="1">
        <v>0.76692466915711499</v>
      </c>
      <c r="H54" s="1">
        <v>0.84412890002952001</v>
      </c>
      <c r="I54" s="1">
        <v>0.56650615629924805</v>
      </c>
      <c r="J54" s="1">
        <v>0.57604347884948204</v>
      </c>
      <c r="K54" s="1">
        <v>0.46725141699712602</v>
      </c>
      <c r="L54" s="1">
        <v>0.30609770970137201</v>
      </c>
      <c r="M54" s="1">
        <v>1</v>
      </c>
      <c r="N54" s="1">
        <v>1</v>
      </c>
      <c r="O54" s="1">
        <v>0.383846296948049</v>
      </c>
      <c r="P54" s="1">
        <v>0.36464705132437297</v>
      </c>
      <c r="Q54" s="1">
        <v>1</v>
      </c>
      <c r="R54" s="1">
        <v>0.86100174808611996</v>
      </c>
      <c r="S54" s="1">
        <v>0.48761617033479299</v>
      </c>
      <c r="T54" s="1">
        <f t="shared" si="6"/>
        <v>0.66338950751747672</v>
      </c>
    </row>
    <row r="55" spans="1:20" ht="30" customHeight="1">
      <c r="A55" t="str">
        <f t="shared" si="5"/>
        <v>icelandic</v>
      </c>
      <c r="B55">
        <f>_xlfn.LET(_xlpm.c,_xlfn.SINGLE(Table1[condition]),IF(RIGHT(_xlpm.c,2)="1g",1,0))</f>
        <v>0</v>
      </c>
      <c r="C55">
        <f>_xlfn.LET(_xlpm.c,_xlfn.SINGLE(Table1[condition]),_xlpm.k,CONCATENATE("*","-xsk","*"),IF(COUNTIF(_xlpm.c,_xlpm.k)&gt;0,1,0))</f>
        <v>0</v>
      </c>
      <c r="D55">
        <f>_xlfn.LET(_xlpm.c,_xlfn.SINGLE(Table1[condition]),_xlpm.k,CONCATENATE("*","-sk","*"),IF(COUNTIF(_xlpm.c,_xlpm.k)&gt;0,1,0))</f>
        <v>1</v>
      </c>
      <c r="E55">
        <f>IF(AND(Table1[[#This Row],[xsk]]=1,Table1[[#This Row],[sk]]=1),0,1)</f>
        <v>1</v>
      </c>
      <c r="F55" t="s">
        <v>85</v>
      </c>
      <c r="G55" s="1">
        <v>1</v>
      </c>
      <c r="H55" s="1">
        <v>0.39621509218445899</v>
      </c>
      <c r="I55" s="1">
        <v>0.79293977948441996</v>
      </c>
      <c r="J55" s="1">
        <v>1</v>
      </c>
      <c r="K55" s="1">
        <v>1</v>
      </c>
      <c r="L55" s="1">
        <v>1</v>
      </c>
      <c r="M55" s="1">
        <v>1</v>
      </c>
      <c r="N55" s="1">
        <v>0.48421852807213001</v>
      </c>
      <c r="O55" s="1">
        <v>1</v>
      </c>
      <c r="P55" s="1">
        <v>0.51925930159213896</v>
      </c>
      <c r="Q55" s="1">
        <v>1</v>
      </c>
      <c r="R55" s="1">
        <v>1</v>
      </c>
      <c r="S55" s="1">
        <v>0.456217450289992</v>
      </c>
      <c r="T55" s="1">
        <f t="shared" si="6"/>
        <v>0.8191423193556262</v>
      </c>
    </row>
    <row r="56" spans="1:20" ht="30" customHeight="1">
      <c r="A56" t="str">
        <f t="shared" si="5"/>
        <v>icelandic</v>
      </c>
      <c r="B56">
        <f>_xlfn.LET(_xlpm.c,_xlfn.SINGLE(Table1[condition]),IF(RIGHT(_xlpm.c,2)="1g",1,0))</f>
        <v>0</v>
      </c>
      <c r="C56">
        <f>_xlfn.LET(_xlpm.c,_xlfn.SINGLE(Table1[condition]),_xlpm.k,CONCATENATE("*","-xsk","*"),IF(COUNTIF(_xlpm.c,_xlpm.k)&gt;0,1,0))</f>
        <v>1</v>
      </c>
      <c r="D56">
        <f>_xlfn.LET(_xlpm.c,_xlfn.SINGLE(Table1[condition]),_xlpm.k,CONCATENATE("*","-sk","*"),IF(COUNTIF(_xlpm.c,_xlpm.k)&gt;0,1,0))</f>
        <v>0</v>
      </c>
      <c r="E56">
        <f>IF(AND(Table1[[#This Row],[xsk]]=1,Table1[[#This Row],[sk]]=1),0,1)</f>
        <v>1</v>
      </c>
      <c r="F56" t="s">
        <v>86</v>
      </c>
      <c r="G56" s="1">
        <v>1</v>
      </c>
      <c r="H56" s="1">
        <v>0.75185129083347302</v>
      </c>
      <c r="I56" s="1">
        <v>0.99418506358805703</v>
      </c>
      <c r="J56" s="1">
        <v>1</v>
      </c>
      <c r="K56" s="1">
        <v>1</v>
      </c>
      <c r="L56" s="1">
        <v>1</v>
      </c>
      <c r="M56" s="1">
        <v>0.57173126170296895</v>
      </c>
      <c r="N56" s="1">
        <v>0.91506750550466998</v>
      </c>
      <c r="O56" s="1">
        <v>0.48331477354788199</v>
      </c>
      <c r="P56" s="1">
        <v>1</v>
      </c>
      <c r="Q56" s="1">
        <v>0.78145695364238399</v>
      </c>
      <c r="R56" s="1">
        <v>0.55142318505402899</v>
      </c>
      <c r="S56" s="1">
        <v>0.71324667966969002</v>
      </c>
      <c r="T56" s="1">
        <f t="shared" si="6"/>
        <v>0.82786743950331931</v>
      </c>
    </row>
    <row r="57" spans="1:20" ht="30" customHeight="1">
      <c r="A57" t="str">
        <f t="shared" si="5"/>
        <v>icelandic</v>
      </c>
      <c r="B57">
        <f>_xlfn.LET(_xlpm.c,_xlfn.SINGLE(Table1[condition]),IF(RIGHT(_xlpm.c,2)="1g",1,0))</f>
        <v>0</v>
      </c>
      <c r="C57">
        <f>_xlfn.LET(_xlpm.c,_xlfn.SINGLE(Table1[condition]),_xlpm.k,CONCATENATE("*","-xsk","*"),IF(COUNTIF(_xlpm.c,_xlpm.k)&gt;0,1,0))</f>
        <v>1</v>
      </c>
      <c r="D57">
        <f>_xlfn.LET(_xlpm.c,_xlfn.SINGLE(Table1[condition]),_xlpm.k,CONCATENATE("*","-sk","*"),IF(COUNTIF(_xlpm.c,_xlpm.k)&gt;0,1,0))</f>
        <v>0</v>
      </c>
      <c r="E57">
        <f>IF(AND(Table1[[#This Row],[xsk]]=1,Table1[[#This Row],[sk]]=1),0,1)</f>
        <v>1</v>
      </c>
      <c r="F57" t="s">
        <v>87</v>
      </c>
      <c r="G57" s="1">
        <v>1</v>
      </c>
      <c r="H57" s="1">
        <v>1</v>
      </c>
      <c r="I57" s="1">
        <v>1</v>
      </c>
      <c r="J57" s="1">
        <v>0.93878915656252004</v>
      </c>
      <c r="K57" s="1">
        <v>1</v>
      </c>
      <c r="L57" s="1">
        <v>1</v>
      </c>
      <c r="M57" s="1">
        <v>0.91106684356050305</v>
      </c>
      <c r="N57" s="1">
        <v>1</v>
      </c>
      <c r="O57" s="1">
        <v>1</v>
      </c>
      <c r="P57" s="1">
        <v>1</v>
      </c>
      <c r="Q57" s="1">
        <v>0.389643263745097</v>
      </c>
      <c r="R57" s="1">
        <v>0.34044821171294398</v>
      </c>
      <c r="S57" s="1">
        <v>0.57841282804125305</v>
      </c>
      <c r="T57" s="1">
        <f t="shared" si="6"/>
        <v>0.85833540797094743</v>
      </c>
    </row>
    <row r="58" spans="1:20" ht="30" customHeight="1">
      <c r="A58" t="str">
        <f t="shared" si="5"/>
        <v>russian</v>
      </c>
      <c r="B58">
        <f>_xlfn.LET(_xlpm.c,_xlfn.SINGLE(Table1[condition]),IF(RIGHT(_xlpm.c,2)="1g",1,0))</f>
        <v>1</v>
      </c>
      <c r="C58">
        <f>_xlfn.LET(_xlpm.c,_xlfn.SINGLE(Table1[condition]),_xlpm.k,CONCATENATE("*","-xsk","*"),IF(COUNTIF(_xlpm.c,_xlpm.k)&gt;0,1,0))</f>
        <v>0</v>
      </c>
      <c r="D58">
        <f>_xlfn.LET(_xlpm.c,_xlfn.SINGLE(Table1[condition]),_xlpm.k,CONCATENATE("*","-sk","*"),IF(COUNTIF(_xlpm.c,_xlpm.k)&gt;0,1,0))</f>
        <v>0</v>
      </c>
      <c r="E58">
        <f>IF(AND(Table1[[#This Row],[xsk]]=1,Table1[[#This Row],[sk]]=1),0,1)</f>
        <v>1</v>
      </c>
      <c r="F58" t="s">
        <v>31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f t="shared" si="6"/>
        <v>1</v>
      </c>
    </row>
    <row r="59" spans="1:20" ht="30" customHeight="1">
      <c r="A59" t="str">
        <f t="shared" si="5"/>
        <v>russian</v>
      </c>
      <c r="B59">
        <f>_xlfn.LET(_xlpm.c,_xlfn.SINGLE(Table1[condition]),IF(RIGHT(_xlpm.c,2)="1g",1,0))</f>
        <v>0</v>
      </c>
      <c r="C59">
        <f>_xlfn.LET(_xlpm.c,_xlfn.SINGLE(Table1[condition]),_xlpm.k,CONCATENATE("*","-xsk","*"),IF(COUNTIF(_xlpm.c,_xlpm.k)&gt;0,1,0))</f>
        <v>0</v>
      </c>
      <c r="D59">
        <f>_xlfn.LET(_xlpm.c,_xlfn.SINGLE(Table1[condition]),_xlpm.k,CONCATENATE("*","-sk","*"),IF(COUNTIF(_xlpm.c,_xlpm.k)&gt;0,1,0))</f>
        <v>0</v>
      </c>
      <c r="E59">
        <f>IF(AND(Table1[[#This Row],[xsk]]=1,Table1[[#This Row],[sk]]=1),0,1)</f>
        <v>1</v>
      </c>
      <c r="F59" t="s">
        <v>32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f t="shared" si="6"/>
        <v>1</v>
      </c>
    </row>
    <row r="60" spans="1:20" ht="30" customHeight="1">
      <c r="A60" t="str">
        <f t="shared" si="5"/>
        <v>russian</v>
      </c>
      <c r="B60">
        <f>_xlfn.LET(_xlpm.c,_xlfn.SINGLE(Table1[condition]),IF(RIGHT(_xlpm.c,2)="1g",1,0))</f>
        <v>0</v>
      </c>
      <c r="C60">
        <f>_xlfn.LET(_xlpm.c,_xlfn.SINGLE(Table1[condition]),_xlpm.k,CONCATENATE("*","-xsk","*"),IF(COUNTIF(_xlpm.c,_xlpm.k)&gt;0,1,0))</f>
        <v>0</v>
      </c>
      <c r="D60">
        <f>_xlfn.LET(_xlpm.c,_xlfn.SINGLE(Table1[condition]),_xlpm.k,CONCATENATE("*","-sk","*"),IF(COUNTIF(_xlpm.c,_xlpm.k)&gt;0,1,0))</f>
        <v>0</v>
      </c>
      <c r="E60">
        <f>IF(AND(Table1[[#This Row],[xsk]]=1,Table1[[#This Row],[sk]]=1),0,1)</f>
        <v>1</v>
      </c>
      <c r="F60" t="s">
        <v>33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0.99840494136130298</v>
      </c>
      <c r="O60" s="1">
        <v>1</v>
      </c>
      <c r="P60" s="1">
        <v>1</v>
      </c>
      <c r="Q60" s="1">
        <v>1</v>
      </c>
      <c r="R60" s="1">
        <v>0.99795063894259395</v>
      </c>
      <c r="S60" s="1">
        <v>1</v>
      </c>
      <c r="T60" s="1">
        <f t="shared" si="6"/>
        <v>0.99971966002337664</v>
      </c>
    </row>
    <row r="61" spans="1:20" ht="30" customHeight="1">
      <c r="A61" t="str">
        <f t="shared" si="5"/>
        <v>russian</v>
      </c>
      <c r="B61">
        <f>_xlfn.LET(_xlpm.c,_xlfn.SINGLE(Table1[condition]),IF(RIGHT(_xlpm.c,2)="1g",1,0))</f>
        <v>0</v>
      </c>
      <c r="C61">
        <f>_xlfn.LET(_xlpm.c,_xlfn.SINGLE(Table1[condition]),_xlpm.k,CONCATENATE("*","-xsk","*"),IF(COUNTIF(_xlpm.c,_xlpm.k)&gt;0,1,0))</f>
        <v>0</v>
      </c>
      <c r="D61">
        <f>_xlfn.LET(_xlpm.c,_xlfn.SINGLE(Table1[condition]),_xlpm.k,CONCATENATE("*","-sk","*"),IF(COUNTIF(_xlpm.c,_xlpm.k)&gt;0,1,0))</f>
        <v>1</v>
      </c>
      <c r="E61">
        <f>IF(AND(Table1[[#This Row],[xsk]]=1,Table1[[#This Row],[sk]]=1),0,1)</f>
        <v>1</v>
      </c>
      <c r="F61" t="s">
        <v>34</v>
      </c>
      <c r="G61" s="1">
        <v>1</v>
      </c>
      <c r="H61" s="1">
        <v>0.99894955549159103</v>
      </c>
      <c r="I61" s="1">
        <v>0.97175844171477799</v>
      </c>
      <c r="J61" s="1">
        <v>1</v>
      </c>
      <c r="K61" s="1">
        <v>0.98551622057020005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0.99912663222518405</v>
      </c>
      <c r="R61" s="1">
        <v>0.99786319908224896</v>
      </c>
      <c r="S61" s="1">
        <v>1</v>
      </c>
      <c r="T61" s="1">
        <f t="shared" si="6"/>
        <v>0.99640108069876931</v>
      </c>
    </row>
    <row r="62" spans="1:20" ht="30" customHeight="1">
      <c r="A62" t="str">
        <f t="shared" si="5"/>
        <v>russian</v>
      </c>
      <c r="B62">
        <f>_xlfn.LET(_xlpm.c,_xlfn.SINGLE(Table1[condition]),IF(RIGHT(_xlpm.c,2)="1g",1,0))</f>
        <v>0</v>
      </c>
      <c r="C62">
        <f>_xlfn.LET(_xlpm.c,_xlfn.SINGLE(Table1[condition]),_xlpm.k,CONCATENATE("*","-xsk","*"),IF(COUNTIF(_xlpm.c,_xlpm.k)&gt;0,1,0))</f>
        <v>0</v>
      </c>
      <c r="D62">
        <f>_xlfn.LET(_xlpm.c,_xlfn.SINGLE(Table1[condition]),_xlpm.k,CONCATENATE("*","-sk","*"),IF(COUNTIF(_xlpm.c,_xlpm.k)&gt;0,1,0))</f>
        <v>1</v>
      </c>
      <c r="E62">
        <f>IF(AND(Table1[[#This Row],[xsk]]=1,Table1[[#This Row],[sk]]=1),0,1)</f>
        <v>1</v>
      </c>
      <c r="F62" t="s">
        <v>35</v>
      </c>
      <c r="G62" s="1">
        <v>1</v>
      </c>
      <c r="H62" s="1">
        <v>1</v>
      </c>
      <c r="I62" s="1">
        <v>0.96122635663163503</v>
      </c>
      <c r="J62" s="1">
        <v>0.96912139174027401</v>
      </c>
      <c r="K62" s="1">
        <v>0.94934715345375997</v>
      </c>
      <c r="L62" s="1">
        <v>0.92728696155296197</v>
      </c>
      <c r="M62" s="1">
        <v>0.99229460061242303</v>
      </c>
      <c r="N62" s="1">
        <v>0.96703512470081798</v>
      </c>
      <c r="O62" s="1">
        <v>0.99900397912322303</v>
      </c>
      <c r="P62" s="1">
        <v>0.95922579492623505</v>
      </c>
      <c r="Q62" s="1">
        <v>0.92935158472979695</v>
      </c>
      <c r="R62" s="1">
        <v>0.96372042726820295</v>
      </c>
      <c r="S62" s="1">
        <v>0.99388318181450597</v>
      </c>
      <c r="T62" s="1">
        <f t="shared" si="6"/>
        <v>0.9701151197349106</v>
      </c>
    </row>
    <row r="63" spans="1:20" ht="30" customHeight="1">
      <c r="A63" t="str">
        <f t="shared" si="5"/>
        <v>russian</v>
      </c>
      <c r="B63">
        <f>_xlfn.LET(_xlpm.c,_xlfn.SINGLE(Table1[condition]),IF(RIGHT(_xlpm.c,2)="1g",1,0))</f>
        <v>0</v>
      </c>
      <c r="C63">
        <f>_xlfn.LET(_xlpm.c,_xlfn.SINGLE(Table1[condition]),_xlpm.k,CONCATENATE("*","-xsk","*"),IF(COUNTIF(_xlpm.c,_xlpm.k)&gt;0,1,0))</f>
        <v>1</v>
      </c>
      <c r="D63">
        <f>_xlfn.LET(_xlpm.c,_xlfn.SINGLE(Table1[condition]),_xlpm.k,CONCATENATE("*","-sk","*"),IF(COUNTIF(_xlpm.c,_xlpm.k)&gt;0,1,0))</f>
        <v>0</v>
      </c>
      <c r="E63">
        <f>IF(AND(Table1[[#This Row],[xsk]]=1,Table1[[#This Row],[sk]]=1),0,1)</f>
        <v>1</v>
      </c>
      <c r="F63" t="s">
        <v>88</v>
      </c>
      <c r="G63" s="1">
        <v>1</v>
      </c>
      <c r="H63" s="1">
        <v>0.96423457448248795</v>
      </c>
      <c r="I63" s="1">
        <v>0.98470052835522703</v>
      </c>
      <c r="J63" s="1">
        <v>0.98628641099376002</v>
      </c>
      <c r="K63" s="1">
        <v>0.96115444234598801</v>
      </c>
      <c r="L63" s="1">
        <v>0.97373998297735498</v>
      </c>
      <c r="M63" s="1">
        <v>0.93837759291922396</v>
      </c>
      <c r="N63" s="1">
        <v>0.99085688910397995</v>
      </c>
      <c r="O63" s="1">
        <v>0.97891363315485602</v>
      </c>
      <c r="P63" s="1">
        <v>0.99878047873639997</v>
      </c>
      <c r="Q63" s="1">
        <v>0.99904214119974699</v>
      </c>
      <c r="R63" s="1">
        <v>0.97399265676916702</v>
      </c>
      <c r="S63" s="1">
        <v>1</v>
      </c>
      <c r="T63" s="1">
        <f t="shared" si="6"/>
        <v>0.98077533315678389</v>
      </c>
    </row>
    <row r="64" spans="1:20" ht="30" customHeight="1">
      <c r="A64" t="str">
        <f t="shared" si="5"/>
        <v>russian</v>
      </c>
      <c r="B64">
        <f>_xlfn.LET(_xlpm.c,_xlfn.SINGLE(Table1[condition]),IF(RIGHT(_xlpm.c,2)="1g",1,0))</f>
        <v>0</v>
      </c>
      <c r="C64">
        <f>_xlfn.LET(_xlpm.c,_xlfn.SINGLE(Table1[condition]),_xlpm.k,CONCATENATE("*","-xsk","*"),IF(COUNTIF(_xlpm.c,_xlpm.k)&gt;0,1,0))</f>
        <v>1</v>
      </c>
      <c r="D64">
        <f>_xlfn.LET(_xlpm.c,_xlfn.SINGLE(Table1[condition]),_xlpm.k,CONCATENATE("*","-sk","*"),IF(COUNTIF(_xlpm.c,_xlpm.k)&gt;0,1,0))</f>
        <v>0</v>
      </c>
      <c r="E64">
        <f>IF(AND(Table1[[#This Row],[xsk]]=1,Table1[[#This Row],[sk]]=1),0,1)</f>
        <v>1</v>
      </c>
      <c r="F64" t="s">
        <v>89</v>
      </c>
      <c r="G64" s="1">
        <v>0.81295293337261598</v>
      </c>
      <c r="H64" s="1">
        <v>0.98277711275193502</v>
      </c>
      <c r="I64" s="1">
        <v>0.93938052671463002</v>
      </c>
      <c r="J64" s="1">
        <v>0.98072241596548804</v>
      </c>
      <c r="K64" s="1">
        <v>0.94794928364169495</v>
      </c>
      <c r="L64" s="1">
        <v>0.99224681941902404</v>
      </c>
      <c r="M64" s="1">
        <v>0.98597126179647998</v>
      </c>
      <c r="N64" s="1">
        <v>0.98122110329422796</v>
      </c>
      <c r="O64" s="1">
        <v>0.77168070111457499</v>
      </c>
      <c r="P64" s="1">
        <v>0.95578253243174804</v>
      </c>
      <c r="Q64" s="1">
        <v>0.91168387373740001</v>
      </c>
      <c r="R64" s="1">
        <v>0.75987035042442097</v>
      </c>
      <c r="S64" s="1">
        <v>0.94887525562372199</v>
      </c>
      <c r="T64" s="1">
        <f t="shared" si="6"/>
        <v>0.92085493617599701</v>
      </c>
    </row>
    <row r="65" spans="1:20" ht="30" customHeight="1">
      <c r="A65" t="str">
        <f t="shared" si="1"/>
        <v>spanish</v>
      </c>
      <c r="B65">
        <f>_xlfn.LET(_xlpm.c,_xlfn.SINGLE(Table1[condition]),IF(RIGHT(_xlpm.c,2)="1g",1,0))</f>
        <v>1</v>
      </c>
      <c r="C65">
        <f>_xlfn.LET(_xlpm.c,_xlfn.SINGLE(Table1[condition]),_xlpm.k,CONCATENATE("*","-xsk","*"),IF(COUNTIF(_xlpm.c,_xlpm.k)&gt;0,1,0))</f>
        <v>0</v>
      </c>
      <c r="D65">
        <f>_xlfn.LET(_xlpm.c,_xlfn.SINGLE(Table1[condition]),_xlpm.k,CONCATENATE("*","-sk","*"),IF(COUNTIF(_xlpm.c,_xlpm.k)&gt;0,1,0))</f>
        <v>0</v>
      </c>
      <c r="E65">
        <f>IF(AND(Table1[[#This Row],[xsk]]=1,Table1[[#This Row],[sk]]=1),0,1)</f>
        <v>1</v>
      </c>
      <c r="F65" t="s">
        <v>104</v>
      </c>
      <c r="G65" s="1">
        <v>0.78475913251114104</v>
      </c>
      <c r="H65" s="1">
        <v>0.77844815366947695</v>
      </c>
      <c r="I65" s="1">
        <v>0.53320499115623399</v>
      </c>
      <c r="J65" s="1">
        <v>0.37902921451610799</v>
      </c>
      <c r="K65" s="1">
        <v>0</v>
      </c>
      <c r="L65" s="1">
        <v>0</v>
      </c>
      <c r="M65" s="1">
        <v>0</v>
      </c>
      <c r="N65" s="1">
        <v>0.28787067120355597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f t="shared" si="2"/>
        <v>0.21256247408127049</v>
      </c>
    </row>
    <row r="66" spans="1:20" ht="30" customHeight="1">
      <c r="A66" t="str">
        <f t="shared" si="1"/>
        <v>spanish</v>
      </c>
      <c r="B66">
        <f>_xlfn.LET(_xlpm.c,_xlfn.SINGLE(Table1[condition]),IF(RIGHT(_xlpm.c,2)="1g",1,0))</f>
        <v>0</v>
      </c>
      <c r="C66">
        <f>_xlfn.LET(_xlpm.c,_xlfn.SINGLE(Table1[condition]),_xlpm.k,CONCATENATE("*","-xsk","*"),IF(COUNTIF(_xlpm.c,_xlpm.k)&gt;0,1,0))</f>
        <v>0</v>
      </c>
      <c r="D66">
        <f>_xlfn.LET(_xlpm.c,_xlfn.SINGLE(Table1[condition]),_xlpm.k,CONCATENATE("*","-sk","*"),IF(COUNTIF(_xlpm.c,_xlpm.k)&gt;0,1,0))</f>
        <v>0</v>
      </c>
      <c r="E66">
        <f>IF(AND(Table1[[#This Row],[xsk]]=1,Table1[[#This Row],[sk]]=1),0,1)</f>
        <v>1</v>
      </c>
      <c r="F66" t="s">
        <v>105</v>
      </c>
      <c r="G66" s="1">
        <v>0.67686167585168999</v>
      </c>
      <c r="H66" s="1">
        <v>0.38671346765083298</v>
      </c>
      <c r="I66" s="1">
        <v>0.34101148246185697</v>
      </c>
      <c r="J66" s="1">
        <v>0</v>
      </c>
      <c r="K66" s="1">
        <v>0.38717687509259002</v>
      </c>
      <c r="L66" s="1">
        <v>0.24698280559812</v>
      </c>
      <c r="M66" s="1">
        <v>0.303123436340762</v>
      </c>
      <c r="N66" s="1">
        <v>0.26380780828156902</v>
      </c>
      <c r="O66" s="1">
        <v>0</v>
      </c>
      <c r="P66" s="1">
        <v>0.29487750441008598</v>
      </c>
      <c r="Q66" s="1">
        <v>1</v>
      </c>
      <c r="R66" s="1">
        <v>0.30617780226241698</v>
      </c>
      <c r="S66" s="1">
        <v>0</v>
      </c>
      <c r="T66" s="1">
        <f t="shared" si="2"/>
        <v>0.32359483522691723</v>
      </c>
    </row>
    <row r="67" spans="1:20" ht="30" customHeight="1">
      <c r="A67" t="str">
        <f t="shared" si="1"/>
        <v>spanish</v>
      </c>
      <c r="B67">
        <f>_xlfn.LET(_xlpm.c,_xlfn.SINGLE(Table1[condition]),IF(RIGHT(_xlpm.c,2)="1g",1,0))</f>
        <v>0</v>
      </c>
      <c r="C67">
        <f>_xlfn.LET(_xlpm.c,_xlfn.SINGLE(Table1[condition]),_xlpm.k,CONCATENATE("*","-xsk","*"),IF(COUNTIF(_xlpm.c,_xlpm.k)&gt;0,1,0))</f>
        <v>0</v>
      </c>
      <c r="D67">
        <f>_xlfn.LET(_xlpm.c,_xlfn.SINGLE(Table1[condition]),_xlpm.k,CONCATENATE("*","-sk","*"),IF(COUNTIF(_xlpm.c,_xlpm.k)&gt;0,1,0))</f>
        <v>0</v>
      </c>
      <c r="E67">
        <f>IF(AND(Table1[[#This Row],[xsk]]=1,Table1[[#This Row],[sk]]=1),0,1)</f>
        <v>1</v>
      </c>
      <c r="F67" t="s">
        <v>106</v>
      </c>
      <c r="G67" s="1">
        <v>0.311907879763621</v>
      </c>
      <c r="H67" s="1">
        <v>0.40889317781755702</v>
      </c>
      <c r="I67" s="1">
        <v>0.55192385340109895</v>
      </c>
      <c r="J67" s="1">
        <v>0.313761809336292</v>
      </c>
      <c r="K67" s="1">
        <v>0.28983918070064102</v>
      </c>
      <c r="L67" s="1">
        <v>0.31226525172286002</v>
      </c>
      <c r="M67" s="1">
        <v>1</v>
      </c>
      <c r="N67" s="1">
        <v>0.19277790126502101</v>
      </c>
      <c r="O67" s="1">
        <v>0</v>
      </c>
      <c r="P67" s="1">
        <v>0</v>
      </c>
      <c r="Q67" s="1">
        <v>0.380897963235309</v>
      </c>
      <c r="R67" s="1">
        <v>0.27326630399237301</v>
      </c>
      <c r="S67" s="1">
        <v>0</v>
      </c>
      <c r="T67" s="1">
        <f t="shared" si="2"/>
        <v>0.31042564009498247</v>
      </c>
    </row>
    <row r="68" spans="1:20" ht="30" customHeight="1">
      <c r="A68" t="str">
        <f t="shared" si="1"/>
        <v>spanish</v>
      </c>
      <c r="B68">
        <f>_xlfn.LET(_xlpm.c,_xlfn.SINGLE(Table1[condition]),IF(RIGHT(_xlpm.c,2)="1g",1,0))</f>
        <v>0</v>
      </c>
      <c r="C68">
        <f>_xlfn.LET(_xlpm.c,_xlfn.SINGLE(Table1[condition]),_xlpm.k,CONCATENATE("*","-xsk","*"),IF(COUNTIF(_xlpm.c,_xlpm.k)&gt;0,1,0))</f>
        <v>0</v>
      </c>
      <c r="D68">
        <f>_xlfn.LET(_xlpm.c,_xlfn.SINGLE(Table1[condition]),_xlpm.k,CONCATENATE("*","-sk","*"),IF(COUNTIF(_xlpm.c,_xlpm.k)&gt;0,1,0))</f>
        <v>1</v>
      </c>
      <c r="E68">
        <f>IF(AND(Table1[[#This Row],[xsk]]=1,Table1[[#This Row],[sk]]=1),0,1)</f>
        <v>1</v>
      </c>
      <c r="F68" t="s">
        <v>107</v>
      </c>
      <c r="G68" s="1">
        <v>0.55685861142107995</v>
      </c>
      <c r="H68" s="1">
        <v>1</v>
      </c>
      <c r="I68" s="1">
        <v>0.50687462270485195</v>
      </c>
      <c r="J68" s="1">
        <v>0.21266782244771601</v>
      </c>
      <c r="K68" s="1">
        <v>0.30718439061324798</v>
      </c>
      <c r="L68" s="1">
        <v>0.55192385340109895</v>
      </c>
      <c r="M68" s="1">
        <v>0.276795307824452</v>
      </c>
      <c r="N68" s="1">
        <v>0.35626036259156701</v>
      </c>
      <c r="O68" s="1">
        <v>0.36944918908234198</v>
      </c>
      <c r="P68" s="1">
        <v>0.53589838486224495</v>
      </c>
      <c r="Q68" s="1">
        <v>0.45297759021626099</v>
      </c>
      <c r="R68" s="1">
        <v>1</v>
      </c>
      <c r="S68" s="1">
        <v>0.33312408431662599</v>
      </c>
      <c r="T68" s="1">
        <f t="shared" si="2"/>
        <v>0.49692417072934525</v>
      </c>
    </row>
    <row r="69" spans="1:20" ht="30" customHeight="1">
      <c r="A69" t="str">
        <f t="shared" si="1"/>
        <v>spanish</v>
      </c>
      <c r="B69">
        <f>_xlfn.LET(_xlpm.c,_xlfn.SINGLE(Table1[condition]),IF(RIGHT(_xlpm.c,2)="1g",1,0))</f>
        <v>0</v>
      </c>
      <c r="C69">
        <f>_xlfn.LET(_xlpm.c,_xlfn.SINGLE(Table1[condition]),_xlpm.k,CONCATENATE("*","-xsk","*"),IF(COUNTIF(_xlpm.c,_xlpm.k)&gt;0,1,0))</f>
        <v>0</v>
      </c>
      <c r="D69">
        <f>_xlfn.LET(_xlpm.c,_xlfn.SINGLE(Table1[condition]),_xlpm.k,CONCATENATE("*","-sk","*"),IF(COUNTIF(_xlpm.c,_xlpm.k)&gt;0,1,0))</f>
        <v>1</v>
      </c>
      <c r="E69">
        <f>IF(AND(Table1[[#This Row],[xsk]]=1,Table1[[#This Row],[sk]]=1),0,1)</f>
        <v>1</v>
      </c>
      <c r="F69" t="s">
        <v>108</v>
      </c>
      <c r="G69" s="1">
        <v>0.39812629261158999</v>
      </c>
      <c r="H69" s="1">
        <v>0</v>
      </c>
      <c r="I69" s="1">
        <v>0.61111195229270399</v>
      </c>
      <c r="J69" s="1">
        <v>0.30910393925858998</v>
      </c>
      <c r="K69" s="1">
        <v>0.36063186190621199</v>
      </c>
      <c r="L69" s="1">
        <v>1</v>
      </c>
      <c r="M69" s="1">
        <v>0.48629107207096001</v>
      </c>
      <c r="N69" s="1">
        <v>1</v>
      </c>
      <c r="O69" s="1">
        <v>0.54299858903940601</v>
      </c>
      <c r="P69" s="1">
        <v>0.397217528291406</v>
      </c>
      <c r="Q69" s="1">
        <v>0.53168006940159895</v>
      </c>
      <c r="R69" s="1">
        <v>1</v>
      </c>
      <c r="S69" s="1">
        <v>0.33915345282772102</v>
      </c>
      <c r="T69" s="1">
        <f t="shared" si="2"/>
        <v>0.53663959674616823</v>
      </c>
    </row>
    <row r="70" spans="1:20" ht="30" customHeight="1">
      <c r="A70" t="str">
        <f t="shared" si="1"/>
        <v>spanish</v>
      </c>
      <c r="B70">
        <f>_xlfn.LET(_xlpm.c,_xlfn.SINGLE(Table1[condition]),IF(RIGHT(_xlpm.c,2)="1g",1,0))</f>
        <v>0</v>
      </c>
      <c r="C70">
        <f>_xlfn.LET(_xlpm.c,_xlfn.SINGLE(Table1[condition]),_xlpm.k,CONCATENATE("*","-xsk","*"),IF(COUNTIF(_xlpm.c,_xlpm.k)&gt;0,1,0))</f>
        <v>1</v>
      </c>
      <c r="D70">
        <f>_xlfn.LET(_xlpm.c,_xlfn.SINGLE(Table1[condition]),_xlpm.k,CONCATENATE("*","-sk","*"),IF(COUNTIF(_xlpm.c,_xlpm.k)&gt;0,1,0))</f>
        <v>0</v>
      </c>
      <c r="E70">
        <f>IF(AND(Table1[[#This Row],[xsk]]=1,Table1[[#This Row],[sk]]=1),0,1)</f>
        <v>1</v>
      </c>
      <c r="F70" t="s">
        <v>109</v>
      </c>
      <c r="G70" s="1">
        <v>1</v>
      </c>
      <c r="H70" s="1">
        <v>0.84581742998550002</v>
      </c>
      <c r="I70" s="1">
        <v>1</v>
      </c>
      <c r="J70" s="1">
        <v>1</v>
      </c>
      <c r="K70" s="1">
        <v>0.98989624020233402</v>
      </c>
      <c r="L70" s="1">
        <v>0.52786404500041995</v>
      </c>
      <c r="M70" s="1">
        <v>0</v>
      </c>
      <c r="N70" s="1">
        <v>0.52811552497134695</v>
      </c>
      <c r="O70" s="1">
        <v>0.37800581720863002</v>
      </c>
      <c r="P70" s="1">
        <v>0.29242281967962602</v>
      </c>
      <c r="Q70" s="1">
        <v>1</v>
      </c>
      <c r="R70" s="1">
        <v>0</v>
      </c>
      <c r="S70" s="1">
        <v>0</v>
      </c>
      <c r="T70" s="1">
        <f t="shared" si="2"/>
        <v>0.58170168284983526</v>
      </c>
    </row>
    <row r="71" spans="1:20" ht="30" customHeight="1">
      <c r="A71" t="str">
        <f t="shared" ref="A71:A85" si="7">_xlfn.LET(_xlpm.c,$F71,_xlfn.TEXTBEFORE(_xlpm.c,"-"))</f>
        <v>spanish</v>
      </c>
      <c r="B71">
        <f>_xlfn.LET(_xlpm.c,_xlfn.SINGLE(Table1[condition]),IF(RIGHT(_xlpm.c,2)="1g",1,0))</f>
        <v>0</v>
      </c>
      <c r="C71">
        <f>_xlfn.LET(_xlpm.c,_xlfn.SINGLE(Table1[condition]),_xlpm.k,CONCATENATE("*","-xsk","*"),IF(COUNTIF(_xlpm.c,_xlpm.k)&gt;0,1,0))</f>
        <v>1</v>
      </c>
      <c r="D71">
        <f>_xlfn.LET(_xlpm.c,_xlfn.SINGLE(Table1[condition]),_xlpm.k,CONCATENATE("*","-sk","*"),IF(COUNTIF(_xlpm.c,_xlpm.k)&gt;0,1,0))</f>
        <v>0</v>
      </c>
      <c r="E71">
        <f>IF(AND(Table1[[#This Row],[xsk]]=1,Table1[[#This Row],[sk]]=1),0,1)</f>
        <v>1</v>
      </c>
      <c r="F71" t="s">
        <v>110</v>
      </c>
      <c r="G71" s="1">
        <v>1</v>
      </c>
      <c r="H71" s="1">
        <v>0.74236757054276203</v>
      </c>
      <c r="I71" s="1">
        <v>0.56087423743381004</v>
      </c>
      <c r="J71" s="1">
        <v>0.633908383100239</v>
      </c>
      <c r="K71" s="1">
        <v>1</v>
      </c>
      <c r="L71" s="1">
        <v>0.472135954999579</v>
      </c>
      <c r="M71" s="1">
        <v>0.98947368421052595</v>
      </c>
      <c r="N71" s="1">
        <v>0.55364064334327101</v>
      </c>
      <c r="O71" s="1">
        <v>0.54261502217327795</v>
      </c>
      <c r="P71" s="1">
        <v>0.46958483853979999</v>
      </c>
      <c r="Q71" s="1">
        <v>0</v>
      </c>
      <c r="R71" s="1">
        <v>0.48223566912279497</v>
      </c>
      <c r="S71" s="1">
        <v>0.24319102727788</v>
      </c>
      <c r="T71" s="1">
        <f t="shared" si="0"/>
        <v>0.5915405408264568</v>
      </c>
    </row>
    <row r="72" spans="1:20" ht="30" customHeight="1">
      <c r="A72" t="str">
        <f t="shared" si="7"/>
        <v>swahili</v>
      </c>
      <c r="B72">
        <f>_xlfn.LET(_xlpm.c,_xlfn.SINGLE(Table1[condition]),IF(RIGHT(_xlpm.c,2)="1g",1,0))</f>
        <v>1</v>
      </c>
      <c r="C72">
        <f>_xlfn.LET(_xlpm.c,_xlfn.SINGLE(Table1[condition]),_xlpm.k,CONCATENATE("*","-xsk","*"),IF(COUNTIF(_xlpm.c,_xlpm.k)&gt;0,1,0))</f>
        <v>0</v>
      </c>
      <c r="D72">
        <f>_xlfn.LET(_xlpm.c,_xlfn.SINGLE(Table1[condition]),_xlpm.k,CONCATENATE("*","-sk","*"),IF(COUNTIF(_xlpm.c,_xlpm.k)&gt;0,1,0))</f>
        <v>0</v>
      </c>
      <c r="E72">
        <f>IF(AND(Table1[[#This Row],[xsk]]=1,Table1[[#This Row],[sk]]=1),0,1)</f>
        <v>1</v>
      </c>
      <c r="F72" t="s">
        <v>111</v>
      </c>
      <c r="G72" s="1">
        <v>0.65426397862962604</v>
      </c>
      <c r="H72" s="1">
        <v>0.79912005518889395</v>
      </c>
      <c r="I72" s="1">
        <v>0.89264411733537197</v>
      </c>
      <c r="J72" s="1">
        <v>0.72420261225834404</v>
      </c>
      <c r="K72" s="1">
        <v>0.37474117666165302</v>
      </c>
      <c r="L72" s="1">
        <v>0.34281022316828302</v>
      </c>
      <c r="M72" s="1">
        <v>0.44024262359371802</v>
      </c>
      <c r="N72" s="1">
        <v>0.45639078086676299</v>
      </c>
      <c r="O72" s="1">
        <v>0.32336930111123302</v>
      </c>
      <c r="P72" s="1">
        <v>0.37039296866565702</v>
      </c>
      <c r="Q72" s="1">
        <v>0.322737946909882</v>
      </c>
      <c r="R72" s="1">
        <v>0</v>
      </c>
      <c r="S72" s="1">
        <v>0</v>
      </c>
      <c r="T72" s="1">
        <f t="shared" si="0"/>
        <v>0.43853198341457122</v>
      </c>
    </row>
    <row r="73" spans="1:20" ht="30" customHeight="1">
      <c r="A73" t="str">
        <f t="shared" si="7"/>
        <v>swahili</v>
      </c>
      <c r="B73">
        <f>_xlfn.LET(_xlpm.c,_xlfn.SINGLE(Table1[condition]),IF(RIGHT(_xlpm.c,2)="1g",1,0))</f>
        <v>0</v>
      </c>
      <c r="C73">
        <f>_xlfn.LET(_xlpm.c,_xlfn.SINGLE(Table1[condition]),_xlpm.k,CONCATENATE("*","-xsk","*"),IF(COUNTIF(_xlpm.c,_xlpm.k)&gt;0,1,0))</f>
        <v>0</v>
      </c>
      <c r="D73">
        <f>_xlfn.LET(_xlpm.c,_xlfn.SINGLE(Table1[condition]),_xlpm.k,CONCATENATE("*","-sk","*"),IF(COUNTIF(_xlpm.c,_xlpm.k)&gt;0,1,0))</f>
        <v>0</v>
      </c>
      <c r="E73">
        <f>IF(AND(Table1[[#This Row],[xsk]]=1,Table1[[#This Row],[sk]]=1),0,1)</f>
        <v>1</v>
      </c>
      <c r="F73" t="s">
        <v>112</v>
      </c>
      <c r="G73" s="1">
        <v>0.57174121469346595</v>
      </c>
      <c r="H73" s="1">
        <v>0.75712484468278796</v>
      </c>
      <c r="I73" s="1">
        <v>0.53786177608400099</v>
      </c>
      <c r="J73" s="1">
        <v>0.42322088611737801</v>
      </c>
      <c r="K73" s="1">
        <v>0.38312741038254</v>
      </c>
      <c r="L73" s="1">
        <v>0.52854053402177703</v>
      </c>
      <c r="M73" s="1">
        <v>0</v>
      </c>
      <c r="N73" s="1">
        <v>0.42513525572663902</v>
      </c>
      <c r="O73" s="1">
        <v>0.472119917244537</v>
      </c>
      <c r="P73" s="1">
        <v>0.64352565853883803</v>
      </c>
      <c r="Q73" s="1">
        <v>0.49411522529713098</v>
      </c>
      <c r="R73" s="1">
        <v>0.41949698138397901</v>
      </c>
      <c r="S73" s="1">
        <v>0.37693562966386102</v>
      </c>
      <c r="T73" s="1">
        <f t="shared" si="0"/>
        <v>0.46407271798745653</v>
      </c>
    </row>
    <row r="74" spans="1:20" ht="30" customHeight="1">
      <c r="A74" t="str">
        <f t="shared" si="7"/>
        <v>swahili</v>
      </c>
      <c r="B74">
        <f>_xlfn.LET(_xlpm.c,_xlfn.SINGLE(Table1[condition]),IF(RIGHT(_xlpm.c,2)="1g",1,0))</f>
        <v>0</v>
      </c>
      <c r="C74">
        <f>_xlfn.LET(_xlpm.c,_xlfn.SINGLE(Table1[condition]),_xlpm.k,CONCATENATE("*","-xsk","*"),IF(COUNTIF(_xlpm.c,_xlpm.k)&gt;0,1,0))</f>
        <v>0</v>
      </c>
      <c r="D74">
        <f>_xlfn.LET(_xlpm.c,_xlfn.SINGLE(Table1[condition]),_xlpm.k,CONCATENATE("*","-sk","*"),IF(COUNTIF(_xlpm.c,_xlpm.k)&gt;0,1,0))</f>
        <v>0</v>
      </c>
      <c r="E74">
        <f>IF(AND(Table1[[#This Row],[xsk]]=1,Table1[[#This Row],[sk]]=1),0,1)</f>
        <v>1</v>
      </c>
      <c r="F74" t="s">
        <v>113</v>
      </c>
      <c r="G74" s="1">
        <v>0.63951030221773297</v>
      </c>
      <c r="H74" s="1">
        <v>0.76360240460277795</v>
      </c>
      <c r="I74" s="1">
        <v>0.52352173523650403</v>
      </c>
      <c r="J74" s="1">
        <v>0.32305549156898899</v>
      </c>
      <c r="K74" s="1">
        <v>0.551858339962772</v>
      </c>
      <c r="L74" s="1">
        <v>0.46668343012517899</v>
      </c>
      <c r="M74" s="1">
        <v>0</v>
      </c>
      <c r="N74" s="1">
        <v>0.48299001505112499</v>
      </c>
      <c r="O74" s="1">
        <v>0</v>
      </c>
      <c r="P74" s="1">
        <v>0.34839890822278802</v>
      </c>
      <c r="Q74" s="1">
        <v>0.29798936759223199</v>
      </c>
      <c r="R74" s="1">
        <v>0.53962778485880503</v>
      </c>
      <c r="S74" s="1">
        <v>0.37690559753514702</v>
      </c>
      <c r="T74" s="1">
        <f t="shared" si="0"/>
        <v>0.40878025976723475</v>
      </c>
    </row>
    <row r="75" spans="1:20" ht="30" customHeight="1">
      <c r="A75" t="str">
        <f t="shared" si="7"/>
        <v>swahili</v>
      </c>
      <c r="B75">
        <f>_xlfn.LET(_xlpm.c,_xlfn.SINGLE(Table1[condition]),IF(RIGHT(_xlpm.c,2)="1g",1,0))</f>
        <v>0</v>
      </c>
      <c r="C75">
        <f>_xlfn.LET(_xlpm.c,_xlfn.SINGLE(Table1[condition]),_xlpm.k,CONCATENATE("*","-xsk","*"),IF(COUNTIF(_xlpm.c,_xlpm.k)&gt;0,1,0))</f>
        <v>0</v>
      </c>
      <c r="D75">
        <f>_xlfn.LET(_xlpm.c,_xlfn.SINGLE(Table1[condition]),_xlpm.k,CONCATENATE("*","-sk","*"),IF(COUNTIF(_xlpm.c,_xlpm.k)&gt;0,1,0))</f>
        <v>1</v>
      </c>
      <c r="E75">
        <f>IF(AND(Table1[[#This Row],[xsk]]=1,Table1[[#This Row],[sk]]=1),0,1)</f>
        <v>1</v>
      </c>
      <c r="F75" t="s">
        <v>114</v>
      </c>
      <c r="G75" s="1">
        <v>0.39470767697355402</v>
      </c>
      <c r="H75" s="1">
        <v>0.65761299226873005</v>
      </c>
      <c r="I75" s="1">
        <v>0.31483462760930903</v>
      </c>
      <c r="J75" s="1">
        <v>0.41825715338507802</v>
      </c>
      <c r="K75" s="1">
        <v>0.319300108730322</v>
      </c>
      <c r="L75" s="1">
        <v>0.21892686418252499</v>
      </c>
      <c r="M75" s="1">
        <v>0.24091551482654799</v>
      </c>
      <c r="N75" s="1">
        <v>0.38219802557801802</v>
      </c>
      <c r="O75" s="1">
        <v>0.57994043742002699</v>
      </c>
      <c r="P75" s="1">
        <v>0</v>
      </c>
      <c r="Q75" s="1">
        <v>0.37478149032179398</v>
      </c>
      <c r="R75" s="1">
        <v>0</v>
      </c>
      <c r="S75" s="1">
        <v>0.40676270286314797</v>
      </c>
      <c r="T75" s="1">
        <f t="shared" si="0"/>
        <v>0.33140289185838867</v>
      </c>
    </row>
    <row r="76" spans="1:20" ht="30" customHeight="1">
      <c r="A76" t="str">
        <f t="shared" si="7"/>
        <v>swahili</v>
      </c>
      <c r="B76">
        <f>_xlfn.LET(_xlpm.c,_xlfn.SINGLE(Table1[condition]),IF(RIGHT(_xlpm.c,2)="1g",1,0))</f>
        <v>0</v>
      </c>
      <c r="C76">
        <f>_xlfn.LET(_xlpm.c,_xlfn.SINGLE(Table1[condition]),_xlpm.k,CONCATENATE("*","-xsk","*"),IF(COUNTIF(_xlpm.c,_xlpm.k)&gt;0,1,0))</f>
        <v>0</v>
      </c>
      <c r="D76">
        <f>_xlfn.LET(_xlpm.c,_xlfn.SINGLE(Table1[condition]),_xlpm.k,CONCATENATE("*","-sk","*"),IF(COUNTIF(_xlpm.c,_xlpm.k)&gt;0,1,0))</f>
        <v>1</v>
      </c>
      <c r="E76">
        <f>IF(AND(Table1[[#This Row],[xsk]]=1,Table1[[#This Row],[sk]]=1),0,1)</f>
        <v>1</v>
      </c>
      <c r="F76" t="s">
        <v>115</v>
      </c>
      <c r="G76" s="1">
        <v>0.225910847545673</v>
      </c>
      <c r="H76" s="1">
        <v>0.607526602102063</v>
      </c>
      <c r="I76" s="1">
        <v>0.442536778442158</v>
      </c>
      <c r="J76" s="1">
        <v>0.56306045780867398</v>
      </c>
      <c r="K76" s="1">
        <v>0.61698528895790195</v>
      </c>
      <c r="L76" s="1">
        <v>0.25597568694599898</v>
      </c>
      <c r="M76" s="1">
        <v>0.33146316486371802</v>
      </c>
      <c r="N76" s="1">
        <v>0</v>
      </c>
      <c r="O76" s="1">
        <v>0.58920819569826199</v>
      </c>
      <c r="P76" s="1">
        <v>0</v>
      </c>
      <c r="Q76" s="1">
        <v>0.35685547265117001</v>
      </c>
      <c r="R76" s="1">
        <v>0.267538303279519</v>
      </c>
      <c r="S76" s="1">
        <v>0.59130727958166196</v>
      </c>
      <c r="T76" s="1">
        <f t="shared" si="0"/>
        <v>0.37295139060590771</v>
      </c>
    </row>
    <row r="77" spans="1:20" ht="30" customHeight="1">
      <c r="A77" t="str">
        <f t="shared" si="7"/>
        <v>swahili</v>
      </c>
      <c r="B77">
        <f>_xlfn.LET(_xlpm.c,_xlfn.SINGLE(Table1[condition]),IF(RIGHT(_xlpm.c,2)="1g",1,0))</f>
        <v>0</v>
      </c>
      <c r="C77">
        <f>_xlfn.LET(_xlpm.c,_xlfn.SINGLE(Table1[condition]),_xlpm.k,CONCATENATE("*","-xsk","*"),IF(COUNTIF(_xlpm.c,_xlpm.k)&gt;0,1,0))</f>
        <v>1</v>
      </c>
      <c r="D77">
        <f>_xlfn.LET(_xlpm.c,_xlfn.SINGLE(Table1[condition]),_xlpm.k,CONCATENATE("*","-sk","*"),IF(COUNTIF(_xlpm.c,_xlpm.k)&gt;0,1,0))</f>
        <v>0</v>
      </c>
      <c r="E77">
        <f>IF(AND(Table1[[#This Row],[xsk]]=1,Table1[[#This Row],[sk]]=1),0,1)</f>
        <v>1</v>
      </c>
      <c r="F77" t="s">
        <v>116</v>
      </c>
      <c r="G77" s="1">
        <v>0.56018409057320695</v>
      </c>
      <c r="H77" s="1">
        <v>0.40473056993795298</v>
      </c>
      <c r="I77" s="1">
        <v>0.47581179598983803</v>
      </c>
      <c r="J77" s="1">
        <v>0.402153250398604</v>
      </c>
      <c r="K77" s="1">
        <v>0.479440192263485</v>
      </c>
      <c r="L77" s="1">
        <v>0.67778309259431602</v>
      </c>
      <c r="M77" s="1">
        <v>0.273994709559432</v>
      </c>
      <c r="N77" s="1">
        <v>0.37608616953083002</v>
      </c>
      <c r="O77" s="1">
        <v>0.61863888940515999</v>
      </c>
      <c r="P77" s="1">
        <v>0.31286428163679297</v>
      </c>
      <c r="Q77" s="1">
        <v>0.44718115336805497</v>
      </c>
      <c r="R77" s="1">
        <v>0</v>
      </c>
      <c r="S77" s="1">
        <v>0.43295574827685801</v>
      </c>
      <c r="T77" s="1">
        <f t="shared" si="0"/>
        <v>0.42014030334881014</v>
      </c>
    </row>
    <row r="78" spans="1:20" ht="30" customHeight="1">
      <c r="A78" t="str">
        <f t="shared" si="7"/>
        <v>swahili</v>
      </c>
      <c r="B78">
        <f>_xlfn.LET(_xlpm.c,_xlfn.SINGLE(Table1[condition]),IF(RIGHT(_xlpm.c,2)="1g",1,0))</f>
        <v>0</v>
      </c>
      <c r="C78">
        <f>_xlfn.LET(_xlpm.c,_xlfn.SINGLE(Table1[condition]),_xlpm.k,CONCATENATE("*","-xsk","*"),IF(COUNTIF(_xlpm.c,_xlpm.k)&gt;0,1,0))</f>
        <v>1</v>
      </c>
      <c r="D78">
        <f>_xlfn.LET(_xlpm.c,_xlfn.SINGLE(Table1[condition]),_xlpm.k,CONCATENATE("*","-sk","*"),IF(COUNTIF(_xlpm.c,_xlpm.k)&gt;0,1,0))</f>
        <v>0</v>
      </c>
      <c r="E78">
        <f>IF(AND(Table1[[#This Row],[xsk]]=1,Table1[[#This Row],[sk]]=1),0,1)</f>
        <v>1</v>
      </c>
      <c r="F78" t="s">
        <v>117</v>
      </c>
      <c r="G78" s="1">
        <v>0.69587640460378097</v>
      </c>
      <c r="H78" s="1">
        <v>0.62695423678189799</v>
      </c>
      <c r="I78" s="1">
        <v>0.63388832193204403</v>
      </c>
      <c r="J78" s="1">
        <v>0.412186707150003</v>
      </c>
      <c r="K78" s="1">
        <v>0.42987995797607098</v>
      </c>
      <c r="L78" s="1">
        <v>0.54404935516272002</v>
      </c>
      <c r="M78" s="1">
        <v>0</v>
      </c>
      <c r="N78" s="1">
        <v>0.59979057863903895</v>
      </c>
      <c r="O78" s="1">
        <v>0</v>
      </c>
      <c r="P78" s="1">
        <v>0.43629348281715902</v>
      </c>
      <c r="Q78" s="1">
        <v>0.38427622385131399</v>
      </c>
      <c r="R78" s="1">
        <v>0.41657724385745898</v>
      </c>
      <c r="S78" s="1">
        <v>0.79201584727535301</v>
      </c>
      <c r="T78" s="1">
        <f t="shared" si="0"/>
        <v>0.45936833538821858</v>
      </c>
    </row>
    <row r="79" spans="1:20" ht="30" customHeight="1">
      <c r="A79" t="str">
        <f t="shared" si="7"/>
        <v>turkish</v>
      </c>
      <c r="B79">
        <f>_xlfn.LET(_xlpm.c,_xlfn.SINGLE(Table1[condition]),IF(RIGHT(_xlpm.c,2)="1g",1,0))</f>
        <v>1</v>
      </c>
      <c r="C79">
        <f>_xlfn.LET(_xlpm.c,_xlfn.SINGLE(Table1[condition]),_xlpm.k,CONCATENATE("*","-xsk","*"),IF(COUNTIF(_xlpm.c,_xlpm.k)&gt;0,1,0))</f>
        <v>0</v>
      </c>
      <c r="D79">
        <f>_xlfn.LET(_xlpm.c,_xlfn.SINGLE(Table1[condition]),_xlpm.k,CONCATENATE("*","-sk","*"),IF(COUNTIF(_xlpm.c,_xlpm.k)&gt;0,1,0))</f>
        <v>0</v>
      </c>
      <c r="E79">
        <f>IF(AND(Table1[[#This Row],[xsk]]=1,Table1[[#This Row],[sk]]=1),0,1)</f>
        <v>1</v>
      </c>
      <c r="F79" t="s">
        <v>90</v>
      </c>
      <c r="G79" s="1">
        <v>0.797556132959924</v>
      </c>
      <c r="H79" s="1">
        <v>0.55493917549386396</v>
      </c>
      <c r="I79" s="1">
        <v>1</v>
      </c>
      <c r="J79" s="1">
        <v>0.47098228470166797</v>
      </c>
      <c r="K79" s="1">
        <v>1</v>
      </c>
      <c r="L79" s="1">
        <v>0.76789839284630501</v>
      </c>
      <c r="M79" s="1">
        <v>0.28169887099368501</v>
      </c>
      <c r="N79" s="1">
        <v>1</v>
      </c>
      <c r="O79" s="1">
        <v>0.510618971740604</v>
      </c>
      <c r="P79" s="1">
        <v>0.63972761897316099</v>
      </c>
      <c r="Q79" s="1">
        <v>0.61128763865418501</v>
      </c>
      <c r="R79" s="1">
        <v>1</v>
      </c>
      <c r="S79" s="1">
        <v>0.53168006940159895</v>
      </c>
      <c r="T79" s="1">
        <f t="shared" si="0"/>
        <v>0.70510685813576879</v>
      </c>
    </row>
    <row r="80" spans="1:20" ht="30" customHeight="1">
      <c r="A80" t="str">
        <f t="shared" si="7"/>
        <v>turkish</v>
      </c>
      <c r="B80">
        <f>_xlfn.LET(_xlpm.c,_xlfn.SINGLE(Table1[condition]),IF(RIGHT(_xlpm.c,2)="1g",1,0))</f>
        <v>0</v>
      </c>
      <c r="C80">
        <f>_xlfn.LET(_xlpm.c,_xlfn.SINGLE(Table1[condition]),_xlpm.k,CONCATENATE("*","-xsk","*"),IF(COUNTIF(_xlpm.c,_xlpm.k)&gt;0,1,0))</f>
        <v>0</v>
      </c>
      <c r="D80">
        <f>_xlfn.LET(_xlpm.c,_xlfn.SINGLE(Table1[condition]),_xlpm.k,CONCATENATE("*","-sk","*"),IF(COUNTIF(_xlpm.c,_xlpm.k)&gt;0,1,0))</f>
        <v>0</v>
      </c>
      <c r="E80">
        <f>IF(AND(Table1[[#This Row],[xsk]]=1,Table1[[#This Row],[sk]]=1),0,1)</f>
        <v>1</v>
      </c>
      <c r="F80" t="s">
        <v>91</v>
      </c>
      <c r="G80" s="1">
        <v>0.972650232912881</v>
      </c>
      <c r="H80" s="1">
        <v>0.448710227564322</v>
      </c>
      <c r="I80" s="1">
        <v>0.56350832689629105</v>
      </c>
      <c r="J80" s="1">
        <v>0.46562805311998701</v>
      </c>
      <c r="K80" s="1">
        <v>0.67181368347268899</v>
      </c>
      <c r="L80" s="1">
        <v>0.43524796116846398</v>
      </c>
      <c r="M80" s="1">
        <v>1</v>
      </c>
      <c r="N80" s="1">
        <v>0.27201890252033001</v>
      </c>
      <c r="O80" s="1">
        <v>1</v>
      </c>
      <c r="P80" s="1">
        <v>0.472135954999579</v>
      </c>
      <c r="Q80" s="1">
        <v>0</v>
      </c>
      <c r="R80" s="1">
        <v>1</v>
      </c>
      <c r="S80" s="1">
        <v>0.37041603401659501</v>
      </c>
      <c r="T80" s="1">
        <f t="shared" si="0"/>
        <v>0.59016379820547216</v>
      </c>
    </row>
    <row r="81" spans="1:20" ht="30" customHeight="1">
      <c r="A81" t="str">
        <f t="shared" si="7"/>
        <v>turkish</v>
      </c>
      <c r="B81">
        <f>_xlfn.LET(_xlpm.c,_xlfn.SINGLE(Table1[condition]),IF(RIGHT(_xlpm.c,2)="1g",1,0))</f>
        <v>0</v>
      </c>
      <c r="C81">
        <f>_xlfn.LET(_xlpm.c,_xlfn.SINGLE(Table1[condition]),_xlpm.k,CONCATENATE("*","-xsk","*"),IF(COUNTIF(_xlpm.c,_xlpm.k)&gt;0,1,0))</f>
        <v>0</v>
      </c>
      <c r="D81">
        <f>_xlfn.LET(_xlpm.c,_xlfn.SINGLE(Table1[condition]),_xlpm.k,CONCATENATE("*","-sk","*"),IF(COUNTIF(_xlpm.c,_xlpm.k)&gt;0,1,0))</f>
        <v>0</v>
      </c>
      <c r="E81">
        <f>IF(AND(Table1[[#This Row],[xsk]]=1,Table1[[#This Row],[sk]]=1),0,1)</f>
        <v>1</v>
      </c>
      <c r="F81" t="s">
        <v>92</v>
      </c>
      <c r="G81" s="1">
        <v>0.52700622527687302</v>
      </c>
      <c r="H81" s="1">
        <v>0.38150368937413198</v>
      </c>
      <c r="I81" s="1">
        <v>1</v>
      </c>
      <c r="J81" s="1">
        <v>0.70243814690295403</v>
      </c>
      <c r="K81" s="1">
        <v>0.40708895068857598</v>
      </c>
      <c r="L81" s="1">
        <v>1</v>
      </c>
      <c r="M81" s="1">
        <v>1</v>
      </c>
      <c r="N81" s="1">
        <v>0.464101615137754</v>
      </c>
      <c r="O81" s="1">
        <v>0.85858585858585801</v>
      </c>
      <c r="P81" s="1">
        <v>0.48912529307605701</v>
      </c>
      <c r="Q81" s="1">
        <v>1</v>
      </c>
      <c r="R81" s="1">
        <v>1</v>
      </c>
      <c r="S81" s="1">
        <v>0.48446778450024103</v>
      </c>
      <c r="T81" s="1">
        <f t="shared" si="0"/>
        <v>0.71648596642634199</v>
      </c>
    </row>
    <row r="82" spans="1:20" ht="30" customHeight="1">
      <c r="A82" t="str">
        <f t="shared" si="7"/>
        <v>turkish</v>
      </c>
      <c r="B82">
        <f>_xlfn.LET(_xlpm.c,_xlfn.SINGLE(Table1[condition]),IF(RIGHT(_xlpm.c,2)="1g",1,0))</f>
        <v>0</v>
      </c>
      <c r="C82">
        <f>_xlfn.LET(_xlpm.c,_xlfn.SINGLE(Table1[condition]),_xlpm.k,CONCATENATE("*","-xsk","*"),IF(COUNTIF(_xlpm.c,_xlpm.k)&gt;0,1,0))</f>
        <v>0</v>
      </c>
      <c r="D82">
        <f>_xlfn.LET(_xlpm.c,_xlfn.SINGLE(Table1[condition]),_xlpm.k,CONCATENATE("*","-sk","*"),IF(COUNTIF(_xlpm.c,_xlpm.k)&gt;0,1,0))</f>
        <v>1</v>
      </c>
      <c r="E82">
        <f>IF(AND(Table1[[#This Row],[xsk]]=1,Table1[[#This Row],[sk]]=1),0,1)</f>
        <v>1</v>
      </c>
      <c r="F82" t="s">
        <v>93</v>
      </c>
      <c r="G82" s="1">
        <v>0.85853688277156104</v>
      </c>
      <c r="H82" s="1">
        <v>0.64981950651734399</v>
      </c>
      <c r="I82" s="1">
        <v>0.65602411923972304</v>
      </c>
      <c r="J82" s="1">
        <v>0.65949599642169399</v>
      </c>
      <c r="K82" s="1">
        <v>0.27637590456272398</v>
      </c>
      <c r="L82" s="1">
        <v>0.51969342490890402</v>
      </c>
      <c r="M82" s="1">
        <v>0.36063186190621199</v>
      </c>
      <c r="N82" s="1">
        <v>0.27845122086292901</v>
      </c>
      <c r="O82" s="1">
        <v>0.46836121689965499</v>
      </c>
      <c r="P82" s="1">
        <v>0.38090760691907399</v>
      </c>
      <c r="Q82" s="1">
        <v>0.60790359831882701</v>
      </c>
      <c r="R82" s="1">
        <v>1</v>
      </c>
      <c r="S82" s="1">
        <v>0.50615856965468398</v>
      </c>
      <c r="T82" s="1">
        <f t="shared" si="0"/>
        <v>0.5555661468448716</v>
      </c>
    </row>
    <row r="83" spans="1:20" ht="30" customHeight="1">
      <c r="A83" t="str">
        <f t="shared" si="7"/>
        <v>turkish</v>
      </c>
      <c r="B83">
        <f>_xlfn.LET(_xlpm.c,_xlfn.SINGLE(Table1[condition]),IF(RIGHT(_xlpm.c,2)="1g",1,0))</f>
        <v>0</v>
      </c>
      <c r="C83">
        <f>_xlfn.LET(_xlpm.c,_xlfn.SINGLE(Table1[condition]),_xlpm.k,CONCATENATE("*","-xsk","*"),IF(COUNTIF(_xlpm.c,_xlpm.k)&gt;0,1,0))</f>
        <v>0</v>
      </c>
      <c r="D83">
        <f>_xlfn.LET(_xlpm.c,_xlfn.SINGLE(Table1[condition]),_xlpm.k,CONCATENATE("*","-sk","*"),IF(COUNTIF(_xlpm.c,_xlpm.k)&gt;0,1,0))</f>
        <v>1</v>
      </c>
      <c r="E83">
        <f>IF(AND(Table1[[#This Row],[xsk]]=1,Table1[[#This Row],[sk]]=1),0,1)</f>
        <v>1</v>
      </c>
      <c r="F83" t="s">
        <v>94</v>
      </c>
      <c r="G83" s="1">
        <v>1</v>
      </c>
      <c r="H83" s="1">
        <v>1</v>
      </c>
      <c r="I83" s="1">
        <v>0.63032776640718002</v>
      </c>
      <c r="J83" s="1">
        <v>0.30964533594450699</v>
      </c>
      <c r="K83" s="1">
        <v>0.50395786320395997</v>
      </c>
      <c r="L83" s="1">
        <v>0.39571988977438399</v>
      </c>
      <c r="M83" s="1">
        <v>0.49657518178931798</v>
      </c>
      <c r="N83" s="1">
        <v>1</v>
      </c>
      <c r="O83" s="1">
        <v>0</v>
      </c>
      <c r="P83" s="1">
        <v>1</v>
      </c>
      <c r="Q83" s="1">
        <v>1</v>
      </c>
      <c r="R83" s="1">
        <v>0.44175116965346301</v>
      </c>
      <c r="S83" s="1">
        <v>0.48285658241324902</v>
      </c>
      <c r="T83" s="1">
        <f t="shared" si="0"/>
        <v>0.63544875301431236</v>
      </c>
    </row>
    <row r="84" spans="1:20" ht="30" customHeight="1">
      <c r="A84" t="str">
        <f t="shared" si="7"/>
        <v>turkish</v>
      </c>
      <c r="B84">
        <f>_xlfn.LET(_xlpm.c,_xlfn.SINGLE(Table1[condition]),IF(RIGHT(_xlpm.c,2)="1g",1,0))</f>
        <v>0</v>
      </c>
      <c r="C84">
        <f>_xlfn.LET(_xlpm.c,_xlfn.SINGLE(Table1[condition]),_xlpm.k,CONCATENATE("*","-xsk","*"),IF(COUNTIF(_xlpm.c,_xlpm.k)&gt;0,1,0))</f>
        <v>1</v>
      </c>
      <c r="D84">
        <f>_xlfn.LET(_xlpm.c,_xlfn.SINGLE(Table1[condition]),_xlpm.k,CONCATENATE("*","-sk","*"),IF(COUNTIF(_xlpm.c,_xlpm.k)&gt;0,1,0))</f>
        <v>0</v>
      </c>
      <c r="E84">
        <f>IF(AND(Table1[[#This Row],[xsk]]=1,Table1[[#This Row],[sk]]=1),0,1)</f>
        <v>1</v>
      </c>
      <c r="F84" t="s">
        <v>95</v>
      </c>
      <c r="G84" s="1">
        <v>0.48755719675244902</v>
      </c>
      <c r="H84" s="1">
        <v>1</v>
      </c>
      <c r="I84" s="1">
        <v>0.75488580599120603</v>
      </c>
      <c r="J84" s="1">
        <v>0.49339184186753199</v>
      </c>
      <c r="K84" s="1">
        <v>0.38134999426129301</v>
      </c>
      <c r="L84" s="1">
        <v>0.39781989405532298</v>
      </c>
      <c r="M84" s="1">
        <v>0.40024293994222998</v>
      </c>
      <c r="N84" s="1">
        <v>0.29359224803020001</v>
      </c>
      <c r="O84" s="1">
        <v>1</v>
      </c>
      <c r="P84" s="1">
        <v>1</v>
      </c>
      <c r="Q84" s="1">
        <v>0.38077136870685901</v>
      </c>
      <c r="R84" s="1">
        <v>0.33850460857165998</v>
      </c>
      <c r="S84" s="1">
        <v>0.53218407883725605</v>
      </c>
      <c r="T84" s="1">
        <f t="shared" si="0"/>
        <v>0.57386922900123138</v>
      </c>
    </row>
    <row r="85" spans="1:20" ht="30" customHeight="1">
      <c r="A85" t="str">
        <f t="shared" si="7"/>
        <v>turkish</v>
      </c>
      <c r="B85">
        <f>_xlfn.LET(_xlpm.c,_xlfn.SINGLE(Table1[condition]),IF(RIGHT(_xlpm.c,2)="1g",1,0))</f>
        <v>0</v>
      </c>
      <c r="C85">
        <f>_xlfn.LET(_xlpm.c,_xlfn.SINGLE(Table1[condition]),_xlpm.k,CONCATENATE("*","-xsk","*"),IF(COUNTIF(_xlpm.c,_xlpm.k)&gt;0,1,0))</f>
        <v>1</v>
      </c>
      <c r="D85">
        <f>_xlfn.LET(_xlpm.c,_xlfn.SINGLE(Table1[condition]),_xlpm.k,CONCATENATE("*","-sk","*"),IF(COUNTIF(_xlpm.c,_xlpm.k)&gt;0,1,0))</f>
        <v>0</v>
      </c>
      <c r="E85">
        <f>IF(AND(Table1[[#This Row],[xsk]]=1,Table1[[#This Row],[sk]]=1),0,1)</f>
        <v>1</v>
      </c>
      <c r="F85" t="s">
        <v>96</v>
      </c>
      <c r="G85" s="1">
        <v>0.97968792795788895</v>
      </c>
      <c r="H85" s="1">
        <v>0.56172914929421203</v>
      </c>
      <c r="I85" s="1">
        <v>0.67328621130323496</v>
      </c>
      <c r="J85" s="1">
        <v>1</v>
      </c>
      <c r="K85" s="1">
        <v>0.55364064334327101</v>
      </c>
      <c r="L85" s="1">
        <v>0.518682764603973</v>
      </c>
      <c r="M85" s="1">
        <v>0.48898837237987403</v>
      </c>
      <c r="N85" s="1">
        <v>0.47947366142826497</v>
      </c>
      <c r="O85" s="1">
        <v>0.51591205276100405</v>
      </c>
      <c r="P85" s="1">
        <v>1</v>
      </c>
      <c r="Q85" s="1">
        <v>0.50242724166506902</v>
      </c>
      <c r="R85" s="1">
        <v>0.51925930159213896</v>
      </c>
      <c r="S85" s="1">
        <v>0.49778756730213702</v>
      </c>
      <c r="T85" s="1">
        <f t="shared" si="0"/>
        <v>0.63775960720238989</v>
      </c>
    </row>
    <row r="87" spans="1:20" ht="30" customHeight="1">
      <c r="F87" t="s">
        <v>118</v>
      </c>
    </row>
    <row r="88" spans="1:20" ht="30" customHeight="1">
      <c r="F88" t="s">
        <v>37</v>
      </c>
      <c r="G88" s="2">
        <f>_xlfn.LET(_xlpm.d,G$2:G$85,AVERAGE(_xlpm.d))</f>
        <v>0.72058681079012599</v>
      </c>
      <c r="H88" s="2">
        <f t="shared" ref="H88:T88" si="8">_xlfn.LET(_xlpm.d,H$2:H$85,AVERAGE(_xlpm.d))</f>
        <v>0.67447357082045722</v>
      </c>
      <c r="I88" s="2">
        <f t="shared" si="8"/>
        <v>0.65400752155676334</v>
      </c>
      <c r="J88" s="2">
        <f t="shared" si="8"/>
        <v>0.62224352408822081</v>
      </c>
      <c r="K88" s="2">
        <f t="shared" si="8"/>
        <v>0.60044273311576069</v>
      </c>
      <c r="L88" s="2">
        <f t="shared" si="8"/>
        <v>0.59078026277249207</v>
      </c>
      <c r="M88" s="2">
        <f t="shared" si="8"/>
        <v>0.60910986226923247</v>
      </c>
      <c r="N88" s="2">
        <f t="shared" si="8"/>
        <v>0.57987458038129502</v>
      </c>
      <c r="O88" s="2">
        <f t="shared" si="8"/>
        <v>0.57211118933346494</v>
      </c>
      <c r="P88" s="2">
        <f t="shared" si="8"/>
        <v>0.57637047866186708</v>
      </c>
      <c r="Q88" s="2">
        <f t="shared" si="8"/>
        <v>0.57808016478649626</v>
      </c>
      <c r="R88" s="2">
        <f t="shared" si="8"/>
        <v>0.57372937507194555</v>
      </c>
      <c r="S88" s="2">
        <f t="shared" si="8"/>
        <v>0.53166440246252777</v>
      </c>
      <c r="T88" s="2">
        <f t="shared" si="8"/>
        <v>0.60331786635003093</v>
      </c>
    </row>
    <row r="89" spans="1:20" ht="30" customHeight="1">
      <c r="F89" t="s">
        <v>38</v>
      </c>
      <c r="G89" s="2" cm="1">
        <f t="array" ref="G89">_xlfn.LET(_xlpm.d,G$2:G$85,_xlpm.f,$A$2:$A$85,_xlpm.k,$F89,AVERAGE(_xlfn._xlws.FILTER(_xlpm.d,_xlpm.f=_xlpm.k)))</f>
        <v>1</v>
      </c>
      <c r="H89" s="2" cm="1">
        <f t="array" ref="H89">_xlfn.LET(_xlpm.d,H$2:H$85,_xlpm.f,$A$2:$A$85,_xlpm.k,$F89,AVERAGE(_xlfn._xlws.FILTER(_xlpm.d,_xlpm.f=_xlpm.k)))</f>
        <v>0.99865381105352868</v>
      </c>
      <c r="I89" s="2" cm="1">
        <f t="array" ref="I89">_xlfn.LET(_xlpm.d,I$2:I$85,_xlpm.f,$A$2:$A$85,_xlpm.k,$F89,AVERAGE(_xlfn._xlws.FILTER(_xlpm.d,_xlpm.f=_xlpm.k)))</f>
        <v>0.99984387048313139</v>
      </c>
      <c r="J89" s="2" cm="1">
        <f t="array" ref="J89">_xlfn.LET(_xlpm.d,J$2:J$85,_xlpm.f,$A$2:$A$85,_xlpm.k,$F89,AVERAGE(_xlfn._xlws.FILTER(_xlpm.d,_xlpm.f=_xlpm.k)))</f>
        <v>0.99874680977455266</v>
      </c>
      <c r="K89" s="2" cm="1">
        <f t="array" ref="K89">_xlfn.LET(_xlpm.d,K$2:K$85,_xlpm.f,$A$2:$A$85,_xlpm.k,$F89,AVERAGE(_xlfn._xlws.FILTER(_xlpm.d,_xlpm.f=_xlpm.k)))</f>
        <v>0.99960580496086504</v>
      </c>
      <c r="L89" s="2" cm="1">
        <f t="array" ref="L89">_xlfn.LET(_xlpm.d,L$2:L$85,_xlpm.f,$A$2:$A$85,_xlpm.k,$F89,AVERAGE(_xlfn._xlws.FILTER(_xlpm.d,_xlpm.f=_xlpm.k)))</f>
        <v>0.99933456548664978</v>
      </c>
      <c r="M89" s="2" cm="1">
        <f t="array" ref="M89">_xlfn.LET(_xlpm.d,M$2:M$85,_xlpm.f,$A$2:$A$85,_xlpm.k,$F89,AVERAGE(_xlfn._xlws.FILTER(_xlpm.d,_xlpm.f=_xlpm.k)))</f>
        <v>1</v>
      </c>
      <c r="N89" s="2" cm="1">
        <f t="array" ref="N89">_xlfn.LET(_xlpm.d,N$2:N$85,_xlpm.f,$A$2:$A$85,_xlpm.k,$F89,AVERAGE(_xlfn._xlws.FILTER(_xlpm.d,_xlpm.f=_xlpm.k)))</f>
        <v>1</v>
      </c>
      <c r="O89" s="2" cm="1">
        <f t="array" ref="O89">_xlfn.LET(_xlpm.d,O$2:O$85,_xlpm.f,$A$2:$A$85,_xlpm.k,$F89,AVERAGE(_xlfn._xlws.FILTER(_xlpm.d,_xlpm.f=_xlpm.k)))</f>
        <v>1</v>
      </c>
      <c r="P89" s="2" cm="1">
        <f t="array" ref="P89">_xlfn.LET(_xlpm.d,P$2:P$85,_xlpm.f,$A$2:$A$85,_xlpm.k,$F89,AVERAGE(_xlfn._xlws.FILTER(_xlpm.d,_xlpm.f=_xlpm.k)))</f>
        <v>0.99917884630746023</v>
      </c>
      <c r="Q89" s="2" cm="1">
        <f t="array" ref="Q89">_xlfn.LET(_xlpm.d,Q$2:Q$85,_xlpm.f,$A$2:$A$85,_xlpm.k,$F89,AVERAGE(_xlfn._xlws.FILTER(_xlpm.d,_xlpm.f=_xlpm.k)))</f>
        <v>0.9993001220787564</v>
      </c>
      <c r="R89" s="2" cm="1">
        <f t="array" ref="R89">_xlfn.LET(_xlpm.d,R$2:R$85,_xlpm.f,$A$2:$A$85,_xlpm.k,$F89,AVERAGE(_xlfn._xlws.FILTER(_xlpm.d,_xlpm.f=_xlpm.k)))</f>
        <v>0.99980850214536576</v>
      </c>
      <c r="S89" s="2" cm="1">
        <f t="array" ref="S89">_xlfn.LET(_xlpm.d,S$2:S$85,_xlpm.f,$A$2:$A$85,_xlpm.k,$F89,AVERAGE(_xlfn._xlws.FILTER(_xlpm.d,_xlpm.f=_xlpm.k)))</f>
        <v>0.98607488697146051</v>
      </c>
      <c r="T89" s="2" cm="1">
        <f t="array" ref="T89">_xlfn.LET(_xlpm.d,T$2:T$85,_xlpm.f,$A$2:$A$85,_xlpm.k,$F89,AVERAGE(_xlfn._xlws.FILTER(_xlpm.d,_xlpm.f=_xlpm.k)))</f>
        <v>0.99850363225090544</v>
      </c>
    </row>
    <row r="90" spans="1:20" ht="30" customHeight="1">
      <c r="F90" t="s">
        <v>40</v>
      </c>
      <c r="G90" s="2" cm="1">
        <f t="array" ref="G90">_xlfn.LET(_xlpm.d,G$2:G$85,_xlpm.f,$A$2:$A$85,_xlpm.k,$F90,AVERAGE(_xlfn._xlws.FILTER(_xlpm.d,_xlpm.f=_xlpm.k)))</f>
        <v>0.20482566461735027</v>
      </c>
      <c r="H90" s="2" cm="1">
        <f t="array" ref="H90">_xlfn.LET(_xlpm.d,H$2:H$85,_xlpm.f,$A$2:$A$85,_xlpm.k,$F90,AVERAGE(_xlfn._xlws.FILTER(_xlpm.d,_xlpm.f=_xlpm.k)))</f>
        <v>0.20145319421899985</v>
      </c>
      <c r="I90" s="2" cm="1">
        <f t="array" ref="I90">_xlfn.LET(_xlpm.d,I$2:I$85,_xlpm.f,$A$2:$A$85,_xlpm.k,$F90,AVERAGE(_xlfn._xlws.FILTER(_xlpm.d,_xlpm.f=_xlpm.k)))</f>
        <v>9.0987338169617141E-2</v>
      </c>
      <c r="J90" s="2" cm="1">
        <f t="array" ref="J90">_xlfn.LET(_xlpm.d,J$2:J$85,_xlpm.f,$A$2:$A$85,_xlpm.k,$F90,AVERAGE(_xlfn._xlws.FILTER(_xlpm.d,_xlpm.f=_xlpm.k)))</f>
        <v>0.14444244947338117</v>
      </c>
      <c r="K90" s="2" cm="1">
        <f t="array" ref="K90">_xlfn.LET(_xlpm.d,K$2:K$85,_xlpm.f,$A$2:$A$85,_xlpm.k,$F90,AVERAGE(_xlfn._xlws.FILTER(_xlpm.d,_xlpm.f=_xlpm.k)))</f>
        <v>0.18993747411568426</v>
      </c>
      <c r="L90" s="2" cm="1">
        <f t="array" ref="L90">_xlfn.LET(_xlpm.d,L$2:L$85,_xlpm.f,$A$2:$A$85,_xlpm.k,$F90,AVERAGE(_xlfn._xlws.FILTER(_xlpm.d,_xlpm.f=_xlpm.k)))</f>
        <v>3.3982943349512573E-2</v>
      </c>
      <c r="M90" s="2" cm="1">
        <f t="array" ref="M90">_xlfn.LET(_xlpm.d,M$2:M$85,_xlpm.f,$A$2:$A$85,_xlpm.k,$F90,AVERAGE(_xlfn._xlws.FILTER(_xlpm.d,_xlpm.f=_xlpm.k)))</f>
        <v>5.5268510616406502E-2</v>
      </c>
      <c r="N90" s="2" cm="1">
        <f t="array" ref="N90">_xlfn.LET(_xlpm.d,N$2:N$85,_xlpm.f,$A$2:$A$85,_xlpm.k,$F90,AVERAGE(_xlfn._xlws.FILTER(_xlpm.d,_xlpm.f=_xlpm.k)))</f>
        <v>6.2312842411891431E-2</v>
      </c>
      <c r="O90" s="2" cm="1">
        <f t="array" ref="O90">_xlfn.LET(_xlpm.d,O$2:O$85,_xlpm.f,$A$2:$A$85,_xlpm.k,$F90,AVERAGE(_xlfn._xlws.FILTER(_xlpm.d,_xlpm.f=_xlpm.k)))</f>
        <v>0</v>
      </c>
      <c r="P90" s="2" cm="1">
        <f t="array" ref="P90">_xlfn.LET(_xlpm.d,P$2:P$85,_xlpm.f,$A$2:$A$85,_xlpm.k,$F90,AVERAGE(_xlfn._xlws.FILTER(_xlpm.d,_xlpm.f=_xlpm.k)))</f>
        <v>0</v>
      </c>
      <c r="Q90" s="2" cm="1">
        <f t="array" ref="Q90">_xlfn.LET(_xlpm.d,Q$2:Q$85,_xlpm.f,$A$2:$A$85,_xlpm.k,$F90,AVERAGE(_xlfn._xlws.FILTER(_xlpm.d,_xlpm.f=_xlpm.k)))</f>
        <v>0</v>
      </c>
      <c r="R90" s="2" cm="1">
        <f t="array" ref="R90">_xlfn.LET(_xlpm.d,R$2:R$85,_xlpm.f,$A$2:$A$85,_xlpm.k,$F90,AVERAGE(_xlfn._xlws.FILTER(_xlpm.d,_xlpm.f=_xlpm.k)))</f>
        <v>0</v>
      </c>
      <c r="S90" s="2" cm="1">
        <f t="array" ref="S90">_xlfn.LET(_xlpm.d,S$2:S$85,_xlpm.f,$A$2:$A$85,_xlpm.k,$F90,AVERAGE(_xlfn._xlws.FILTER(_xlpm.d,_xlpm.f=_xlpm.k)))</f>
        <v>3.7714885811632716E-2</v>
      </c>
      <c r="T90" s="2" cm="1">
        <f t="array" ref="T90">_xlfn.LET(_xlpm.d,T$2:T$85,_xlpm.f,$A$2:$A$85,_xlpm.k,$F90,AVERAGE(_xlfn._xlws.FILTER(_xlpm.d,_xlpm.f=_xlpm.k)))</f>
        <v>7.9886875664968868E-2</v>
      </c>
    </row>
    <row r="91" spans="1:20" ht="30" customHeight="1">
      <c r="F91" t="s">
        <v>41</v>
      </c>
      <c r="G91" s="2" cm="1">
        <f t="array" ref="G91">_xlfn.LET(_xlpm.d,G$2:G$85,_xlpm.f,$A$2:$A$85,_xlpm.k,$F91,AVERAGE(_xlfn._xlws.FILTER(_xlpm.d,_xlpm.f=_xlpm.k)))</f>
        <v>0.35053455864666488</v>
      </c>
      <c r="H91" s="2" cm="1">
        <f t="array" ref="H91">_xlfn.LET(_xlpm.d,H$2:H$85,_xlpm.f,$A$2:$A$85,_xlpm.k,$F91,AVERAGE(_xlfn._xlws.FILTER(_xlpm.d,_xlpm.f=_xlpm.k)))</f>
        <v>0.25357475597092244</v>
      </c>
      <c r="I91" s="2" cm="1">
        <f t="array" ref="I91">_xlfn.LET(_xlpm.d,I$2:I$85,_xlpm.f,$A$2:$A$85,_xlpm.k,$F91,AVERAGE(_xlfn._xlws.FILTER(_xlpm.d,_xlpm.f=_xlpm.k)))</f>
        <v>0.23982167366714185</v>
      </c>
      <c r="J91" s="2" cm="1">
        <f t="array" ref="J91">_xlfn.LET(_xlpm.d,J$2:J$85,_xlpm.f,$A$2:$A$85,_xlpm.k,$F91,AVERAGE(_xlfn._xlws.FILTER(_xlpm.d,_xlpm.f=_xlpm.k)))</f>
        <v>0.1629214919937893</v>
      </c>
      <c r="K91" s="2" cm="1">
        <f t="array" ref="K91">_xlfn.LET(_xlpm.d,K$2:K$85,_xlpm.f,$A$2:$A$85,_xlpm.k,$F91,AVERAGE(_xlfn._xlws.FILTER(_xlpm.d,_xlpm.f=_xlpm.k)))</f>
        <v>0</v>
      </c>
      <c r="L91" s="2" cm="1">
        <f t="array" ref="L91">_xlfn.LET(_xlpm.d,L$2:L$85,_xlpm.f,$A$2:$A$85,_xlpm.k,$F91,AVERAGE(_xlfn._xlws.FILTER(_xlpm.d,_xlpm.f=_xlpm.k)))</f>
        <v>8.9279254644582709E-2</v>
      </c>
      <c r="M91" s="2" cm="1">
        <f t="array" ref="M91">_xlfn.LET(_xlpm.d,M$2:M$85,_xlpm.f,$A$2:$A$85,_xlpm.k,$F91,AVERAGE(_xlfn._xlws.FILTER(_xlpm.d,_xlpm.f=_xlpm.k)))</f>
        <v>6.7570494337800144E-2</v>
      </c>
      <c r="N91" s="2" cm="1">
        <f t="array" ref="N91">_xlfn.LET(_xlpm.d,N$2:N$85,_xlpm.f,$A$2:$A$85,_xlpm.k,$F91,AVERAGE(_xlfn._xlws.FILTER(_xlpm.d,_xlpm.f=_xlpm.k)))</f>
        <v>4.3664107647413332E-2</v>
      </c>
      <c r="O91" s="2" cm="1">
        <f t="array" ref="O91">_xlfn.LET(_xlpm.d,O$2:O$85,_xlpm.f,$A$2:$A$85,_xlpm.k,$F91,AVERAGE(_xlfn._xlws.FILTER(_xlpm.d,_xlpm.f=_xlpm.k)))</f>
        <v>0.10439560439560427</v>
      </c>
      <c r="P91" s="2" cm="1">
        <f t="array" ref="P91">_xlfn.LET(_xlpm.d,P$2:P$85,_xlpm.f,$A$2:$A$85,_xlpm.k,$F91,AVERAGE(_xlfn._xlws.FILTER(_xlpm.d,_xlpm.f=_xlpm.k)))</f>
        <v>0</v>
      </c>
      <c r="Q91" s="2" cm="1">
        <f t="array" ref="Q91">_xlfn.LET(_xlpm.d,Q$2:Q$85,_xlpm.f,$A$2:$A$85,_xlpm.k,$F91,AVERAGE(_xlfn._xlws.FILTER(_xlpm.d,_xlpm.f=_xlpm.k)))</f>
        <v>4.8052213113892288E-2</v>
      </c>
      <c r="R91" s="2" cm="1">
        <f t="array" ref="R91">_xlfn.LET(_xlpm.d,R$2:R$85,_xlpm.f,$A$2:$A$85,_xlpm.k,$F91,AVERAGE(_xlfn._xlws.FILTER(_xlpm.d,_xlpm.f=_xlpm.k)))</f>
        <v>0.12003758900633865</v>
      </c>
      <c r="S91" s="2" cm="1">
        <f t="array" ref="S91">_xlfn.LET(_xlpm.d,S$2:S$85,_xlpm.f,$A$2:$A$85,_xlpm.k,$F91,AVERAGE(_xlfn._xlws.FILTER(_xlpm.d,_xlpm.f=_xlpm.k)))</f>
        <v>0</v>
      </c>
      <c r="T91" s="2" cm="1">
        <f t="array" ref="T91">_xlfn.LET(_xlpm.d,T$2:T$85,_xlpm.f,$A$2:$A$85,_xlpm.k,$F91,AVERAGE(_xlfn._xlws.FILTER(_xlpm.d,_xlpm.f=_xlpm.k)))</f>
        <v>0.11369099173351058</v>
      </c>
    </row>
    <row r="92" spans="1:20" ht="30" customHeight="1">
      <c r="F92" t="s">
        <v>97</v>
      </c>
      <c r="G92" s="2" cm="1">
        <f t="array" ref="G92">_xlfn.LET(_xlpm.d,G$2:G$85,_xlpm.f,$A$2:$A$85,_xlpm.k,$F92,AVERAGE(_xlfn._xlws.FILTER(_xlpm.d,_xlpm.f=_xlpm.k)))</f>
        <v>0.52005273287101583</v>
      </c>
      <c r="H92" s="2" cm="1">
        <f t="array" ref="H92">_xlfn.LET(_xlpm.d,H$2:H$85,_xlpm.f,$A$2:$A$85,_xlpm.k,$F92,AVERAGE(_xlfn._xlws.FILTER(_xlpm.d,_xlpm.f=_xlpm.k)))</f>
        <v>0.42730403601605593</v>
      </c>
      <c r="I92" s="2" cm="1">
        <f t="array" ref="I92">_xlfn.LET(_xlpm.d,I$2:I$85,_xlpm.f,$A$2:$A$85,_xlpm.k,$F92,AVERAGE(_xlfn._xlws.FILTER(_xlpm.d,_xlpm.f=_xlpm.k)))</f>
        <v>0.48825499128626298</v>
      </c>
      <c r="J92" s="2" cm="1">
        <f t="array" ref="J92">_xlfn.LET(_xlpm.d,J$2:J$85,_xlpm.f,$A$2:$A$85,_xlpm.k,$F92,AVERAGE(_xlfn._xlws.FILTER(_xlpm.d,_xlpm.f=_xlpm.k)))</f>
        <v>0.49019387950137722</v>
      </c>
      <c r="K92" s="2" cm="1">
        <f t="array" ref="K92">_xlfn.LET(_xlpm.d,K$2:K$85,_xlpm.f,$A$2:$A$85,_xlpm.k,$F92,AVERAGE(_xlfn._xlws.FILTER(_xlpm.d,_xlpm.f=_xlpm.k)))</f>
        <v>0.42348773822678026</v>
      </c>
      <c r="L92" s="2" cm="1">
        <f t="array" ref="L92">_xlfn.LET(_xlpm.d,L$2:L$85,_xlpm.f,$A$2:$A$85,_xlpm.k,$F92,AVERAGE(_xlfn._xlws.FILTER(_xlpm.d,_xlpm.f=_xlpm.k)))</f>
        <v>0.3456464184729221</v>
      </c>
      <c r="M92" s="2" cm="1">
        <f t="array" ref="M92">_xlfn.LET(_xlpm.d,M$2:M$85,_xlpm.f,$A$2:$A$85,_xlpm.k,$F92,AVERAGE(_xlfn._xlws.FILTER(_xlpm.d,_xlpm.f=_xlpm.k)))</f>
        <v>0.58829508187844148</v>
      </c>
      <c r="N92" s="2" cm="1">
        <f t="array" ref="N92">_xlfn.LET(_xlpm.d,N$2:N$85,_xlpm.f,$A$2:$A$85,_xlpm.k,$F92,AVERAGE(_xlfn._xlws.FILTER(_xlpm.d,_xlpm.f=_xlpm.k)))</f>
        <v>0.46533038624035328</v>
      </c>
      <c r="O92" s="2" cm="1">
        <f t="array" ref="O92">_xlfn.LET(_xlpm.d,O$2:O$85,_xlpm.f,$A$2:$A$85,_xlpm.k,$F92,AVERAGE(_xlfn._xlws.FILTER(_xlpm.d,_xlpm.f=_xlpm.k)))</f>
        <v>0.54719462518160289</v>
      </c>
      <c r="P92" s="2" cm="1">
        <f t="array" ref="P92">_xlfn.LET(_xlpm.d,P$2:P$85,_xlpm.f,$A$2:$A$85,_xlpm.k,$F92,AVERAGE(_xlfn._xlws.FILTER(_xlpm.d,_xlpm.f=_xlpm.k)))</f>
        <v>0.44368008384780105</v>
      </c>
      <c r="Q92" s="2" cm="1">
        <f t="array" ref="Q92">_xlfn.LET(_xlpm.d,Q$2:Q$85,_xlpm.f,$A$2:$A$85,_xlpm.k,$F92,AVERAGE(_xlfn._xlws.FILTER(_xlpm.d,_xlpm.f=_xlpm.k)))</f>
        <v>0.33678341925505512</v>
      </c>
      <c r="R92" s="2" cm="1">
        <f t="array" ref="R92">_xlfn.LET(_xlpm.d,R$2:R$85,_xlpm.f,$A$2:$A$85,_xlpm.k,$F92,AVERAGE(_xlfn._xlws.FILTER(_xlpm.d,_xlpm.f=_xlpm.k)))</f>
        <v>0.33079851245104563</v>
      </c>
      <c r="S92" s="2" cm="1">
        <f t="array" ref="S92">_xlfn.LET(_xlpm.d,S$2:S$85,_xlpm.f,$A$2:$A$85,_xlpm.k,$F92,AVERAGE(_xlfn._xlws.FILTER(_xlpm.d,_xlpm.f=_xlpm.k)))</f>
        <v>0.38764505218172801</v>
      </c>
      <c r="T92" s="2" cm="1">
        <f t="array" ref="T92">_xlfn.LET(_xlpm.d,T$2:T$85,_xlpm.f,$A$2:$A$85,_xlpm.k,$F92,AVERAGE(_xlfn._xlws.FILTER(_xlpm.d,_xlpm.f=_xlpm.k)))</f>
        <v>0.44624419130447385</v>
      </c>
    </row>
    <row r="93" spans="1:20" ht="30" customHeight="1">
      <c r="F93" t="s">
        <v>39</v>
      </c>
      <c r="G93" s="2" cm="1">
        <f t="array" ref="G93">_xlfn.LET(_xlpm.d,G$2:G$85,_xlpm.f,$A$2:$A$85,_xlpm.k,$F93,AVERAGE(_xlfn._xlws.FILTER(_xlpm.d,_xlpm.f=_xlpm.k)))</f>
        <v>0.68844577455552491</v>
      </c>
      <c r="H93" s="2" cm="1">
        <f t="array" ref="H93">_xlfn.LET(_xlpm.d,H$2:H$85,_xlpm.f,$A$2:$A$85,_xlpm.k,$F93,AVERAGE(_xlfn._xlws.FILTER(_xlpm.d,_xlpm.f=_xlpm.k)))</f>
        <v>0.56183035008289617</v>
      </c>
      <c r="I93" s="2" cm="1">
        <f t="array" ref="I93">_xlfn.LET(_xlpm.d,I$2:I$85,_xlpm.f,$A$2:$A$85,_xlpm.k,$F93,AVERAGE(_xlfn._xlws.FILTER(_xlpm.d,_xlpm.f=_xlpm.k)))</f>
        <v>0.438868999812773</v>
      </c>
      <c r="J93" s="2" cm="1">
        <f t="array" ref="J93">_xlfn.LET(_xlpm.d,J$2:J$85,_xlpm.f,$A$2:$A$85,_xlpm.k,$F93,AVERAGE(_xlfn._xlws.FILTER(_xlpm.d,_xlpm.f=_xlpm.k)))</f>
        <v>0.39534075904507227</v>
      </c>
      <c r="K93" s="2" cm="1">
        <f t="array" ref="K93">_xlfn.LET(_xlpm.d,K$2:K$85,_xlpm.f,$A$2:$A$85,_xlpm.k,$F93,AVERAGE(_xlfn._xlws.FILTER(_xlpm.d,_xlpm.f=_xlpm.k)))</f>
        <v>0.38434670423982104</v>
      </c>
      <c r="L93" s="2" cm="1">
        <f t="array" ref="L93">_xlfn.LET(_xlpm.d,L$2:L$85,_xlpm.f,$A$2:$A$85,_xlpm.k,$F93,AVERAGE(_xlfn._xlws.FILTER(_xlpm.d,_xlpm.f=_xlpm.k)))</f>
        <v>0.50070289839688054</v>
      </c>
      <c r="M93" s="2" cm="1">
        <f t="array" ref="M93">_xlfn.LET(_xlpm.d,M$2:M$85,_xlpm.f,$A$2:$A$85,_xlpm.k,$F93,AVERAGE(_xlfn._xlws.FILTER(_xlpm.d,_xlpm.f=_xlpm.k)))</f>
        <v>0.562014514688297</v>
      </c>
      <c r="N93" s="2" cm="1">
        <f t="array" ref="N93">_xlfn.LET(_xlpm.d,N$2:N$85,_xlpm.f,$A$2:$A$85,_xlpm.k,$F93,AVERAGE(_xlfn._xlws.FILTER(_xlpm.d,_xlpm.f=_xlpm.k)))</f>
        <v>0.32682923472683972</v>
      </c>
      <c r="O93" s="2" cm="1">
        <f t="array" ref="O93">_xlfn.LET(_xlpm.d,O$2:O$85,_xlpm.f,$A$2:$A$85,_xlpm.k,$F93,AVERAGE(_xlfn._xlws.FILTER(_xlpm.d,_xlpm.f=_xlpm.k)))</f>
        <v>0.36910873389416482</v>
      </c>
      <c r="P93" s="2" cm="1">
        <f t="array" ref="P93">_xlfn.LET(_xlpm.d,P$2:P$85,_xlpm.f,$A$2:$A$85,_xlpm.k,$F93,AVERAGE(_xlfn._xlws.FILTER(_xlpm.d,_xlpm.f=_xlpm.k)))</f>
        <v>0.57498211218054551</v>
      </c>
      <c r="Q93" s="2" cm="1">
        <f t="array" ref="Q93">_xlfn.LET(_xlpm.d,Q$2:Q$85,_xlpm.f,$A$2:$A$85,_xlpm.k,$F93,AVERAGE(_xlfn._xlws.FILTER(_xlpm.d,_xlpm.f=_xlpm.k)))</f>
        <v>0.41384611963166734</v>
      </c>
      <c r="R93" s="2" cm="1">
        <f t="array" ref="R93">_xlfn.LET(_xlpm.d,R$2:R$85,_xlpm.f,$A$2:$A$85,_xlpm.k,$F93,AVERAGE(_xlfn._xlws.FILTER(_xlpm.d,_xlpm.f=_xlpm.k)))</f>
        <v>0.31975822516952357</v>
      </c>
      <c r="S93" s="2" cm="1">
        <f t="array" ref="S93">_xlfn.LET(_xlpm.d,S$2:S$85,_xlpm.f,$A$2:$A$85,_xlpm.k,$F93,AVERAGE(_xlfn._xlws.FILTER(_xlpm.d,_xlpm.f=_xlpm.k)))</f>
        <v>0.44961563985232428</v>
      </c>
      <c r="T93" s="2" cm="1">
        <f t="array" ref="T93">_xlfn.LET(_xlpm.d,T$2:T$85,_xlpm.f,$A$2:$A$85,_xlpm.k,$F93,AVERAGE(_xlfn._xlws.FILTER(_xlpm.d,_xlpm.f=_xlpm.k)))</f>
        <v>0.46086313675307061</v>
      </c>
    </row>
    <row r="94" spans="1:20" ht="30" customHeight="1">
      <c r="F94" t="s">
        <v>98</v>
      </c>
      <c r="G94" s="2" cm="1">
        <f t="array" ref="G94">_xlfn.LET(_xlpm.d,G$2:G$85,_xlpm.f,$A$2:$A$85,_xlpm.k,$F94,AVERAGE(_xlfn._xlws.FILTER(_xlpm.d,_xlpm.f=_xlpm.k)))</f>
        <v>0.99906522734420622</v>
      </c>
      <c r="H94" s="2" cm="1">
        <f t="array" ref="H94">_xlfn.LET(_xlpm.d,H$2:H$85,_xlpm.f,$A$2:$A$85,_xlpm.k,$F94,AVERAGE(_xlfn._xlws.FILTER(_xlpm.d,_xlpm.f=_xlpm.k)))</f>
        <v>0.9998716451140609</v>
      </c>
      <c r="I94" s="2" cm="1">
        <f t="array" ref="I94">_xlfn.LET(_xlpm.d,I$2:I$85,_xlpm.f,$A$2:$A$85,_xlpm.k,$F94,AVERAGE(_xlfn._xlws.FILTER(_xlpm.d,_xlpm.f=_xlpm.k)))</f>
        <v>1</v>
      </c>
      <c r="J94" s="2" cm="1">
        <f t="array" ref="J94">_xlfn.LET(_xlpm.d,J$2:J$85,_xlpm.f,$A$2:$A$85,_xlpm.k,$F94,AVERAGE(_xlfn._xlws.FILTER(_xlpm.d,_xlpm.f=_xlpm.k)))</f>
        <v>0.99809127679675691</v>
      </c>
      <c r="K94" s="2" cm="1">
        <f t="array" ref="K94">_xlfn.LET(_xlpm.d,K$2:K$85,_xlpm.f,$A$2:$A$85,_xlpm.k,$F94,AVERAGE(_xlfn._xlws.FILTER(_xlpm.d,_xlpm.f=_xlpm.k)))</f>
        <v>1</v>
      </c>
      <c r="L94" s="2" cm="1">
        <f t="array" ref="L94">_xlfn.LET(_xlpm.d,L$2:L$85,_xlpm.f,$A$2:$A$85,_xlpm.k,$F94,AVERAGE(_xlfn._xlws.FILTER(_xlpm.d,_xlpm.f=_xlpm.k)))</f>
        <v>1</v>
      </c>
      <c r="M94" s="2" cm="1">
        <f t="array" ref="M94">_xlfn.LET(_xlpm.d,M$2:M$85,_xlpm.f,$A$2:$A$85,_xlpm.k,$F94,AVERAGE(_xlfn._xlws.FILTER(_xlpm.d,_xlpm.f=_xlpm.k)))</f>
        <v>1</v>
      </c>
      <c r="N94" s="2" cm="1">
        <f t="array" ref="N94">_xlfn.LET(_xlpm.d,N$2:N$85,_xlpm.f,$A$2:$A$85,_xlpm.k,$F94,AVERAGE(_xlfn._xlws.FILTER(_xlpm.d,_xlpm.f=_xlpm.k)))</f>
        <v>1</v>
      </c>
      <c r="O94" s="2" cm="1">
        <f t="array" ref="O94">_xlfn.LET(_xlpm.d,O$2:O$85,_xlpm.f,$A$2:$A$85,_xlpm.k,$F94,AVERAGE(_xlfn._xlws.FILTER(_xlpm.d,_xlpm.f=_xlpm.k)))</f>
        <v>1</v>
      </c>
      <c r="P94" s="2" cm="1">
        <f t="array" ref="P94">_xlfn.LET(_xlpm.d,P$2:P$85,_xlpm.f,$A$2:$A$85,_xlpm.k,$F94,AVERAGE(_xlfn._xlws.FILTER(_xlpm.d,_xlpm.f=_xlpm.k)))</f>
        <v>1</v>
      </c>
      <c r="Q94" s="2" cm="1">
        <f t="array" ref="Q94">_xlfn.LET(_xlpm.d,Q$2:Q$85,_xlpm.f,$A$2:$A$85,_xlpm.k,$F94,AVERAGE(_xlfn._xlws.FILTER(_xlpm.d,_xlpm.f=_xlpm.k)))</f>
        <v>0.99969540054827899</v>
      </c>
      <c r="R94" s="2" cm="1">
        <f t="array" ref="R94">_xlfn.LET(_xlpm.d,R$2:R$85,_xlpm.f,$A$2:$A$85,_xlpm.k,$F94,AVERAGE(_xlfn._xlws.FILTER(_xlpm.d,_xlpm.f=_xlpm.k)))</f>
        <v>1</v>
      </c>
      <c r="S94" s="2" cm="1">
        <f t="array" ref="S94">_xlfn.LET(_xlpm.d,S$2:S$85,_xlpm.f,$A$2:$A$85,_xlpm.k,$F94,AVERAGE(_xlfn._xlws.FILTER(_xlpm.d,_xlpm.f=_xlpm.k)))</f>
        <v>1</v>
      </c>
      <c r="T94" s="2" cm="1">
        <f t="array" ref="T94">_xlfn.LET(_xlpm.d,T$2:T$85,_xlpm.f,$A$2:$A$85,_xlpm.k,$F94,AVERAGE(_xlfn._xlws.FILTER(_xlpm.d,_xlpm.f=_xlpm.k)))</f>
        <v>0.99974796536948485</v>
      </c>
    </row>
    <row r="95" spans="1:20" ht="30" customHeight="1">
      <c r="F95" t="s">
        <v>99</v>
      </c>
      <c r="G95" s="2" cm="1">
        <f t="array" ref="G95">_xlfn.LET(_xlpm.d,G$2:G$85,_xlpm.f,$A$2:$A$85,_xlpm.k,$F95,AVERAGE(_xlfn._xlws.FILTER(_xlpm.d,_xlpm.f=_xlpm.k)))</f>
        <v>1</v>
      </c>
      <c r="H95" s="2" cm="1">
        <f t="array" ref="H95">_xlfn.LET(_xlpm.d,H$2:H$85,_xlpm.f,$A$2:$A$85,_xlpm.k,$F95,AVERAGE(_xlfn._xlws.FILTER(_xlpm.d,_xlpm.f=_xlpm.k)))</f>
        <v>0.99985699947490025</v>
      </c>
      <c r="I95" s="2" cm="1">
        <f t="array" ref="I95">_xlfn.LET(_xlpm.d,I$2:I$85,_xlpm.f,$A$2:$A$85,_xlpm.k,$F95,AVERAGE(_xlfn._xlws.FILTER(_xlpm.d,_xlpm.f=_xlpm.k)))</f>
        <v>1</v>
      </c>
      <c r="J95" s="2" cm="1">
        <f t="array" ref="J95">_xlfn.LET(_xlpm.d,J$2:J$85,_xlpm.f,$A$2:$A$85,_xlpm.k,$F95,AVERAGE(_xlfn._xlws.FILTER(_xlpm.d,_xlpm.f=_xlpm.k)))</f>
        <v>1</v>
      </c>
      <c r="K95" s="2" cm="1">
        <f t="array" ref="K95">_xlfn.LET(_xlpm.d,K$2:K$85,_xlpm.f,$A$2:$A$85,_xlpm.k,$F95,AVERAGE(_xlfn._xlws.FILTER(_xlpm.d,_xlpm.f=_xlpm.k)))</f>
        <v>0.99486503335464849</v>
      </c>
      <c r="L95" s="2" cm="1">
        <f t="array" ref="L95">_xlfn.LET(_xlpm.d,L$2:L$85,_xlpm.f,$A$2:$A$85,_xlpm.k,$F95,AVERAGE(_xlfn._xlws.FILTER(_xlpm.d,_xlpm.f=_xlpm.k)))</f>
        <v>1</v>
      </c>
      <c r="M95" s="2" cm="1">
        <f t="array" ref="M95">_xlfn.LET(_xlpm.d,M$2:M$85,_xlpm.f,$A$2:$A$85,_xlpm.k,$F95,AVERAGE(_xlfn._xlws.FILTER(_xlpm.d,_xlpm.f=_xlpm.k)))</f>
        <v>0.99643832283005551</v>
      </c>
      <c r="N95" s="2" cm="1">
        <f t="array" ref="N95">_xlfn.LET(_xlpm.d,N$2:N$85,_xlpm.f,$A$2:$A$85,_xlpm.k,$F95,AVERAGE(_xlfn._xlws.FILTER(_xlpm.d,_xlpm.f=_xlpm.k)))</f>
        <v>1</v>
      </c>
      <c r="O95" s="2" cm="1">
        <f t="array" ref="O95">_xlfn.LET(_xlpm.d,O$2:O$85,_xlpm.f,$A$2:$A$85,_xlpm.k,$F95,AVERAGE(_xlfn._xlws.FILTER(_xlpm.d,_xlpm.f=_xlpm.k)))</f>
        <v>1</v>
      </c>
      <c r="P95" s="2" cm="1">
        <f t="array" ref="P95">_xlfn.LET(_xlpm.d,P$2:P$85,_xlpm.f,$A$2:$A$85,_xlpm.k,$F95,AVERAGE(_xlfn._xlws.FILTER(_xlpm.d,_xlpm.f=_xlpm.k)))</f>
        <v>0.98296626706590984</v>
      </c>
      <c r="Q95" s="2" cm="1">
        <f t="array" ref="Q95">_xlfn.LET(_xlpm.d,Q$2:Q$85,_xlpm.f,$A$2:$A$85,_xlpm.k,$F95,AVERAGE(_xlfn._xlws.FILTER(_xlpm.d,_xlpm.f=_xlpm.k)))</f>
        <v>1</v>
      </c>
      <c r="R95" s="2" cm="1">
        <f t="array" ref="R95">_xlfn.LET(_xlpm.d,R$2:R$85,_xlpm.f,$A$2:$A$85,_xlpm.k,$F95,AVERAGE(_xlfn._xlws.FILTER(_xlpm.d,_xlpm.f=_xlpm.k)))</f>
        <v>1</v>
      </c>
      <c r="S95" s="2" cm="1">
        <f t="array" ref="S95">_xlfn.LET(_xlpm.d,S$2:S$85,_xlpm.f,$A$2:$A$85,_xlpm.k,$F95,AVERAGE(_xlfn._xlws.FILTER(_xlpm.d,_xlpm.f=_xlpm.k)))</f>
        <v>0.97690504121031652</v>
      </c>
      <c r="T95" s="2" cm="1">
        <f t="array" ref="T95">_xlfn.LET(_xlpm.d,T$2:T$85,_xlpm.f,$A$2:$A$85,_xlpm.k,$F95,AVERAGE(_xlfn._xlws.FILTER(_xlpm.d,_xlpm.f=_xlpm.k)))</f>
        <v>0.99623320491814071</v>
      </c>
    </row>
    <row r="96" spans="1:20" ht="30" customHeight="1">
      <c r="F96" t="s">
        <v>100</v>
      </c>
      <c r="G96" s="2" cm="1">
        <f t="array" ref="G96">_xlfn.LET(_xlpm.d,G$2:G$85,_xlpm.f,$A$2:$A$85,_xlpm.k,$F96,AVERAGE(_xlfn._xlws.FILTER(_xlpm.d,_xlpm.f=_xlpm.k)))</f>
        <v>0.8974526801038426</v>
      </c>
      <c r="H96" s="2" cm="1">
        <f t="array" ref="H96">_xlfn.LET(_xlpm.d,H$2:H$85,_xlpm.f,$A$2:$A$85,_xlpm.k,$F96,AVERAGE(_xlfn._xlws.FILTER(_xlpm.d,_xlpm.f=_xlpm.k)))</f>
        <v>0.74805598702824683</v>
      </c>
      <c r="I96" s="2" cm="1">
        <f t="array" ref="I96">_xlfn.LET(_xlpm.d,I$2:I$85,_xlpm.f,$A$2:$A$85,_xlpm.k,$F96,AVERAGE(_xlfn._xlws.FILTER(_xlpm.d,_xlpm.f=_xlpm.k)))</f>
        <v>0.72442790307170746</v>
      </c>
      <c r="J96" s="2" cm="1">
        <f t="array" ref="J96">_xlfn.LET(_xlpm.d,J$2:J$85,_xlpm.f,$A$2:$A$85,_xlpm.k,$F96,AVERAGE(_xlfn._xlws.FILTER(_xlpm.d,_xlpm.f=_xlpm.k)))</f>
        <v>0.75859695395675786</v>
      </c>
      <c r="K96" s="2" cm="1">
        <f t="array" ref="K96">_xlfn.LET(_xlpm.d,K$2:K$85,_xlpm.f,$A$2:$A$85,_xlpm.k,$F96,AVERAGE(_xlfn._xlws.FILTER(_xlpm.d,_xlpm.f=_xlpm.k)))</f>
        <v>0.76617644777791172</v>
      </c>
      <c r="L96" s="2" cm="1">
        <f t="array" ref="L96">_xlfn.LET(_xlpm.d,L$2:L$85,_xlpm.f,$A$2:$A$85,_xlpm.k,$F96,AVERAGE(_xlfn._xlws.FILTER(_xlpm.d,_xlpm.f=_xlpm.k)))</f>
        <v>0.68123461745798664</v>
      </c>
      <c r="M96" s="2" cm="1">
        <f t="array" ref="M96">_xlfn.LET(_xlpm.d,M$2:M$85,_xlpm.f,$A$2:$A$85,_xlpm.k,$F96,AVERAGE(_xlfn._xlws.FILTER(_xlpm.d,_xlpm.f=_xlpm.k)))</f>
        <v>0.77674263041087455</v>
      </c>
      <c r="N96" s="2" cm="1">
        <f t="array" ref="N96">_xlfn.LET(_xlpm.d,N$2:N$85,_xlpm.f,$A$2:$A$85,_xlpm.k,$F96,AVERAGE(_xlfn._xlws.FILTER(_xlpm.d,_xlpm.f=_xlpm.k)))</f>
        <v>0.60801126266012251</v>
      </c>
      <c r="O96" s="2" cm="1">
        <f t="array" ref="O96">_xlfn.LET(_xlpm.d,O$2:O$85,_xlpm.f,$A$2:$A$85,_xlpm.k,$F96,AVERAGE(_xlfn._xlws.FILTER(_xlpm.d,_xlpm.f=_xlpm.k)))</f>
        <v>0.62757505542125858</v>
      </c>
      <c r="P96" s="2" cm="1">
        <f t="array" ref="P96">_xlfn.LET(_xlpm.d,P$2:P$85,_xlpm.f,$A$2:$A$85,_xlpm.k,$F96,AVERAGE(_xlfn._xlws.FILTER(_xlpm.d,_xlpm.f=_xlpm.k)))</f>
        <v>0.54799098677089897</v>
      </c>
      <c r="Q96" s="2" cm="1">
        <f t="array" ref="Q96">_xlfn.LET(_xlpm.d,Q$2:Q$85,_xlpm.f,$A$2:$A$85,_xlpm.k,$F96,AVERAGE(_xlfn._xlws.FILTER(_xlpm.d,_xlpm.f=_xlpm.k)))</f>
        <v>0.60679887537842858</v>
      </c>
      <c r="R96" s="2" cm="1">
        <f t="array" ref="R96">_xlfn.LET(_xlpm.d,R$2:R$85,_xlpm.f,$A$2:$A$85,_xlpm.k,$F96,AVERAGE(_xlfn._xlws.FILTER(_xlpm.d,_xlpm.f=_xlpm.k)))</f>
        <v>0.62942751641282269</v>
      </c>
      <c r="S96" s="2" cm="1">
        <f t="array" ref="S96">_xlfn.LET(_xlpm.d,S$2:S$85,_xlpm.f,$A$2:$A$85,_xlpm.k,$F96,AVERAGE(_xlfn._xlws.FILTER(_xlpm.d,_xlpm.f=_xlpm.k)))</f>
        <v>0.50763725306826646</v>
      </c>
      <c r="T96" s="2" cm="1">
        <f t="array" ref="T96">_xlfn.LET(_xlpm.d,T$2:T$85,_xlpm.f,$A$2:$A$85,_xlpm.k,$F96,AVERAGE(_xlfn._xlws.FILTER(_xlpm.d,_xlpm.f=_xlpm.k)))</f>
        <v>0.68308678227070196</v>
      </c>
    </row>
    <row r="97" spans="6:20" ht="30" customHeight="1">
      <c r="F97" t="s">
        <v>42</v>
      </c>
      <c r="G97" s="2" cm="1">
        <f t="array" ref="G97">_xlfn.LET(_xlpm.d,G$2:G$85,_xlpm.f,$A$2:$A$85,_xlpm.k,$F97,AVERAGE(_xlfn._xlws.FILTER(_xlpm.d,_xlpm.f=_xlpm.k)))</f>
        <v>0.97327899048180222</v>
      </c>
      <c r="H97" s="2" cm="1">
        <f t="array" ref="H97">_xlfn.LET(_xlpm.d,H$2:H$85,_xlpm.f,$A$2:$A$85,_xlpm.k,$F97,AVERAGE(_xlfn._xlws.FILTER(_xlpm.d,_xlpm.f=_xlpm.k)))</f>
        <v>0.9922801775322877</v>
      </c>
      <c r="I97" s="2" cm="1">
        <f t="array" ref="I97">_xlfn.LET(_xlpm.d,I$2:I$85,_xlpm.f,$A$2:$A$85,_xlpm.k,$F97,AVERAGE(_xlfn._xlws.FILTER(_xlpm.d,_xlpm.f=_xlpm.k)))</f>
        <v>0.97958083620232439</v>
      </c>
      <c r="J97" s="2" cm="1">
        <f t="array" ref="J97">_xlfn.LET(_xlpm.d,J$2:J$85,_xlpm.f,$A$2:$A$85,_xlpm.k,$F97,AVERAGE(_xlfn._xlws.FILTER(_xlpm.d,_xlpm.f=_xlpm.k)))</f>
        <v>0.9908757455285031</v>
      </c>
      <c r="K97" s="2" cm="1">
        <f t="array" ref="K97">_xlfn.LET(_xlpm.d,K$2:K$85,_xlpm.f,$A$2:$A$85,_xlpm.k,$F97,AVERAGE(_xlfn._xlws.FILTER(_xlpm.d,_xlpm.f=_xlpm.k)))</f>
        <v>0.9777095857159489</v>
      </c>
      <c r="L97" s="2" cm="1">
        <f t="array" ref="L97">_xlfn.LET(_xlpm.d,L$2:L$85,_xlpm.f,$A$2:$A$85,_xlpm.k,$F97,AVERAGE(_xlfn._xlws.FILTER(_xlpm.d,_xlpm.f=_xlpm.k)))</f>
        <v>0.98475339484990587</v>
      </c>
      <c r="M97" s="2" cm="1">
        <f t="array" ref="M97">_xlfn.LET(_xlpm.d,M$2:M$85,_xlpm.f,$A$2:$A$85,_xlpm.k,$F97,AVERAGE(_xlfn._xlws.FILTER(_xlpm.d,_xlpm.f=_xlpm.k)))</f>
        <v>0.98809192218973241</v>
      </c>
      <c r="N97" s="2" cm="1">
        <f t="array" ref="N97">_xlfn.LET(_xlpm.d,N$2:N$85,_xlpm.f,$A$2:$A$85,_xlpm.k,$F97,AVERAGE(_xlfn._xlws.FILTER(_xlpm.d,_xlpm.f=_xlpm.k)))</f>
        <v>0.99107400835147552</v>
      </c>
      <c r="O97" s="2" cm="1">
        <f t="array" ref="O97">_xlfn.LET(_xlpm.d,O$2:O$85,_xlpm.f,$A$2:$A$85,_xlpm.k,$F97,AVERAGE(_xlfn._xlws.FILTER(_xlpm.d,_xlpm.f=_xlpm.k)))</f>
        <v>0.96422833048466494</v>
      </c>
      <c r="P97" s="2" cm="1">
        <f t="array" ref="P97">_xlfn.LET(_xlpm.d,P$2:P$85,_xlpm.f,$A$2:$A$85,_xlpm.k,$F97,AVERAGE(_xlfn._xlws.FILTER(_xlpm.d,_xlpm.f=_xlpm.k)))</f>
        <v>0.98768411515634036</v>
      </c>
      <c r="Q97" s="2" cm="1">
        <f t="array" ref="Q97">_xlfn.LET(_xlpm.d,Q$2:Q$85,_xlpm.f,$A$2:$A$85,_xlpm.k,$F97,AVERAGE(_xlfn._xlws.FILTER(_xlpm.d,_xlpm.f=_xlpm.k)))</f>
        <v>0.97702917598458972</v>
      </c>
      <c r="R97" s="2" cm="1">
        <f t="array" ref="R97">_xlfn.LET(_xlpm.d,R$2:R$85,_xlpm.f,$A$2:$A$85,_xlpm.k,$F97,AVERAGE(_xlfn._xlws.FILTER(_xlpm.d,_xlpm.f=_xlpm.k)))</f>
        <v>0.95619961035523349</v>
      </c>
      <c r="S97" s="2" cm="1">
        <f t="array" ref="S97">_xlfn.LET(_xlpm.d,S$2:S$85,_xlpm.f,$A$2:$A$85,_xlpm.k,$F97,AVERAGE(_xlfn._xlws.FILTER(_xlpm.d,_xlpm.f=_xlpm.k)))</f>
        <v>0.9918226339197469</v>
      </c>
      <c r="T97" s="2" cm="1">
        <f t="array" ref="T97">_xlfn.LET(_xlpm.d,T$2:T$85,_xlpm.f,$A$2:$A$85,_xlpm.k,$F97,AVERAGE(_xlfn._xlws.FILTER(_xlpm.d,_xlpm.f=_xlpm.k)))</f>
        <v>0.98112373282711984</v>
      </c>
    </row>
    <row r="98" spans="6:20" ht="30" customHeight="1">
      <c r="F98" t="s">
        <v>102</v>
      </c>
      <c r="G98" s="2" cm="1">
        <f t="array" ref="G98">_xlfn.LET(_xlpm.d,G$2:G$85,_xlpm.f,$A$2:$A$85,_xlpm.k,$F98,AVERAGE(_xlfn._xlws.FILTER(_xlpm.d,_xlpm.f=_xlpm.k)))</f>
        <v>0.6755019417370175</v>
      </c>
      <c r="H98" s="2" cm="1">
        <f t="array" ref="H98">_xlfn.LET(_xlpm.d,H$2:H$85,_xlpm.f,$A$2:$A$85,_xlpm.k,$F98,AVERAGE(_xlfn._xlws.FILTER(_xlpm.d,_xlpm.f=_xlpm.k)))</f>
        <v>0.59460568566658989</v>
      </c>
      <c r="I98" s="2" cm="1">
        <f t="array" ref="I98">_xlfn.LET(_xlpm.d,I$2:I$85,_xlpm.f,$A$2:$A$85,_xlpm.k,$F98,AVERAGE(_xlfn._xlws.FILTER(_xlpm.d,_xlpm.f=_xlpm.k)))</f>
        <v>0.58642873420722219</v>
      </c>
      <c r="J98" s="2" cm="1">
        <f t="array" ref="J98">_xlfn.LET(_xlpm.d,J$2:J$85,_xlpm.f,$A$2:$A$85,_xlpm.k,$F98,AVERAGE(_xlfn._xlws.FILTER(_xlpm.d,_xlpm.f=_xlpm.k)))</f>
        <v>0.4069244526655636</v>
      </c>
      <c r="K98" s="2" cm="1">
        <f t="array" ref="K98">_xlfn.LET(_xlpm.d,K$2:K$85,_xlpm.f,$A$2:$A$85,_xlpm.k,$F98,AVERAGE(_xlfn._xlws.FILTER(_xlpm.d,_xlpm.f=_xlpm.k)))</f>
        <v>0.47638979264500358</v>
      </c>
      <c r="L98" s="2" cm="1">
        <f t="array" ref="L98">_xlfn.LET(_xlpm.d,L$2:L$85,_xlpm.f,$A$2:$A$85,_xlpm.k,$F98,AVERAGE(_xlfn._xlws.FILTER(_xlpm.d,_xlpm.f=_xlpm.k)))</f>
        <v>0.44445313010315396</v>
      </c>
      <c r="M98" s="2" cm="1">
        <f t="array" ref="M98">_xlfn.LET(_xlpm.d,M$2:M$85,_xlpm.f,$A$2:$A$85,_xlpm.k,$F98,AVERAGE(_xlfn._xlws.FILTER(_xlpm.d,_xlpm.f=_xlpm.k)))</f>
        <v>0.43652621434952854</v>
      </c>
      <c r="N98" s="2" cm="1">
        <f t="array" ref="N98">_xlfn.LET(_xlpm.d,N$2:N$85,_xlpm.f,$A$2:$A$85,_xlpm.k,$F98,AVERAGE(_xlfn._xlws.FILTER(_xlpm.d,_xlpm.f=_xlpm.k)))</f>
        <v>0.45463898737947578</v>
      </c>
      <c r="O98" s="2" cm="1">
        <f t="array" ref="O98">_xlfn.LET(_xlpm.d,O$2:O$85,_xlpm.f,$A$2:$A$85,_xlpm.k,$F98,AVERAGE(_xlfn._xlws.FILTER(_xlpm.d,_xlpm.f=_xlpm.k)))</f>
        <v>0.26186694535766514</v>
      </c>
      <c r="P98" s="2" cm="1">
        <f t="array" ref="P98">_xlfn.LET(_xlpm.d,P$2:P$85,_xlpm.f,$A$2:$A$85,_xlpm.k,$F98,AVERAGE(_xlfn._xlws.FILTER(_xlpm.d,_xlpm.f=_xlpm.k)))</f>
        <v>0.28428586796902333</v>
      </c>
      <c r="Q98" s="2" cm="1">
        <f t="array" ref="Q98">_xlfn.LET(_xlpm.d,Q$2:Q$85,_xlpm.f,$A$2:$A$85,_xlpm.k,$F98,AVERAGE(_xlfn._xlws.FILTER(_xlpm.d,_xlpm.f=_xlpm.k)))</f>
        <v>0.48079366040759552</v>
      </c>
      <c r="R98" s="2" cm="1">
        <f t="array" ref="R98">_xlfn.LET(_xlpm.d,R$2:R$85,_xlpm.f,$A$2:$A$85,_xlpm.k,$F98,AVERAGE(_xlfn._xlws.FILTER(_xlpm.d,_xlpm.f=_xlpm.k)))</f>
        <v>0.43738282505394072</v>
      </c>
      <c r="S98" s="2" cm="1">
        <f t="array" ref="S98">_xlfn.LET(_xlpm.d,S$2:S$85,_xlpm.f,$A$2:$A$85,_xlpm.k,$F98,AVERAGE(_xlfn._xlws.FILTER(_xlpm.d,_xlpm.f=_xlpm.k)))</f>
        <v>0.13078122348888957</v>
      </c>
      <c r="T98" s="2" cm="1">
        <f t="array" ref="T98">_xlfn.LET(_xlpm.d,T$2:T$85,_xlpm.f,$A$2:$A$85,_xlpm.k,$F98,AVERAGE(_xlfn._xlws.FILTER(_xlpm.d,_xlpm.f=_xlpm.k)))</f>
        <v>0.43619842007928222</v>
      </c>
    </row>
    <row r="99" spans="6:20" ht="30" customHeight="1">
      <c r="F99" t="s">
        <v>103</v>
      </c>
      <c r="G99" s="2" cm="1">
        <f t="array" ref="G99">_xlfn.LET(_xlpm.d,G$2:G$85,_xlpm.f,$A$2:$A$85,_xlpm.k,$F99,AVERAGE(_xlfn._xlws.FILTER(_xlpm.d,_xlpm.f=_xlpm.k)))</f>
        <v>0.53459921646243436</v>
      </c>
      <c r="H99" s="2" cm="1">
        <f t="array" ref="H99">_xlfn.LET(_xlpm.d,H$2:H$85,_xlpm.f,$A$2:$A$85,_xlpm.k,$F99,AVERAGE(_xlfn._xlws.FILTER(_xlpm.d,_xlpm.f=_xlpm.k)))</f>
        <v>0.65952452936644346</v>
      </c>
      <c r="I99" s="2" cm="1">
        <f t="array" ref="I99">_xlfn.LET(_xlpm.d,I$2:I$85,_xlpm.f,$A$2:$A$85,_xlpm.k,$F99,AVERAGE(_xlfn._xlws.FILTER(_xlpm.d,_xlpm.f=_xlpm.k)))</f>
        <v>0.5458713075184608</v>
      </c>
      <c r="J99" s="2" cm="1">
        <f t="array" ref="J99">_xlfn.LET(_xlpm.d,J$2:J$85,_xlpm.f,$A$2:$A$85,_xlpm.k,$F99,AVERAGE(_xlfn._xlws.FILTER(_xlpm.d,_xlpm.f=_xlpm.k)))</f>
        <v>0.46659093695529574</v>
      </c>
      <c r="K99" s="2" cm="1">
        <f t="array" ref="K99">_xlfn.LET(_xlpm.d,K$2:K$85,_xlpm.f,$A$2:$A$85,_xlpm.k,$F99,AVERAGE(_xlfn._xlws.FILTER(_xlpm.d,_xlpm.f=_xlpm.k)))</f>
        <v>0.45076178213353496</v>
      </c>
      <c r="L99" s="2" cm="1">
        <f t="array" ref="L99">_xlfn.LET(_xlpm.d,L$2:L$85,_xlpm.f,$A$2:$A$85,_xlpm.k,$F99,AVERAGE(_xlfn._xlws.FILTER(_xlpm.d,_xlpm.f=_xlpm.k)))</f>
        <v>0.43353845517154271</v>
      </c>
      <c r="M99" s="2" cm="1">
        <f t="array" ref="M99">_xlfn.LET(_xlpm.d,M$2:M$85,_xlpm.f,$A$2:$A$85,_xlpm.k,$F99,AVERAGE(_xlfn._xlws.FILTER(_xlpm.d,_xlpm.f=_xlpm.k)))</f>
        <v>0.18380228754905945</v>
      </c>
      <c r="N99" s="2" cm="1">
        <f t="array" ref="N99">_xlfn.LET(_xlpm.d,N$2:N$85,_xlpm.f,$A$2:$A$85,_xlpm.k,$F99,AVERAGE(_xlfn._xlws.FILTER(_xlpm.d,_xlpm.f=_xlpm.k)))</f>
        <v>0.38894154648463053</v>
      </c>
      <c r="O99" s="2" cm="1">
        <f t="array" ref="O99">_xlfn.LET(_xlpm.d,O$2:O$85,_xlpm.f,$A$2:$A$85,_xlpm.k,$F99,AVERAGE(_xlfn._xlws.FILTER(_xlpm.d,_xlpm.f=_xlpm.k)))</f>
        <v>0.36903953441131698</v>
      </c>
      <c r="P99" s="2" cm="1">
        <f t="array" ref="P99">_xlfn.LET(_xlpm.d,P$2:P$85,_xlpm.f,$A$2:$A$85,_xlpm.k,$F99,AVERAGE(_xlfn._xlws.FILTER(_xlpm.d,_xlpm.f=_xlpm.k)))</f>
        <v>0.30163932855446218</v>
      </c>
      <c r="Q99" s="2" cm="1">
        <f t="array" ref="Q99">_xlfn.LET(_xlpm.d,Q$2:Q$85,_xlpm.f,$A$2:$A$85,_xlpm.k,$F99,AVERAGE(_xlfn._xlws.FILTER(_xlpm.d,_xlpm.f=_xlpm.k)))</f>
        <v>0.3825624114273683</v>
      </c>
      <c r="R99" s="2" cm="1">
        <f t="array" ref="R99">_xlfn.LET(_xlpm.d,R$2:R$85,_xlpm.f,$A$2:$A$85,_xlpm.k,$F99,AVERAGE(_xlfn._xlws.FILTER(_xlpm.d,_xlpm.f=_xlpm.k)))</f>
        <v>0.23474861619710882</v>
      </c>
      <c r="S99" s="2" cm="1">
        <f t="array" ref="S99">_xlfn.LET(_xlpm.d,S$2:S$85,_xlpm.f,$A$2:$A$85,_xlpm.k,$F99,AVERAGE(_xlfn._xlws.FILTER(_xlpm.d,_xlpm.f=_xlpm.k)))</f>
        <v>0.42526897217086129</v>
      </c>
      <c r="T99" s="2" cm="1">
        <f t="array" ref="T99">_xlfn.LET(_xlpm.d,T$2:T$85,_xlpm.f,$A$2:$A$85,_xlpm.k,$F99,AVERAGE(_xlfn._xlws.FILTER(_xlpm.d,_xlpm.f=_xlpm.k)))</f>
        <v>0.41360684033865536</v>
      </c>
    </row>
    <row r="100" spans="6:20" ht="30" customHeight="1">
      <c r="F100" t="s">
        <v>101</v>
      </c>
      <c r="G100" s="2" cm="1">
        <f t="array" ref="G100">_xlfn.LET(_xlpm.d,G$2:G$85,_xlpm.f,$A$2:$A$85,_xlpm.k,$F100,AVERAGE(_xlfn._xlws.FILTER(_xlpm.d,_xlpm.f=_xlpm.k)))</f>
        <v>0.80328494266165384</v>
      </c>
      <c r="H100" s="2" cm="1">
        <f t="array" ref="H100">_xlfn.LET(_xlpm.d,H$2:H$85,_xlpm.f,$A$2:$A$85,_xlpm.k,$F100,AVERAGE(_xlfn._xlws.FILTER(_xlpm.d,_xlpm.f=_xlpm.k)))</f>
        <v>0.65667167832055351</v>
      </c>
      <c r="I100" s="2" cm="1">
        <f t="array" ref="I100">_xlfn.LET(_xlpm.d,I$2:I$85,_xlpm.f,$A$2:$A$85,_xlpm.k,$F100,AVERAGE(_xlfn._xlws.FILTER(_xlpm.d,_xlpm.f=_xlpm.k)))</f>
        <v>0.75400460426251925</v>
      </c>
      <c r="J100" s="2" cm="1">
        <f t="array" ref="J100">_xlfn.LET(_xlpm.d,J$2:J$85,_xlpm.f,$A$2:$A$85,_xlpm.k,$F100,AVERAGE(_xlfn._xlws.FILTER(_xlpm.d,_xlpm.f=_xlpm.k)))</f>
        <v>0.58594023699404885</v>
      </c>
      <c r="K100" s="2" cm="1">
        <f t="array" ref="K100">_xlfn.LET(_xlpm.d,K$2:K$85,_xlpm.f,$A$2:$A$85,_xlpm.k,$F100,AVERAGE(_xlfn._xlws.FILTER(_xlpm.d,_xlpm.f=_xlpm.k)))</f>
        <v>0.54203243421893055</v>
      </c>
      <c r="L100" s="2" cm="1">
        <f t="array" ref="L100">_xlfn.LET(_xlpm.d,L$2:L$85,_xlpm.f,$A$2:$A$85,_xlpm.k,$F100,AVERAGE(_xlfn._xlws.FILTER(_xlpm.d,_xlpm.f=_xlpm.k)))</f>
        <v>0.5764374753367647</v>
      </c>
      <c r="M100" s="2" cm="1">
        <f t="array" ref="M100">_xlfn.LET(_xlpm.d,M$2:M$85,_xlpm.f,$A$2:$A$85,_xlpm.k,$F100,AVERAGE(_xlfn._xlws.FILTER(_xlpm.d,_xlpm.f=_xlpm.k)))</f>
        <v>0.57544817528733117</v>
      </c>
      <c r="N100" s="2" cm="1">
        <f t="array" ref="N100">_xlfn.LET(_xlpm.d,N$2:N$85,_xlpm.f,$A$2:$A$85,_xlpm.k,$F100,AVERAGE(_xlfn._xlws.FILTER(_xlpm.d,_xlpm.f=_xlpm.k)))</f>
        <v>0.54109109256849686</v>
      </c>
      <c r="O100" s="2" cm="1">
        <f t="array" ref="O100">_xlfn.LET(_xlpm.d,O$2:O$85,_xlpm.f,$A$2:$A$85,_xlpm.k,$F100,AVERAGE(_xlfn._xlws.FILTER(_xlpm.d,_xlpm.f=_xlpm.k)))</f>
        <v>0.62192544285530293</v>
      </c>
      <c r="P100" s="2" cm="1">
        <f t="array" ref="P100">_xlfn.LET(_xlpm.d,P$2:P$85,_xlpm.f,$A$2:$A$85,_xlpm.k,$F100,AVERAGE(_xlfn._xlws.FILTER(_xlpm.d,_xlpm.f=_xlpm.k)))</f>
        <v>0.71169949628112439</v>
      </c>
      <c r="Q100" s="2" cm="1">
        <f t="array" ref="Q100">_xlfn.LET(_xlpm.d,Q$2:Q$85,_xlpm.f,$A$2:$A$85,_xlpm.k,$F100,AVERAGE(_xlfn._xlws.FILTER(_xlpm.d,_xlpm.f=_xlpm.k)))</f>
        <v>0.58605569247784861</v>
      </c>
      <c r="R100" s="2" cm="1">
        <f t="array" ref="R100">_xlfn.LET(_xlpm.d,R$2:R$85,_xlpm.f,$A$2:$A$85,_xlpm.k,$F100,AVERAGE(_xlfn._xlws.FILTER(_xlpm.d,_xlpm.f=_xlpm.k)))</f>
        <v>0.75707358283103743</v>
      </c>
      <c r="S100" s="2" cm="1">
        <f t="array" ref="S100">_xlfn.LET(_xlpm.d,S$2:S$85,_xlpm.f,$A$2:$A$85,_xlpm.k,$F100,AVERAGE(_xlfn._xlws.FILTER(_xlpm.d,_xlpm.f=_xlpm.k)))</f>
        <v>0.48650724087510872</v>
      </c>
      <c r="T100" s="2" cm="1">
        <f t="array" ref="T100">_xlfn.LET(_xlpm.d,T$2:T$85,_xlpm.f,$A$2:$A$85,_xlpm.k,$F100,AVERAGE(_xlfn._xlws.FILTER(_xlpm.d,_xlpm.f=_xlpm.k)))</f>
        <v>0.63062862269005548</v>
      </c>
    </row>
    <row r="102" spans="6:20" ht="30" customHeight="1">
      <c r="F102" t="s">
        <v>44</v>
      </c>
    </row>
    <row r="103" spans="6:20" ht="30" customHeight="1">
      <c r="F103" t="s">
        <v>37</v>
      </c>
      <c r="G103" s="2" cm="1">
        <f t="array" ref="G103">_xlfn.LET(_xlpm.d,G$2:G$85,_xlpm.g,$B$2:$B$85,AVERAGE(_xlfn._xlws.FILTER(_xlpm.d,(_xlpm.g=0))))</f>
        <v>0.69907358423570121</v>
      </c>
      <c r="H103" s="2" cm="1">
        <f t="array" ref="H103">_xlfn.LET(_xlpm.d,H$2:H$85,_xlpm.g,$B$2:$B$85,AVERAGE(_xlfn._xlws.FILTER(_xlpm.d,(_xlpm.g=0))))</f>
        <v>0.64744231452926415</v>
      </c>
      <c r="I103" s="2" cm="1">
        <f t="array" ref="I103">_xlfn.LET(_xlpm.d,I$2:I$85,_xlpm.g,$B$2:$B$85,AVERAGE(_xlfn._xlws.FILTER(_xlpm.d,(_xlpm.g=0))))</f>
        <v>0.64347377935774897</v>
      </c>
      <c r="J103" s="2" cm="1">
        <f t="array" ref="J103">_xlfn.LET(_xlpm.d,J$2:J$85,_xlpm.g,$B$2:$B$85,AVERAGE(_xlfn._xlws.FILTER(_xlpm.d,(_xlpm.g=0))))</f>
        <v>0.60355242546379129</v>
      </c>
      <c r="K103" s="2" cm="1">
        <f t="array" ref="K103">_xlfn.LET(_xlpm.d,K$2:K$85,_xlpm.g,$B$2:$B$85,AVERAGE(_xlfn._xlws.FILTER(_xlpm.d,(_xlpm.g=0))))</f>
        <v>0.60456693662277994</v>
      </c>
      <c r="L103" s="2" cm="1">
        <f t="array" ref="L103">_xlfn.LET(_xlpm.d,L$2:L$85,_xlpm.g,$B$2:$B$85,AVERAGE(_xlfn._xlws.FILTER(_xlpm.d,(_xlpm.g=0))))</f>
        <v>0.60057612696277485</v>
      </c>
      <c r="M103" s="2" cm="1">
        <f t="array" ref="M103">_xlfn.LET(_xlpm.d,M$2:M$85,_xlpm.g,$B$2:$B$85,AVERAGE(_xlfn._xlws.FILTER(_xlpm.d,(_xlpm.g=0))))</f>
        <v>0.61959383822379221</v>
      </c>
      <c r="N103" s="2" cm="1">
        <f t="array" ref="N103">_xlfn.LET(_xlpm.d,N$2:N$85,_xlpm.g,$B$2:$B$85,AVERAGE(_xlfn._xlws.FILTER(_xlpm.d,(_xlpm.g=0))))</f>
        <v>0.57852284637590856</v>
      </c>
      <c r="O103" s="2" cm="1">
        <f t="array" ref="O103">_xlfn.LET(_xlpm.d,O$2:O$85,_xlpm.g,$B$2:$B$85,AVERAGE(_xlfn._xlws.FILTER(_xlpm.d,(_xlpm.g=0))))</f>
        <v>0.58530885120294252</v>
      </c>
      <c r="P103" s="2" cm="1">
        <f t="array" ref="P103">_xlfn.LET(_xlpm.d,P$2:P$85,_xlpm.g,$B$2:$B$85,AVERAGE(_xlfn._xlws.FILTER(_xlpm.d,(_xlpm.g=0))))</f>
        <v>0.57579386251031572</v>
      </c>
      <c r="Q103" s="2" cm="1">
        <f t="array" ref="Q103">_xlfn.LET(_xlpm.d,Q$2:Q$85,_xlpm.g,$B$2:$B$85,AVERAGE(_xlfn._xlws.FILTER(_xlpm.d,(_xlpm.g=0))))</f>
        <v>0.59081636999867071</v>
      </c>
      <c r="R103" s="2" cm="1">
        <f t="array" ref="R103">_xlfn.LET(_xlpm.d,R$2:R$85,_xlpm.g,$B$2:$B$85,AVERAGE(_xlfn._xlws.FILTER(_xlpm.d,(_xlpm.g=0))))</f>
        <v>0.58302898309363826</v>
      </c>
      <c r="S103" s="2" cm="1">
        <f t="array" ref="S103">_xlfn.LET(_xlpm.d,S$2:S$85,_xlpm.g,$B$2:$B$85,AVERAGE(_xlfn._xlws.FILTER(_xlpm.d,(_xlpm.g=0))))</f>
        <v>0.54971393876504293</v>
      </c>
      <c r="T103" s="2" cm="1">
        <f t="array" ref="T103">_xlfn.LET(_xlpm.d,T$2:T$85,_xlpm.g,$B$2:$B$85,AVERAGE(_xlfn._xlws.FILTER(_xlpm.d,(_xlpm.g=0))))</f>
        <v>0.60306097809719428</v>
      </c>
    </row>
    <row r="104" spans="6:20" ht="30" customHeight="1">
      <c r="F104" t="s">
        <v>38</v>
      </c>
      <c r="G104" s="2" cm="1">
        <f t="array" ref="G104">_xlfn.LET(_xlpm.d,G$2:G$85,_xlpm.f,$A$2:$A$85,_xlpm.g,$B$2:$B$85,_xlpm.k,$F104,AVERAGE(_xlfn._xlws.FILTER(_xlpm.d,(_xlpm.f=_xlpm.k)*(_xlpm.g=0))))</f>
        <v>1</v>
      </c>
      <c r="H104" s="2" cm="1">
        <f t="array" ref="H104">_xlfn.LET(_xlpm.d,H$2:H$85,_xlpm.f,$A$2:$A$85,_xlpm.g,$B$2:$B$85,_xlpm.k,$F104,AVERAGE(_xlfn._xlws.FILTER(_xlpm.d,(_xlpm.f=_xlpm.k)*(_xlpm.g=0))))</f>
        <v>0.99842944622911689</v>
      </c>
      <c r="I104" s="2" cm="1">
        <f t="array" ref="I104">_xlfn.LET(_xlpm.d,I$2:I$85,_xlpm.f,$A$2:$A$85,_xlpm.g,$B$2:$B$85,_xlpm.k,$F104,AVERAGE(_xlfn._xlws.FILTER(_xlpm.d,(_xlpm.f=_xlpm.k)*(_xlpm.g=0))))</f>
        <v>0.99981784889698666</v>
      </c>
      <c r="J104" s="2" cm="1">
        <f t="array" ref="J104">_xlfn.LET(_xlpm.d,J$2:J$85,_xlpm.f,$A$2:$A$85,_xlpm.g,$B$2:$B$85,_xlpm.k,$F104,AVERAGE(_xlfn._xlws.FILTER(_xlpm.d,(_xlpm.f=_xlpm.k)*(_xlpm.g=0))))</f>
        <v>0.9985379447369781</v>
      </c>
      <c r="K104" s="2" cm="1">
        <f t="array" ref="K104">_xlfn.LET(_xlpm.d,K$2:K$85,_xlpm.f,$A$2:$A$85,_xlpm.g,$B$2:$B$85,_xlpm.k,$F104,AVERAGE(_xlfn._xlws.FILTER(_xlpm.d,(_xlpm.f=_xlpm.k)*(_xlpm.g=0))))</f>
        <v>0.99954010578767571</v>
      </c>
      <c r="L104" s="2" cm="1">
        <f t="array" ref="L104">_xlfn.LET(_xlpm.d,L$2:L$85,_xlpm.f,$A$2:$A$85,_xlpm.g,$B$2:$B$85,_xlpm.k,$F104,AVERAGE(_xlfn._xlws.FILTER(_xlpm.d,(_xlpm.f=_xlpm.k)*(_xlpm.g=0))))</f>
        <v>0.99922365973442473</v>
      </c>
      <c r="M104" s="2" cm="1">
        <f t="array" ref="M104">_xlfn.LET(_xlpm.d,M$2:M$85,_xlpm.f,$A$2:$A$85,_xlpm.g,$B$2:$B$85,_xlpm.k,$F104,AVERAGE(_xlfn._xlws.FILTER(_xlpm.d,(_xlpm.f=_xlpm.k)*(_xlpm.g=0))))</f>
        <v>1</v>
      </c>
      <c r="N104" s="2" cm="1">
        <f t="array" ref="N104">_xlfn.LET(_xlpm.d,N$2:N$85,_xlpm.f,$A$2:$A$85,_xlpm.g,$B$2:$B$85,_xlpm.k,$F104,AVERAGE(_xlfn._xlws.FILTER(_xlpm.d,(_xlpm.f=_xlpm.k)*(_xlpm.g=0))))</f>
        <v>1</v>
      </c>
      <c r="O104" s="2" cm="1">
        <f t="array" ref="O104">_xlfn.LET(_xlpm.d,O$2:O$85,_xlpm.f,$A$2:$A$85,_xlpm.g,$B$2:$B$85,_xlpm.k,$F104,AVERAGE(_xlfn._xlws.FILTER(_xlpm.d,(_xlpm.f=_xlpm.k)*(_xlpm.g=0))))</f>
        <v>1</v>
      </c>
      <c r="P104" s="2" cm="1">
        <f t="array" ref="P104">_xlfn.LET(_xlpm.d,P$2:P$85,_xlpm.f,$A$2:$A$85,_xlpm.g,$B$2:$B$85,_xlpm.k,$F104,AVERAGE(_xlfn._xlws.FILTER(_xlpm.d,(_xlpm.f=_xlpm.k)*(_xlpm.g=0))))</f>
        <v>0.99904198735870364</v>
      </c>
      <c r="Q104" s="2" cm="1">
        <f t="array" ref="Q104">_xlfn.LET(_xlpm.d,Q$2:Q$85,_xlpm.f,$A$2:$A$85,_xlpm.g,$B$2:$B$85,_xlpm.k,$F104,AVERAGE(_xlfn._xlws.FILTER(_xlpm.d,(_xlpm.f=_xlpm.k)*(_xlpm.g=0))))</f>
        <v>0.99918347575854904</v>
      </c>
      <c r="R104" s="2" cm="1">
        <f t="array" ref="R104">_xlfn.LET(_xlpm.d,R$2:R$85,_xlpm.f,$A$2:$A$85,_xlpm.g,$B$2:$B$85,_xlpm.k,$F104,AVERAGE(_xlfn._xlws.FILTER(_xlpm.d,(_xlpm.f=_xlpm.k)*(_xlpm.g=0))))</f>
        <v>0.99977658583626006</v>
      </c>
      <c r="S104" s="2" cm="1">
        <f t="array" ref="S104">_xlfn.LET(_xlpm.d,S$2:S$85,_xlpm.f,$A$2:$A$85,_xlpm.g,$B$2:$B$85,_xlpm.k,$F104,AVERAGE(_xlfn._xlws.FILTER(_xlpm.d,(_xlpm.f=_xlpm.k)*(_xlpm.g=0))))</f>
        <v>0.98375403480003731</v>
      </c>
      <c r="T104" s="2" cm="1">
        <f t="array" ref="T104">_xlfn.LET(_xlpm.d,T$2:T$85,_xlpm.f,$A$2:$A$85,_xlpm.g,$B$2:$B$85,_xlpm.k,$F104,AVERAGE(_xlfn._xlws.FILTER(_xlpm.d,(_xlpm.f=_xlpm.k)*(_xlpm.g=0))))</f>
        <v>0.99825423762605636</v>
      </c>
    </row>
    <row r="105" spans="6:20" ht="30" customHeight="1">
      <c r="F105" t="s">
        <v>40</v>
      </c>
      <c r="G105" s="2" cm="1">
        <f t="array" ref="G105">_xlfn.LET(_xlpm.d,G$2:G$85,_xlpm.f,$A$2:$A$85,_xlpm.g,$B$2:$B$85,_xlpm.k,$F105,AVERAGE(_xlfn._xlws.FILTER(_xlpm.d,(_xlpm.f=_xlpm.k)*(_xlpm.g=0))))</f>
        <v>0.11927626266433133</v>
      </c>
      <c r="H105" s="2" cm="1">
        <f t="array" ref="H105">_xlfn.LET(_xlpm.d,H$2:H$85,_xlpm.f,$A$2:$A$85,_xlpm.g,$B$2:$B$85,_xlpm.k,$F105,AVERAGE(_xlfn._xlws.FILTER(_xlpm.d,(_xlpm.f=_xlpm.k)*(_xlpm.g=0))))</f>
        <v>0.12357831575228599</v>
      </c>
      <c r="I105" s="2" cm="1">
        <f t="array" ref="I105">_xlfn.LET(_xlpm.d,I$2:I$85,_xlpm.f,$A$2:$A$85,_xlpm.g,$B$2:$B$85,_xlpm.k,$F105,AVERAGE(_xlfn._xlws.FILTER(_xlpm.d,(_xlpm.f=_xlpm.k)*(_xlpm.g=0))))</f>
        <v>0.10615189453122</v>
      </c>
      <c r="J105" s="2" cm="1">
        <f t="array" ref="J105">_xlfn.LET(_xlpm.d,J$2:J$85,_xlpm.f,$A$2:$A$85,_xlpm.g,$B$2:$B$85,_xlpm.k,$F105,AVERAGE(_xlfn._xlws.FILTER(_xlpm.d,(_xlpm.f=_xlpm.k)*(_xlpm.g=0))))</f>
        <v>0.14444244947338117</v>
      </c>
      <c r="K105" s="2" cm="1">
        <f t="array" ref="K105">_xlfn.LET(_xlpm.d,K$2:K$85,_xlpm.f,$A$2:$A$85,_xlpm.g,$B$2:$B$85,_xlpm.k,$F105,AVERAGE(_xlfn._xlws.FILTER(_xlpm.d,(_xlpm.f=_xlpm.k)*(_xlpm.g=0))))</f>
        <v>0.16304433462999599</v>
      </c>
      <c r="L105" s="2" cm="1">
        <f t="array" ref="L105">_xlfn.LET(_xlpm.d,L$2:L$85,_xlpm.f,$A$2:$A$85,_xlpm.g,$B$2:$B$85,_xlpm.k,$F105,AVERAGE(_xlfn._xlws.FILTER(_xlpm.d,(_xlpm.f=_xlpm.k)*(_xlpm.g=0))))</f>
        <v>3.9646767241098002E-2</v>
      </c>
      <c r="M105" s="2" cm="1">
        <f t="array" ref="M105">_xlfn.LET(_xlpm.d,M$2:M$85,_xlpm.f,$A$2:$A$85,_xlpm.g,$B$2:$B$85,_xlpm.k,$F105,AVERAGE(_xlfn._xlws.FILTER(_xlpm.d,(_xlpm.f=_xlpm.k)*(_xlpm.g=0))))</f>
        <v>6.6322212739687803E-2</v>
      </c>
      <c r="N105" s="2" cm="1">
        <f t="array" ref="N105">_xlfn.LET(_xlpm.d,N$2:N$85,_xlpm.f,$A$2:$A$85,_xlpm.g,$B$2:$B$85,_xlpm.k,$F105,AVERAGE(_xlfn._xlws.FILTER(_xlpm.d,(_xlpm.f=_xlpm.k)*(_xlpm.g=0))))</f>
        <v>0</v>
      </c>
      <c r="O105" s="2" cm="1">
        <f t="array" ref="O105">_xlfn.LET(_xlpm.d,O$2:O$85,_xlpm.f,$A$2:$A$85,_xlpm.g,$B$2:$B$85,_xlpm.k,$F105,AVERAGE(_xlfn._xlws.FILTER(_xlpm.d,(_xlpm.f=_xlpm.k)*(_xlpm.g=0))))</f>
        <v>0</v>
      </c>
      <c r="P105" s="2" cm="1">
        <f t="array" ref="P105">_xlfn.LET(_xlpm.d,P$2:P$85,_xlpm.f,$A$2:$A$85,_xlpm.g,$B$2:$B$85,_xlpm.k,$F105,AVERAGE(_xlfn._xlws.FILTER(_xlpm.d,(_xlpm.f=_xlpm.k)*(_xlpm.g=0))))</f>
        <v>0</v>
      </c>
      <c r="Q105" s="2" cm="1">
        <f t="array" ref="Q105">_xlfn.LET(_xlpm.d,Q$2:Q$85,_xlpm.f,$A$2:$A$85,_xlpm.g,$B$2:$B$85,_xlpm.k,$F105,AVERAGE(_xlfn._xlws.FILTER(_xlpm.d,(_xlpm.f=_xlpm.k)*(_xlpm.g=0))))</f>
        <v>0</v>
      </c>
      <c r="R105" s="2" cm="1">
        <f t="array" ref="R105">_xlfn.LET(_xlpm.d,R$2:R$85,_xlpm.f,$A$2:$A$85,_xlpm.g,$B$2:$B$85,_xlpm.k,$F105,AVERAGE(_xlfn._xlws.FILTER(_xlpm.d,(_xlpm.f=_xlpm.k)*(_xlpm.g=0))))</f>
        <v>0</v>
      </c>
      <c r="S105" s="2" cm="1">
        <f t="array" ref="S105">_xlfn.LET(_xlpm.d,S$2:S$85,_xlpm.f,$A$2:$A$85,_xlpm.g,$B$2:$B$85,_xlpm.k,$F105,AVERAGE(_xlfn._xlws.FILTER(_xlpm.d,(_xlpm.f=_xlpm.k)*(_xlpm.g=0))))</f>
        <v>4.4000700113571496E-2</v>
      </c>
      <c r="T105" s="2" cm="1">
        <f t="array" ref="T105">_xlfn.LET(_xlpm.d,T$2:T$85,_xlpm.f,$A$2:$A$85,_xlpm.g,$B$2:$B$85,_xlpm.k,$F105,AVERAGE(_xlfn._xlws.FILTER(_xlpm.d,(_xlpm.f=_xlpm.k)*(_xlpm.g=0))))</f>
        <v>6.3002594535966447E-2</v>
      </c>
    </row>
    <row r="106" spans="6:20" ht="30" customHeight="1">
      <c r="F106" t="s">
        <v>41</v>
      </c>
      <c r="G106" s="2" cm="1">
        <f t="array" ref="G106">_xlfn.LET(_xlpm.d,G$2:G$85,_xlpm.f,$A$2:$A$85,_xlpm.g,$B$2:$B$85,_xlpm.k,$F106,AVERAGE(_xlfn._xlws.FILTER(_xlpm.d,(_xlpm.f=_xlpm.k)*(_xlpm.g=0))))</f>
        <v>0.25892284917523251</v>
      </c>
      <c r="H106" s="2" cm="1">
        <f t="array" ref="H106">_xlfn.LET(_xlpm.d,H$2:H$85,_xlpm.f,$A$2:$A$85,_xlpm.g,$B$2:$B$85,_xlpm.k,$F106,AVERAGE(_xlfn._xlws.FILTER(_xlpm.d,(_xlpm.f=_xlpm.k)*(_xlpm.g=0))))</f>
        <v>0.19324856243010732</v>
      </c>
      <c r="I106" s="2" cm="1">
        <f t="array" ref="I106">_xlfn.LET(_xlpm.d,I$2:I$85,_xlpm.f,$A$2:$A$85,_xlpm.g,$B$2:$B$85,_xlpm.k,$F106,AVERAGE(_xlfn._xlws.FILTER(_xlpm.d,(_xlpm.f=_xlpm.k)*(_xlpm.g=0))))</f>
        <v>0.19705781566138833</v>
      </c>
      <c r="J106" s="2" cm="1">
        <f t="array" ref="J106">_xlfn.LET(_xlpm.d,J$2:J$85,_xlpm.f,$A$2:$A$85,_xlpm.g,$B$2:$B$85,_xlpm.k,$F106,AVERAGE(_xlfn._xlws.FILTER(_xlpm.d,(_xlpm.f=_xlpm.k)*(_xlpm.g=0))))</f>
        <v>5.2414270009665004E-2</v>
      </c>
      <c r="K106" s="2" cm="1">
        <f t="array" ref="K106">_xlfn.LET(_xlpm.d,K$2:K$85,_xlpm.f,$A$2:$A$85,_xlpm.g,$B$2:$B$85,_xlpm.k,$F106,AVERAGE(_xlfn._xlws.FILTER(_xlpm.d,(_xlpm.f=_xlpm.k)*(_xlpm.g=0))))</f>
        <v>0</v>
      </c>
      <c r="L106" s="2" cm="1">
        <f t="array" ref="L106">_xlfn.LET(_xlpm.d,L$2:L$85,_xlpm.f,$A$2:$A$85,_xlpm.g,$B$2:$B$85,_xlpm.k,$F106,AVERAGE(_xlfn._xlws.FILTER(_xlpm.d,(_xlpm.f=_xlpm.k)*(_xlpm.g=0))))</f>
        <v>4.4374318495695002E-2</v>
      </c>
      <c r="M106" s="2" cm="1">
        <f t="array" ref="M106">_xlfn.LET(_xlpm.d,M$2:M$85,_xlpm.f,$A$2:$A$85,_xlpm.g,$B$2:$B$85,_xlpm.k,$F106,AVERAGE(_xlfn._xlws.FILTER(_xlpm.d,(_xlpm.f=_xlpm.k)*(_xlpm.g=0))))</f>
        <v>0</v>
      </c>
      <c r="N106" s="2" cm="1">
        <f t="array" ref="N106">_xlfn.LET(_xlpm.d,N$2:N$85,_xlpm.f,$A$2:$A$85,_xlpm.g,$B$2:$B$85,_xlpm.k,$F106,AVERAGE(_xlfn._xlws.FILTER(_xlpm.d,(_xlpm.f=_xlpm.k)*(_xlpm.g=0))))</f>
        <v>5.2396929176896E-2</v>
      </c>
      <c r="O106" s="2" cm="1">
        <f t="array" ref="O106">_xlfn.LET(_xlpm.d,O$2:O$85,_xlpm.f,$A$2:$A$85,_xlpm.g,$B$2:$B$85,_xlpm.k,$F106,AVERAGE(_xlfn._xlws.FILTER(_xlpm.d,(_xlpm.f=_xlpm.k)*(_xlpm.g=0))))</f>
        <v>0.12179487179487165</v>
      </c>
      <c r="P106" s="2" cm="1">
        <f t="array" ref="P106">_xlfn.LET(_xlpm.d,P$2:P$85,_xlpm.f,$A$2:$A$85,_xlpm.g,$B$2:$B$85,_xlpm.k,$F106,AVERAGE(_xlfn._xlws.FILTER(_xlpm.d,(_xlpm.f=_xlpm.k)*(_xlpm.g=0))))</f>
        <v>0</v>
      </c>
      <c r="Q106" s="2" cm="1">
        <f t="array" ref="Q106">_xlfn.LET(_xlpm.d,Q$2:Q$85,_xlpm.f,$A$2:$A$85,_xlpm.g,$B$2:$B$85,_xlpm.k,$F106,AVERAGE(_xlfn._xlws.FILTER(_xlpm.d,(_xlpm.f=_xlpm.k)*(_xlpm.g=0))))</f>
        <v>5.6060915299540999E-2</v>
      </c>
      <c r="R106" s="2" cm="1">
        <f t="array" ref="R106">_xlfn.LET(_xlpm.d,R$2:R$85,_xlpm.f,$A$2:$A$85,_xlpm.g,$B$2:$B$85,_xlpm.k,$F106,AVERAGE(_xlfn._xlws.FILTER(_xlpm.d,(_xlpm.f=_xlpm.k)*(_xlpm.g=0))))</f>
        <v>0.14404510680760638</v>
      </c>
      <c r="S106" s="2" cm="1">
        <f t="array" ref="S106">_xlfn.LET(_xlpm.d,S$2:S$85,_xlpm.f,$A$2:$A$85,_xlpm.g,$B$2:$B$85,_xlpm.k,$F106,AVERAGE(_xlfn._xlws.FILTER(_xlpm.d,(_xlpm.f=_xlpm.k)*(_xlpm.g=0))))</f>
        <v>0</v>
      </c>
      <c r="T106" s="2" cm="1">
        <f t="array" ref="T106">_xlfn.LET(_xlpm.d,T$2:T$85,_xlpm.f,$A$2:$A$85,_xlpm.g,$B$2:$B$85,_xlpm.k,$F106,AVERAGE(_xlfn._xlws.FILTER(_xlpm.d,(_xlpm.f=_xlpm.k)*(_xlpm.g=0))))</f>
        <v>8.5590660737893356E-2</v>
      </c>
    </row>
    <row r="107" spans="6:20" ht="30" customHeight="1">
      <c r="F107" t="s">
        <v>97</v>
      </c>
      <c r="G107" s="2" cm="1">
        <f t="array" ref="G107">_xlfn.LET(_xlpm.d,G$2:G$85,_xlpm.f,$A$2:$A$85,_xlpm.g,$B$2:$B$85,_xlpm.k,$F107,AVERAGE(_xlfn._xlws.FILTER(_xlpm.d,(_xlpm.f=_xlpm.k)*(_xlpm.g=0))))</f>
        <v>0.48947682046682406</v>
      </c>
      <c r="H107" s="2" cm="1">
        <f t="array" ref="H107">_xlfn.LET(_xlpm.d,H$2:H$85,_xlpm.f,$A$2:$A$85,_xlpm.g,$B$2:$B$85,_xlpm.k,$F107,AVERAGE(_xlfn._xlws.FILTER(_xlpm.d,(_xlpm.f=_xlpm.k)*(_xlpm.g=0))))</f>
        <v>0.34448659242545515</v>
      </c>
      <c r="I107" s="2" cm="1">
        <f t="array" ref="I107">_xlfn.LET(_xlpm.d,I$2:I$85,_xlpm.f,$A$2:$A$85,_xlpm.g,$B$2:$B$85,_xlpm.k,$F107,AVERAGE(_xlfn._xlws.FILTER(_xlpm.d,(_xlpm.f=_xlpm.k)*(_xlpm.g=0))))</f>
        <v>0.47916576050419463</v>
      </c>
      <c r="J107" s="2" cm="1">
        <f t="array" ref="J107">_xlfn.LET(_xlpm.d,J$2:J$85,_xlpm.f,$A$2:$A$85,_xlpm.g,$B$2:$B$85,_xlpm.k,$F107,AVERAGE(_xlfn._xlws.FILTER(_xlpm.d,(_xlpm.f=_xlpm.k)*(_xlpm.g=0))))</f>
        <v>0.50480044115893563</v>
      </c>
      <c r="K107" s="2" cm="1">
        <f t="array" ref="K107">_xlfn.LET(_xlpm.d,K$2:K$85,_xlpm.f,$A$2:$A$85,_xlpm.g,$B$2:$B$85,_xlpm.k,$F107,AVERAGE(_xlfn._xlws.FILTER(_xlpm.d,(_xlpm.f=_xlpm.k)*(_xlpm.g=0))))</f>
        <v>0.45466229933554264</v>
      </c>
      <c r="L107" s="2" cm="1">
        <f t="array" ref="L107">_xlfn.LET(_xlpm.d,L$2:L$85,_xlpm.f,$A$2:$A$85,_xlpm.g,$B$2:$B$85,_xlpm.k,$F107,AVERAGE(_xlfn._xlws.FILTER(_xlpm.d,(_xlpm.f=_xlpm.k)*(_xlpm.g=0))))</f>
        <v>0.36104185559581831</v>
      </c>
      <c r="M107" s="2" cm="1">
        <f t="array" ref="M107">_xlfn.LET(_xlpm.d,M$2:M$85,_xlpm.f,$A$2:$A$85,_xlpm.g,$B$2:$B$85,_xlpm.k,$F107,AVERAGE(_xlfn._xlws.FILTER(_xlpm.d,(_xlpm.f=_xlpm.k)*(_xlpm.g=0))))</f>
        <v>0.618024530569105</v>
      </c>
      <c r="N107" s="2" cm="1">
        <f t="array" ref="N107">_xlfn.LET(_xlpm.d,N$2:N$85,_xlpm.f,$A$2:$A$85,_xlpm.g,$B$2:$B$85,_xlpm.k,$F107,AVERAGE(_xlfn._xlws.FILTER(_xlpm.d,(_xlpm.f=_xlpm.k)*(_xlpm.g=0))))</f>
        <v>0.49523454167529651</v>
      </c>
      <c r="O107" s="2" cm="1">
        <f t="array" ref="O107">_xlfn.LET(_xlpm.d,O$2:O$85,_xlpm.f,$A$2:$A$85,_xlpm.g,$B$2:$B$85,_xlpm.k,$F107,AVERAGE(_xlfn._xlws.FILTER(_xlpm.d,(_xlpm.f=_xlpm.k)*(_xlpm.g=0))))</f>
        <v>0.59412753684218444</v>
      </c>
      <c r="P107" s="2" cm="1">
        <f t="array" ref="P107">_xlfn.LET(_xlpm.d,P$2:P$85,_xlpm.f,$A$2:$A$85,_xlpm.g,$B$2:$B$85,_xlpm.k,$F107,AVERAGE(_xlfn._xlws.FILTER(_xlpm.d,(_xlpm.f=_xlpm.k)*(_xlpm.g=0))))</f>
        <v>0.44041238748768752</v>
      </c>
      <c r="Q107" s="2" cm="1">
        <f t="array" ref="Q107">_xlfn.LET(_xlpm.d,Q$2:Q$85,_xlpm.f,$A$2:$A$85,_xlpm.g,$B$2:$B$85,_xlpm.k,$F107,AVERAGE(_xlfn._xlws.FILTER(_xlpm.d,(_xlpm.f=_xlpm.k)*(_xlpm.g=0))))</f>
        <v>0.30502521925909487</v>
      </c>
      <c r="R107" s="2" cm="1">
        <f t="array" ref="R107">_xlfn.LET(_xlpm.d,R$2:R$85,_xlpm.f,$A$2:$A$85,_xlpm.g,$B$2:$B$85,_xlpm.k,$F107,AVERAGE(_xlfn._xlws.FILTER(_xlpm.d,(_xlpm.f=_xlpm.k)*(_xlpm.g=0))))</f>
        <v>0.29750768207939421</v>
      </c>
      <c r="S107" s="2" cm="1">
        <f t="array" ref="S107">_xlfn.LET(_xlpm.d,S$2:S$85,_xlpm.f,$A$2:$A$85,_xlpm.g,$B$2:$B$85,_xlpm.k,$F107,AVERAGE(_xlfn._xlws.FILTER(_xlpm.d,(_xlpm.f=_xlpm.k)*(_xlpm.g=0))))</f>
        <v>0.39988323467954584</v>
      </c>
      <c r="T107" s="2" cm="1">
        <f t="array" ref="T107">_xlfn.LET(_xlpm.d,T$2:T$85,_xlpm.f,$A$2:$A$85,_xlpm.g,$B$2:$B$85,_xlpm.k,$F107,AVERAGE(_xlfn._xlws.FILTER(_xlpm.d,(_xlpm.f=_xlpm.k)*(_xlpm.g=0))))</f>
        <v>0.44592226858564299</v>
      </c>
    </row>
    <row r="108" spans="6:20" ht="30" customHeight="1">
      <c r="F108" t="s">
        <v>39</v>
      </c>
      <c r="G108" s="2" cm="1">
        <f t="array" ref="G108">_xlfn.LET(_xlpm.d,G$2:G$85,_xlpm.f,$A$2:$A$85,_xlpm.g,$B$2:$B$85,_xlpm.k,$F108,AVERAGE(_xlfn._xlws.FILTER(_xlpm.d,(_xlpm.f=_xlpm.k)*(_xlpm.g=0))))</f>
        <v>0.69692345394935951</v>
      </c>
      <c r="H108" s="2" cm="1">
        <f t="array" ref="H108">_xlfn.LET(_xlpm.d,H$2:H$85,_xlpm.f,$A$2:$A$85,_xlpm.g,$B$2:$B$85,_xlpm.k,$F108,AVERAGE(_xlfn._xlws.FILTER(_xlpm.d,(_xlpm.f=_xlpm.k)*(_xlpm.g=0))))</f>
        <v>0.4888020750967122</v>
      </c>
      <c r="I108" s="2" cm="1">
        <f t="array" ref="I108">_xlfn.LET(_xlpm.d,I$2:I$85,_xlpm.f,$A$2:$A$85,_xlpm.g,$B$2:$B$85,_xlpm.k,$F108,AVERAGE(_xlfn._xlws.FILTER(_xlpm.d,(_xlpm.f=_xlpm.k)*(_xlpm.g=0))))</f>
        <v>0.41819488471919036</v>
      </c>
      <c r="J108" s="2" cm="1">
        <f t="array" ref="J108">_xlfn.LET(_xlpm.d,J$2:J$85,_xlpm.f,$A$2:$A$85,_xlpm.g,$B$2:$B$85,_xlpm.k,$F108,AVERAGE(_xlfn._xlws.FILTER(_xlpm.d,(_xlpm.f=_xlpm.k)*(_xlpm.g=0))))</f>
        <v>0.38545717481545488</v>
      </c>
      <c r="K108" s="2" cm="1">
        <f t="array" ref="K108">_xlfn.LET(_xlpm.d,K$2:K$85,_xlpm.f,$A$2:$A$85,_xlpm.g,$B$2:$B$85,_xlpm.k,$F108,AVERAGE(_xlfn._xlws.FILTER(_xlpm.d,(_xlpm.f=_xlpm.k)*(_xlpm.g=0))))</f>
        <v>0.39751754843931425</v>
      </c>
      <c r="L108" s="2" cm="1">
        <f t="array" ref="L108">_xlfn.LET(_xlpm.d,L$2:L$85,_xlpm.f,$A$2:$A$85,_xlpm.g,$B$2:$B$85,_xlpm.k,$F108,AVERAGE(_xlfn._xlws.FILTER(_xlpm.d,(_xlpm.f=_xlpm.k)*(_xlpm.g=0))))</f>
        <v>0.52678745544134131</v>
      </c>
      <c r="M108" s="2" cm="1">
        <f t="array" ref="M108">_xlfn.LET(_xlpm.d,M$2:M$85,_xlpm.f,$A$2:$A$85,_xlpm.g,$B$2:$B$85,_xlpm.k,$F108,AVERAGE(_xlfn._xlws.FILTER(_xlpm.d,(_xlpm.f=_xlpm.k)*(_xlpm.g=0))))</f>
        <v>0.55772514189660927</v>
      </c>
      <c r="N108" s="2" cm="1">
        <f t="array" ref="N108">_xlfn.LET(_xlpm.d,N$2:N$85,_xlpm.f,$A$2:$A$85,_xlpm.g,$B$2:$B$85,_xlpm.k,$F108,AVERAGE(_xlfn._xlws.FILTER(_xlpm.d,(_xlpm.f=_xlpm.k)*(_xlpm.g=0))))</f>
        <v>0.32510487656064285</v>
      </c>
      <c r="O108" s="2" cm="1">
        <f t="array" ref="O108">_xlfn.LET(_xlpm.d,O$2:O$85,_xlpm.f,$A$2:$A$85,_xlpm.g,$B$2:$B$85,_xlpm.k,$F108,AVERAGE(_xlfn._xlws.FILTER(_xlpm.d,(_xlpm.f=_xlpm.k)*(_xlpm.g=0))))</f>
        <v>0.38235137756379883</v>
      </c>
      <c r="P108" s="2" cm="1">
        <f t="array" ref="P108">_xlfn.LET(_xlpm.d,P$2:P$85,_xlpm.f,$A$2:$A$85,_xlpm.g,$B$2:$B$85,_xlpm.k,$F108,AVERAGE(_xlfn._xlws.FILTER(_xlpm.d,(_xlpm.f=_xlpm.k)*(_xlpm.g=0))))</f>
        <v>0.50414579754396982</v>
      </c>
      <c r="Q108" s="2" cm="1">
        <f t="array" ref="Q108">_xlfn.LET(_xlpm.d,Q$2:Q$85,_xlpm.f,$A$2:$A$85,_xlpm.g,$B$2:$B$85,_xlpm.k,$F108,AVERAGE(_xlfn._xlws.FILTER(_xlpm.d,(_xlpm.f=_xlpm.k)*(_xlpm.g=0))))</f>
        <v>0.4966153435580008</v>
      </c>
      <c r="R108" s="2" cm="1">
        <f t="array" ref="R108">_xlfn.LET(_xlpm.d,R$2:R$85,_xlpm.f,$A$2:$A$85,_xlpm.g,$B$2:$B$85,_xlpm.k,$F108,AVERAGE(_xlfn._xlws.FILTER(_xlpm.d,(_xlpm.f=_xlpm.k)*(_xlpm.g=0))))</f>
        <v>0.31528996518152569</v>
      </c>
      <c r="S108" s="2" cm="1">
        <f t="array" ref="S108">_xlfn.LET(_xlpm.d,S$2:S$85,_xlpm.f,$A$2:$A$85,_xlpm.g,$B$2:$B$85,_xlpm.k,$F108,AVERAGE(_xlfn._xlws.FILTER(_xlpm.d,(_xlpm.f=_xlpm.k)*(_xlpm.g=0))))</f>
        <v>0.52455157982771172</v>
      </c>
      <c r="T108" s="2" cm="1">
        <f t="array" ref="T108">_xlfn.LET(_xlpm.d,T$2:T$85,_xlpm.f,$A$2:$A$85,_xlpm.g,$B$2:$B$85,_xlpm.k,$F108,AVERAGE(_xlfn._xlws.FILTER(_xlpm.d,(_xlpm.f=_xlpm.k)*(_xlpm.g=0))))</f>
        <v>0.46247110005423808</v>
      </c>
    </row>
    <row r="109" spans="6:20" ht="30" customHeight="1">
      <c r="F109" t="s">
        <v>98</v>
      </c>
      <c r="G109" s="2" cm="1">
        <f t="array" ref="G109">_xlfn.LET(_xlpm.d,G$2:G$85,_xlpm.f,$A$2:$A$85,_xlpm.g,$B$2:$B$85,_xlpm.k,$F109,AVERAGE(_xlfn._xlws.FILTER(_xlpm.d,(_xlpm.f=_xlpm.k)*(_xlpm.g=0))))</f>
        <v>0.99890943190157377</v>
      </c>
      <c r="H109" s="2" cm="1">
        <f t="array" ref="H109">_xlfn.LET(_xlpm.d,H$2:H$85,_xlpm.f,$A$2:$A$85,_xlpm.g,$B$2:$B$85,_xlpm.k,$F109,AVERAGE(_xlfn._xlws.FILTER(_xlpm.d,(_xlpm.f=_xlpm.k)*(_xlpm.g=0))))</f>
        <v>0.99985025263307115</v>
      </c>
      <c r="I109" s="2" cm="1">
        <f t="array" ref="I109">_xlfn.LET(_xlpm.d,I$2:I$85,_xlpm.f,$A$2:$A$85,_xlpm.g,$B$2:$B$85,_xlpm.k,$F109,AVERAGE(_xlfn._xlws.FILTER(_xlpm.d,(_xlpm.f=_xlpm.k)*(_xlpm.g=0))))</f>
        <v>1</v>
      </c>
      <c r="J109" s="2" cm="1">
        <f t="array" ref="J109">_xlfn.LET(_xlpm.d,J$2:J$85,_xlpm.f,$A$2:$A$85,_xlpm.g,$B$2:$B$85,_xlpm.k,$F109,AVERAGE(_xlfn._xlws.FILTER(_xlpm.d,(_xlpm.f=_xlpm.k)*(_xlpm.g=0))))</f>
        <v>0.99777315626288299</v>
      </c>
      <c r="K109" s="2" cm="1">
        <f t="array" ref="K109">_xlfn.LET(_xlpm.d,K$2:K$85,_xlpm.f,$A$2:$A$85,_xlpm.g,$B$2:$B$85,_xlpm.k,$F109,AVERAGE(_xlfn._xlws.FILTER(_xlpm.d,(_xlpm.f=_xlpm.k)*(_xlpm.g=0))))</f>
        <v>1</v>
      </c>
      <c r="L109" s="2" cm="1">
        <f t="array" ref="L109">_xlfn.LET(_xlpm.d,L$2:L$85,_xlpm.f,$A$2:$A$85,_xlpm.g,$B$2:$B$85,_xlpm.k,$F109,AVERAGE(_xlfn._xlws.FILTER(_xlpm.d,(_xlpm.f=_xlpm.k)*(_xlpm.g=0))))</f>
        <v>1</v>
      </c>
      <c r="M109" s="2" cm="1">
        <f t="array" ref="M109">_xlfn.LET(_xlpm.d,M$2:M$85,_xlpm.f,$A$2:$A$85,_xlpm.g,$B$2:$B$85,_xlpm.k,$F109,AVERAGE(_xlfn._xlws.FILTER(_xlpm.d,(_xlpm.f=_xlpm.k)*(_xlpm.g=0))))</f>
        <v>1</v>
      </c>
      <c r="N109" s="2" cm="1">
        <f t="array" ref="N109">_xlfn.LET(_xlpm.d,N$2:N$85,_xlpm.f,$A$2:$A$85,_xlpm.g,$B$2:$B$85,_xlpm.k,$F109,AVERAGE(_xlfn._xlws.FILTER(_xlpm.d,(_xlpm.f=_xlpm.k)*(_xlpm.g=0))))</f>
        <v>1</v>
      </c>
      <c r="O109" s="2" cm="1">
        <f t="array" ref="O109">_xlfn.LET(_xlpm.d,O$2:O$85,_xlpm.f,$A$2:$A$85,_xlpm.g,$B$2:$B$85,_xlpm.k,$F109,AVERAGE(_xlfn._xlws.FILTER(_xlpm.d,(_xlpm.f=_xlpm.k)*(_xlpm.g=0))))</f>
        <v>1</v>
      </c>
      <c r="P109" s="2" cm="1">
        <f t="array" ref="P109">_xlfn.LET(_xlpm.d,P$2:P$85,_xlpm.f,$A$2:$A$85,_xlpm.g,$B$2:$B$85,_xlpm.k,$F109,AVERAGE(_xlfn._xlws.FILTER(_xlpm.d,(_xlpm.f=_xlpm.k)*(_xlpm.g=0))))</f>
        <v>1</v>
      </c>
      <c r="Q109" s="2" cm="1">
        <f t="array" ref="Q109">_xlfn.LET(_xlpm.d,Q$2:Q$85,_xlpm.f,$A$2:$A$85,_xlpm.g,$B$2:$B$85,_xlpm.k,$F109,AVERAGE(_xlfn._xlws.FILTER(_xlpm.d,(_xlpm.f=_xlpm.k)*(_xlpm.g=0))))</f>
        <v>0.99964463397299219</v>
      </c>
      <c r="R109" s="2" cm="1">
        <f t="array" ref="R109">_xlfn.LET(_xlpm.d,R$2:R$85,_xlpm.f,$A$2:$A$85,_xlpm.g,$B$2:$B$85,_xlpm.k,$F109,AVERAGE(_xlfn._xlws.FILTER(_xlpm.d,(_xlpm.f=_xlpm.k)*(_xlpm.g=0))))</f>
        <v>1</v>
      </c>
      <c r="S109" s="2" cm="1">
        <f t="array" ref="S109">_xlfn.LET(_xlpm.d,S$2:S$85,_xlpm.f,$A$2:$A$85,_xlpm.g,$B$2:$B$85,_xlpm.k,$F109,AVERAGE(_xlfn._xlws.FILTER(_xlpm.d,(_xlpm.f=_xlpm.k)*(_xlpm.g=0))))</f>
        <v>1</v>
      </c>
      <c r="T109" s="2" cm="1">
        <f t="array" ref="T109">_xlfn.LET(_xlpm.d,T$2:T$85,_xlpm.f,$A$2:$A$85,_xlpm.g,$B$2:$B$85,_xlpm.k,$F109,AVERAGE(_xlfn._xlws.FILTER(_xlpm.d,(_xlpm.f=_xlpm.k)*(_xlpm.g=0))))</f>
        <v>0.99970595959773234</v>
      </c>
    </row>
    <row r="110" spans="6:20" ht="30" customHeight="1">
      <c r="F110" t="s">
        <v>99</v>
      </c>
      <c r="G110" s="2" cm="1">
        <f t="array" ref="G110">_xlfn.LET(_xlpm.d,G$2:G$85,_xlpm.f,$A$2:$A$85,_xlpm.g,$B$2:$B$85,_xlpm.k,$F110,AVERAGE(_xlfn._xlws.FILTER(_xlpm.d,(_xlpm.f=_xlpm.k)*(_xlpm.g=0))))</f>
        <v>1</v>
      </c>
      <c r="H110" s="2" cm="1">
        <f t="array" ref="H110">_xlfn.LET(_xlpm.d,H$2:H$85,_xlpm.f,$A$2:$A$85,_xlpm.g,$B$2:$B$85,_xlpm.k,$F110,AVERAGE(_xlfn._xlws.FILTER(_xlpm.d,(_xlpm.f=_xlpm.k)*(_xlpm.g=0))))</f>
        <v>1</v>
      </c>
      <c r="I110" s="2" cm="1">
        <f t="array" ref="I110">_xlfn.LET(_xlpm.d,I$2:I$85,_xlpm.f,$A$2:$A$85,_xlpm.g,$B$2:$B$85,_xlpm.k,$F110,AVERAGE(_xlfn._xlws.FILTER(_xlpm.d,(_xlpm.f=_xlpm.k)*(_xlpm.g=0))))</f>
        <v>1</v>
      </c>
      <c r="J110" s="2" cm="1">
        <f t="array" ref="J110">_xlfn.LET(_xlpm.d,J$2:J$85,_xlpm.f,$A$2:$A$85,_xlpm.g,$B$2:$B$85,_xlpm.k,$F110,AVERAGE(_xlfn._xlws.FILTER(_xlpm.d,(_xlpm.f=_xlpm.k)*(_xlpm.g=0))))</f>
        <v>1</v>
      </c>
      <c r="K110" s="2" cm="1">
        <f t="array" ref="K110">_xlfn.LET(_xlpm.d,K$2:K$85,_xlpm.f,$A$2:$A$85,_xlpm.g,$B$2:$B$85,_xlpm.k,$F110,AVERAGE(_xlfn._xlws.FILTER(_xlpm.d,(_xlpm.f=_xlpm.k)*(_xlpm.g=0))))</f>
        <v>0.99400920558042316</v>
      </c>
      <c r="L110" s="2" cm="1">
        <f t="array" ref="L110">_xlfn.LET(_xlpm.d,L$2:L$85,_xlpm.f,$A$2:$A$85,_xlpm.g,$B$2:$B$85,_xlpm.k,$F110,AVERAGE(_xlfn._xlws.FILTER(_xlpm.d,(_xlpm.f=_xlpm.k)*(_xlpm.g=0))))</f>
        <v>1</v>
      </c>
      <c r="M110" s="2" cm="1">
        <f t="array" ref="M110">_xlfn.LET(_xlpm.d,M$2:M$85,_xlpm.f,$A$2:$A$85,_xlpm.g,$B$2:$B$85,_xlpm.k,$F110,AVERAGE(_xlfn._xlws.FILTER(_xlpm.d,(_xlpm.f=_xlpm.k)*(_xlpm.g=0))))</f>
        <v>0.99584470996839813</v>
      </c>
      <c r="N110" s="2" cm="1">
        <f t="array" ref="N110">_xlfn.LET(_xlpm.d,N$2:N$85,_xlpm.f,$A$2:$A$85,_xlpm.g,$B$2:$B$85,_xlpm.k,$F110,AVERAGE(_xlfn._xlws.FILTER(_xlpm.d,(_xlpm.f=_xlpm.k)*(_xlpm.g=0))))</f>
        <v>1</v>
      </c>
      <c r="O110" s="2" cm="1">
        <f t="array" ref="O110">_xlfn.LET(_xlpm.d,O$2:O$85,_xlpm.f,$A$2:$A$85,_xlpm.g,$B$2:$B$85,_xlpm.k,$F110,AVERAGE(_xlfn._xlws.FILTER(_xlpm.d,(_xlpm.f=_xlpm.k)*(_xlpm.g=0))))</f>
        <v>1</v>
      </c>
      <c r="P110" s="2" cm="1">
        <f t="array" ref="P110">_xlfn.LET(_xlpm.d,P$2:P$85,_xlpm.f,$A$2:$A$85,_xlpm.g,$B$2:$B$85,_xlpm.k,$F110,AVERAGE(_xlfn._xlws.FILTER(_xlpm.d,(_xlpm.f=_xlpm.k)*(_xlpm.g=0))))</f>
        <v>0.98012731157689481</v>
      </c>
      <c r="Q110" s="2" cm="1">
        <f t="array" ref="Q110">_xlfn.LET(_xlpm.d,Q$2:Q$85,_xlpm.f,$A$2:$A$85,_xlpm.g,$B$2:$B$85,_xlpm.k,$F110,AVERAGE(_xlfn._xlws.FILTER(_xlpm.d,(_xlpm.f=_xlpm.k)*(_xlpm.g=0))))</f>
        <v>1</v>
      </c>
      <c r="R110" s="2" cm="1">
        <f t="array" ref="R110">_xlfn.LET(_xlpm.d,R$2:R$85,_xlpm.f,$A$2:$A$85,_xlpm.g,$B$2:$B$85,_xlpm.k,$F110,AVERAGE(_xlfn._xlws.FILTER(_xlpm.d,(_xlpm.f=_xlpm.k)*(_xlpm.g=0))))</f>
        <v>1</v>
      </c>
      <c r="S110" s="2" cm="1">
        <f t="array" ref="S110">_xlfn.LET(_xlpm.d,S$2:S$85,_xlpm.f,$A$2:$A$85,_xlpm.g,$B$2:$B$85,_xlpm.k,$F110,AVERAGE(_xlfn._xlws.FILTER(_xlpm.d,(_xlpm.f=_xlpm.k)*(_xlpm.g=0))))</f>
        <v>0.97305588141203592</v>
      </c>
      <c r="T110" s="2" cm="1">
        <f t="array" ref="T110">_xlfn.LET(_xlpm.d,T$2:T$85,_xlpm.f,$A$2:$A$85,_xlpm.g,$B$2:$B$85,_xlpm.k,$F110,AVERAGE(_xlfn._xlws.FILTER(_xlpm.d,(_xlpm.f=_xlpm.k)*(_xlpm.g=0))))</f>
        <v>0.99561823911828851</v>
      </c>
    </row>
    <row r="111" spans="6:20" ht="30" customHeight="1">
      <c r="F111" t="s">
        <v>100</v>
      </c>
      <c r="G111" s="2" cm="1">
        <f t="array" ref="G111">_xlfn.LET(_xlpm.d,G$2:G$85,_xlpm.f,$A$2:$A$85,_xlpm.g,$B$2:$B$85,_xlpm.k,$F111,AVERAGE(_xlfn._xlws.FILTER(_xlpm.d,(_xlpm.f=_xlpm.k)*(_xlpm.g=0))))</f>
        <v>0.88036146012114969</v>
      </c>
      <c r="H111" s="2" cm="1">
        <f t="array" ref="H111">_xlfn.LET(_xlpm.d,H$2:H$85,_xlpm.f,$A$2:$A$85,_xlpm.g,$B$2:$B$85,_xlpm.k,$F111,AVERAGE(_xlfn._xlws.FILTER(_xlpm.d,(_xlpm.f=_xlpm.k)*(_xlpm.g=0))))</f>
        <v>0.75606801114293987</v>
      </c>
      <c r="I111" s="2" cm="1">
        <f t="array" ref="I111">_xlfn.LET(_xlpm.d,I$2:I$85,_xlpm.f,$A$2:$A$85,_xlpm.g,$B$2:$B$85,_xlpm.k,$F111,AVERAGE(_xlfn._xlws.FILTER(_xlpm.d,(_xlpm.f=_xlpm.k)*(_xlpm.g=0))))</f>
        <v>0.74873893683966164</v>
      </c>
      <c r="J111" s="2" cm="1">
        <f t="array" ref="J111">_xlfn.LET(_xlpm.d,J$2:J$85,_xlpm.f,$A$2:$A$85,_xlpm.g,$B$2:$B$85,_xlpm.k,$F111,AVERAGE(_xlfn._xlws.FILTER(_xlpm.d,(_xlpm.f=_xlpm.k)*(_xlpm.g=0))))</f>
        <v>0.72951942018690097</v>
      </c>
      <c r="K111" s="2" cm="1">
        <f t="array" ref="K111">_xlfn.LET(_xlpm.d,K$2:K$85,_xlpm.f,$A$2:$A$85,_xlpm.g,$B$2:$B$85,_xlpm.k,$F111,AVERAGE(_xlfn._xlws.FILTER(_xlpm.d,(_xlpm.f=_xlpm.k)*(_xlpm.g=0))))</f>
        <v>0.78711074797836034</v>
      </c>
      <c r="L111" s="2" cm="1">
        <f t="array" ref="L111">_xlfn.LET(_xlpm.d,L$2:L$85,_xlpm.f,$A$2:$A$85,_xlpm.g,$B$2:$B$85,_xlpm.k,$F111,AVERAGE(_xlfn._xlws.FILTER(_xlpm.d,(_xlpm.f=_xlpm.k)*(_xlpm.g=0))))</f>
        <v>0.74191137167575472</v>
      </c>
      <c r="M111" s="2" cm="1">
        <f t="array" ref="M111">_xlfn.LET(_xlpm.d,M$2:M$85,_xlpm.f,$A$2:$A$85,_xlpm.g,$B$2:$B$85,_xlpm.k,$F111,AVERAGE(_xlfn._xlws.FILTER(_xlpm.d,(_xlpm.f=_xlpm.k)*(_xlpm.g=0))))</f>
        <v>0.84414107575733011</v>
      </c>
      <c r="N111" s="2" cm="1">
        <f t="array" ref="N111">_xlfn.LET(_xlpm.d,N$2:N$85,_xlpm.f,$A$2:$A$85,_xlpm.g,$B$2:$B$85,_xlpm.k,$F111,AVERAGE(_xlfn._xlws.FILTER(_xlpm.d,(_xlpm.f=_xlpm.k)*(_xlpm.g=0))))</f>
        <v>0.66752382432852586</v>
      </c>
      <c r="O111" s="2" cm="1">
        <f t="array" ref="O111">_xlfn.LET(_xlpm.d,O$2:O$85,_xlpm.f,$A$2:$A$85,_xlpm.g,$B$2:$B$85,_xlpm.k,$F111,AVERAGE(_xlfn._xlws.FILTER(_xlpm.d,(_xlpm.f=_xlpm.k)*(_xlpm.g=0))))</f>
        <v>0.64452684508265523</v>
      </c>
      <c r="P111" s="2" cm="1">
        <f t="array" ref="P111">_xlfn.LET(_xlpm.d,P$2:P$85,_xlpm.f,$A$2:$A$85,_xlpm.g,$B$2:$B$85,_xlpm.k,$F111,AVERAGE(_xlfn._xlws.FILTER(_xlpm.d,(_xlpm.f=_xlpm.k)*(_xlpm.g=0))))</f>
        <v>0.55865971105684031</v>
      </c>
      <c r="Q111" s="2" cm="1">
        <f t="array" ref="Q111">_xlfn.LET(_xlpm.d,Q$2:Q$85,_xlpm.f,$A$2:$A$85,_xlpm.g,$B$2:$B$85,_xlpm.k,$F111,AVERAGE(_xlfn._xlws.FILTER(_xlpm.d,(_xlpm.f=_xlpm.k)*(_xlpm.g=0))))</f>
        <v>0.61058711997635384</v>
      </c>
      <c r="R111" s="2" cm="1">
        <f t="array" ref="R111">_xlfn.LET(_xlpm.d,R$2:R$85,_xlpm.f,$A$2:$A$85,_xlpm.g,$B$2:$B$85,_xlpm.k,$F111,AVERAGE(_xlfn._xlws.FILTER(_xlpm.d,(_xlpm.f=_xlpm.k)*(_xlpm.g=0))))</f>
        <v>0.66933885415861916</v>
      </c>
      <c r="S111" s="2" cm="1">
        <f t="array" ref="S111">_xlfn.LET(_xlpm.d,S$2:S$85,_xlpm.f,$A$2:$A$85,_xlpm.g,$B$2:$B$85,_xlpm.k,$F111,AVERAGE(_xlfn._xlws.FILTER(_xlpm.d,(_xlpm.f=_xlpm.k)*(_xlpm.g=0))))</f>
        <v>0.55315843038417234</v>
      </c>
      <c r="T111" s="2" cm="1">
        <f t="array" ref="T111">_xlfn.LET(_xlpm.d,T$2:T$85,_xlpm.f,$A$2:$A$85,_xlpm.g,$B$2:$B$85,_xlpm.k,$F111,AVERAGE(_xlfn._xlws.FILTER(_xlpm.d,(_xlpm.f=_xlpm.k)*(_xlpm.g=0))))</f>
        <v>0.70704967759148174</v>
      </c>
    </row>
    <row r="112" spans="6:20" ht="30" customHeight="1">
      <c r="F112" t="s">
        <v>42</v>
      </c>
      <c r="G112" s="2" cm="1">
        <f t="array" ref="G112">_xlfn.LET(_xlpm.d,G$2:G$85,_xlpm.f,$A$2:$A$85,_xlpm.g,$B$2:$B$85,_xlpm.k,$F112,AVERAGE(_xlfn._xlws.FILTER(_xlpm.d,(_xlpm.f=_xlpm.k)*(_xlpm.g=0))))</f>
        <v>0.96882548889543596</v>
      </c>
      <c r="H112" s="2" cm="1">
        <f t="array" ref="H112">_xlfn.LET(_xlpm.d,H$2:H$85,_xlpm.f,$A$2:$A$85,_xlpm.g,$B$2:$B$85,_xlpm.k,$F112,AVERAGE(_xlfn._xlws.FILTER(_xlpm.d,(_xlpm.f=_xlpm.k)*(_xlpm.g=0))))</f>
        <v>0.99099354045433563</v>
      </c>
      <c r="I112" s="2" cm="1">
        <f t="array" ref="I112">_xlfn.LET(_xlpm.d,I$2:I$85,_xlpm.f,$A$2:$A$85,_xlpm.g,$B$2:$B$85,_xlpm.k,$F112,AVERAGE(_xlfn._xlws.FILTER(_xlpm.d,(_xlpm.f=_xlpm.k)*(_xlpm.g=0))))</f>
        <v>0.97617764223604508</v>
      </c>
      <c r="J112" s="2" cm="1">
        <f t="array" ref="J112">_xlfn.LET(_xlpm.d,J$2:J$85,_xlpm.f,$A$2:$A$85,_xlpm.g,$B$2:$B$85,_xlpm.k,$F112,AVERAGE(_xlfn._xlws.FILTER(_xlpm.d,(_xlpm.f=_xlpm.k)*(_xlpm.g=0))))</f>
        <v>0.98935503644992029</v>
      </c>
      <c r="K112" s="2" cm="1">
        <f t="array" ref="K112">_xlfn.LET(_xlpm.d,K$2:K$85,_xlpm.f,$A$2:$A$85,_xlpm.g,$B$2:$B$85,_xlpm.k,$F112,AVERAGE(_xlfn._xlws.FILTER(_xlpm.d,(_xlpm.f=_xlpm.k)*(_xlpm.g=0))))</f>
        <v>0.97399451666860715</v>
      </c>
      <c r="L112" s="2" cm="1">
        <f t="array" ref="L112">_xlfn.LET(_xlpm.d,L$2:L$85,_xlpm.f,$A$2:$A$85,_xlpm.g,$B$2:$B$85,_xlpm.k,$F112,AVERAGE(_xlfn._xlws.FILTER(_xlpm.d,(_xlpm.f=_xlpm.k)*(_xlpm.g=0))))</f>
        <v>0.98221229399155685</v>
      </c>
      <c r="M112" s="2" cm="1">
        <f t="array" ref="M112">_xlfn.LET(_xlpm.d,M$2:M$85,_xlpm.f,$A$2:$A$85,_xlpm.g,$B$2:$B$85,_xlpm.k,$F112,AVERAGE(_xlfn._xlws.FILTER(_xlpm.d,(_xlpm.f=_xlpm.k)*(_xlpm.g=0))))</f>
        <v>0.98610724255468785</v>
      </c>
      <c r="N112" s="2" cm="1">
        <f t="array" ref="N112">_xlfn.LET(_xlpm.d,N$2:N$85,_xlpm.f,$A$2:$A$85,_xlpm.g,$B$2:$B$85,_xlpm.k,$F112,AVERAGE(_xlfn._xlws.FILTER(_xlpm.d,(_xlpm.f=_xlpm.k)*(_xlpm.g=0))))</f>
        <v>0.98958634307672144</v>
      </c>
      <c r="O112" s="2" cm="1">
        <f t="array" ref="O112">_xlfn.LET(_xlpm.d,O$2:O$85,_xlpm.f,$A$2:$A$85,_xlpm.g,$B$2:$B$85,_xlpm.k,$F112,AVERAGE(_xlfn._xlws.FILTER(_xlpm.d,(_xlpm.f=_xlpm.k)*(_xlpm.g=0))))</f>
        <v>0.9582663855654423</v>
      </c>
      <c r="P112" s="2" cm="1">
        <f t="array" ref="P112">_xlfn.LET(_xlpm.d,P$2:P$85,_xlpm.f,$A$2:$A$85,_xlpm.g,$B$2:$B$85,_xlpm.k,$F112,AVERAGE(_xlfn._xlws.FILTER(_xlpm.d,(_xlpm.f=_xlpm.k)*(_xlpm.g=0))))</f>
        <v>0.98563146768239707</v>
      </c>
      <c r="Q112" s="2" cm="1">
        <f t="array" ref="Q112">_xlfn.LET(_xlpm.d,Q$2:Q$85,_xlpm.f,$A$2:$A$85,_xlpm.g,$B$2:$B$85,_xlpm.k,$F112,AVERAGE(_xlfn._xlws.FILTER(_xlpm.d,(_xlpm.f=_xlpm.k)*(_xlpm.g=0))))</f>
        <v>0.97320070531535474</v>
      </c>
      <c r="R112" s="2" cm="1">
        <f t="array" ref="R112">_xlfn.LET(_xlpm.d,R$2:R$85,_xlpm.f,$A$2:$A$85,_xlpm.g,$B$2:$B$85,_xlpm.k,$F112,AVERAGE(_xlfn._xlws.FILTER(_xlpm.d,(_xlpm.f=_xlpm.k)*(_xlpm.g=0))))</f>
        <v>0.94889954541443899</v>
      </c>
      <c r="S112" s="2" cm="1">
        <f t="array" ref="S112">_xlfn.LET(_xlpm.d,S$2:S$85,_xlpm.f,$A$2:$A$85,_xlpm.g,$B$2:$B$85,_xlpm.k,$F112,AVERAGE(_xlfn._xlws.FILTER(_xlpm.d,(_xlpm.f=_xlpm.k)*(_xlpm.g=0))))</f>
        <v>0.99045973957303801</v>
      </c>
      <c r="T112" s="2" cm="1">
        <f t="array" ref="T112">_xlfn.LET(_xlpm.d,T$2:T$85,_xlpm.f,$A$2:$A$85,_xlpm.g,$B$2:$B$85,_xlpm.k,$F112,AVERAGE(_xlfn._xlws.FILTER(_xlpm.d,(_xlpm.f=_xlpm.k)*(_xlpm.g=0))))</f>
        <v>0.97797768829830645</v>
      </c>
    </row>
    <row r="113" spans="6:20" ht="30" customHeight="1">
      <c r="F113" t="s">
        <v>102</v>
      </c>
      <c r="G113" s="2" cm="1">
        <f t="array" ref="G113">_xlfn.LET(_xlpm.d,G$2:G$85,_xlpm.f,$A$2:$A$85,_xlpm.g,$B$2:$B$85,_xlpm.k,$F113,AVERAGE(_xlfn._xlws.FILTER(_xlpm.d,(_xlpm.f=_xlpm.k)*(_xlpm.g=0))))</f>
        <v>0.6572924099413302</v>
      </c>
      <c r="H113" s="2" cm="1">
        <f t="array" ref="H113">_xlfn.LET(_xlpm.d,H$2:H$85,_xlpm.f,$A$2:$A$85,_xlpm.g,$B$2:$B$85,_xlpm.k,$F113,AVERAGE(_xlfn._xlws.FILTER(_xlpm.d,(_xlpm.f=_xlpm.k)*(_xlpm.g=0))))</f>
        <v>0.56396527433277532</v>
      </c>
      <c r="I113" s="2" cm="1">
        <f t="array" ref="I113">_xlfn.LET(_xlpm.d,I$2:I$85,_xlpm.f,$A$2:$A$85,_xlpm.g,$B$2:$B$85,_xlpm.k,$F113,AVERAGE(_xlfn._xlws.FILTER(_xlpm.d,(_xlpm.f=_xlpm.k)*(_xlpm.g=0))))</f>
        <v>0.59529935804905365</v>
      </c>
      <c r="J113" s="2" cm="1">
        <f t="array" ref="J113">_xlfn.LET(_xlpm.d,J$2:J$85,_xlpm.f,$A$2:$A$85,_xlpm.g,$B$2:$B$85,_xlpm.k,$F113,AVERAGE(_xlfn._xlws.FILTER(_xlpm.d,(_xlpm.f=_xlpm.k)*(_xlpm.g=0))))</f>
        <v>0.41157365902380616</v>
      </c>
      <c r="K113" s="2" cm="1">
        <f t="array" ref="K113">_xlfn.LET(_xlpm.d,K$2:K$85,_xlpm.f,$A$2:$A$85,_xlpm.g,$B$2:$B$85,_xlpm.k,$F113,AVERAGE(_xlfn._xlws.FILTER(_xlpm.d,(_xlpm.f=_xlpm.k)*(_xlpm.g=0))))</f>
        <v>0.55578809141917085</v>
      </c>
      <c r="L113" s="2" cm="1">
        <f t="array" ref="L113">_xlfn.LET(_xlpm.d,L$2:L$85,_xlpm.f,$A$2:$A$85,_xlpm.g,$B$2:$B$85,_xlpm.k,$F113,AVERAGE(_xlfn._xlws.FILTER(_xlpm.d,(_xlpm.f=_xlpm.k)*(_xlpm.g=0))))</f>
        <v>0.51852865178701302</v>
      </c>
      <c r="M113" s="2" cm="1">
        <f t="array" ref="M113">_xlfn.LET(_xlpm.d,M$2:M$85,_xlpm.f,$A$2:$A$85,_xlpm.g,$B$2:$B$85,_xlpm.k,$F113,AVERAGE(_xlfn._xlws.FILTER(_xlpm.d,(_xlpm.f=_xlpm.k)*(_xlpm.g=0))))</f>
        <v>0.50928058340778326</v>
      </c>
      <c r="N113" s="2" cm="1">
        <f t="array" ref="N113">_xlfn.LET(_xlpm.d,N$2:N$85,_xlpm.f,$A$2:$A$85,_xlpm.g,$B$2:$B$85,_xlpm.k,$F113,AVERAGE(_xlfn._xlws.FILTER(_xlpm.d,(_xlpm.f=_xlpm.k)*(_xlpm.g=0))))</f>
        <v>0.48243370674212915</v>
      </c>
      <c r="O113" s="2" cm="1">
        <f t="array" ref="O113">_xlfn.LET(_xlpm.d,O$2:O$85,_xlpm.f,$A$2:$A$85,_xlpm.g,$B$2:$B$85,_xlpm.k,$F113,AVERAGE(_xlfn._xlws.FILTER(_xlpm.d,(_xlpm.f=_xlpm.k)*(_xlpm.g=0))))</f>
        <v>0.30551143625060934</v>
      </c>
      <c r="P113" s="2" cm="1">
        <f t="array" ref="P113">_xlfn.LET(_xlpm.d,P$2:P$85,_xlpm.f,$A$2:$A$85,_xlpm.g,$B$2:$B$85,_xlpm.k,$F113,AVERAGE(_xlfn._xlws.FILTER(_xlpm.d,(_xlpm.f=_xlpm.k)*(_xlpm.g=0))))</f>
        <v>0.33166684596386053</v>
      </c>
      <c r="Q113" s="2" cm="1">
        <f t="array" ref="Q113">_xlfn.LET(_xlpm.d,Q$2:Q$85,_xlpm.f,$A$2:$A$85,_xlpm.g,$B$2:$B$85,_xlpm.k,$F113,AVERAGE(_xlfn._xlws.FILTER(_xlpm.d,(_xlpm.f=_xlpm.k)*(_xlpm.g=0))))</f>
        <v>0.56092593714219474</v>
      </c>
      <c r="R113" s="2" cm="1">
        <f t="array" ref="R113">_xlfn.LET(_xlpm.d,R$2:R$85,_xlpm.f,$A$2:$A$85,_xlpm.g,$B$2:$B$85,_xlpm.k,$F113,AVERAGE(_xlfn._xlws.FILTER(_xlpm.d,(_xlpm.f=_xlpm.k)*(_xlpm.g=0))))</f>
        <v>0.51027996256293084</v>
      </c>
      <c r="S113" s="2" cm="1">
        <f t="array" ref="S113">_xlfn.LET(_xlpm.d,S$2:S$85,_xlpm.f,$A$2:$A$85,_xlpm.g,$B$2:$B$85,_xlpm.k,$F113,AVERAGE(_xlfn._xlws.FILTER(_xlpm.d,(_xlpm.f=_xlpm.k)*(_xlpm.g=0))))</f>
        <v>0.15257809407037118</v>
      </c>
      <c r="T113" s="2" cm="1">
        <f t="array" ref="T113">_xlfn.LET(_xlpm.d,T$2:T$85,_xlpm.f,$A$2:$A$85,_xlpm.g,$B$2:$B$85,_xlpm.k,$F113,AVERAGE(_xlfn._xlws.FILTER(_xlpm.d,(_xlpm.f=_xlpm.k)*(_xlpm.g=0))))</f>
        <v>0.47347107774561747</v>
      </c>
    </row>
    <row r="114" spans="6:20" ht="30" customHeight="1">
      <c r="F114" t="s">
        <v>103</v>
      </c>
      <c r="G114" s="2" cm="1">
        <f t="array" ref="G114">_xlfn.LET(_xlpm.d,G$2:G$85,_xlpm.f,$A$2:$A$85,_xlpm.g,$B$2:$B$85,_xlpm.k,$F114,AVERAGE(_xlfn._xlws.FILTER(_xlpm.d,(_xlpm.f=_xlpm.k)*(_xlpm.g=0))))</f>
        <v>0.51465508943456895</v>
      </c>
      <c r="H114" s="2" cm="1">
        <f t="array" ref="H114">_xlfn.LET(_xlpm.d,H$2:H$85,_xlpm.f,$A$2:$A$85,_xlpm.g,$B$2:$B$85,_xlpm.k,$F114,AVERAGE(_xlfn._xlws.FILTER(_xlpm.d,(_xlpm.f=_xlpm.k)*(_xlpm.g=0))))</f>
        <v>0.63625860839603499</v>
      </c>
      <c r="I114" s="2" cm="1">
        <f t="array" ref="I114">_xlfn.LET(_xlpm.d,I$2:I$85,_xlpm.f,$A$2:$A$85,_xlpm.g,$B$2:$B$85,_xlpm.k,$F114,AVERAGE(_xlfn._xlws.FILTER(_xlpm.d,(_xlpm.f=_xlpm.k)*(_xlpm.g=0))))</f>
        <v>0.48807583921564235</v>
      </c>
      <c r="J114" s="2" cm="1">
        <f t="array" ref="J114">_xlfn.LET(_xlpm.d,J$2:J$85,_xlpm.f,$A$2:$A$85,_xlpm.g,$B$2:$B$85,_xlpm.k,$F114,AVERAGE(_xlfn._xlws.FILTER(_xlpm.d,(_xlpm.f=_xlpm.k)*(_xlpm.g=0))))</f>
        <v>0.42365565773812103</v>
      </c>
      <c r="K114" s="2" cm="1">
        <f t="array" ref="K114">_xlfn.LET(_xlpm.d,K$2:K$85,_xlpm.f,$A$2:$A$85,_xlpm.g,$B$2:$B$85,_xlpm.k,$F114,AVERAGE(_xlfn._xlws.FILTER(_xlpm.d,(_xlpm.f=_xlpm.k)*(_xlpm.g=0))))</f>
        <v>0.46343188304551536</v>
      </c>
      <c r="L114" s="2" cm="1">
        <f t="array" ref="L114">_xlfn.LET(_xlpm.d,L$2:L$85,_xlpm.f,$A$2:$A$85,_xlpm.g,$B$2:$B$85,_xlpm.k,$F114,AVERAGE(_xlfn._xlws.FILTER(_xlpm.d,(_xlpm.f=_xlpm.k)*(_xlpm.g=0))))</f>
        <v>0.44865982717208602</v>
      </c>
      <c r="M114" s="2" cm="1">
        <f t="array" ref="M114">_xlfn.LET(_xlpm.d,M$2:M$85,_xlpm.f,$A$2:$A$85,_xlpm.g,$B$2:$B$85,_xlpm.k,$F114,AVERAGE(_xlfn._xlws.FILTER(_xlpm.d,(_xlpm.f=_xlpm.k)*(_xlpm.g=0))))</f>
        <v>0.14106223154161635</v>
      </c>
      <c r="N114" s="2" cm="1">
        <f t="array" ref="N114">_xlfn.LET(_xlpm.d,N$2:N$85,_xlpm.f,$A$2:$A$85,_xlpm.g,$B$2:$B$85,_xlpm.k,$F114,AVERAGE(_xlfn._xlws.FILTER(_xlpm.d,(_xlpm.f=_xlpm.k)*(_xlpm.g=0))))</f>
        <v>0.37770000742094184</v>
      </c>
      <c r="O114" s="2" cm="1">
        <f t="array" ref="O114">_xlfn.LET(_xlpm.d,O$2:O$85,_xlpm.f,$A$2:$A$85,_xlpm.g,$B$2:$B$85,_xlpm.k,$F114,AVERAGE(_xlfn._xlws.FILTER(_xlpm.d,(_xlpm.f=_xlpm.k)*(_xlpm.g=0))))</f>
        <v>0.37665123996133093</v>
      </c>
      <c r="P114" s="2" cm="1">
        <f t="array" ref="P114">_xlfn.LET(_xlpm.d,P$2:P$85,_xlpm.f,$A$2:$A$85,_xlpm.g,$B$2:$B$85,_xlpm.k,$F114,AVERAGE(_xlfn._xlws.FILTER(_xlpm.d,(_xlpm.f=_xlpm.k)*(_xlpm.g=0))))</f>
        <v>0.2901803885359297</v>
      </c>
      <c r="Q114" s="2" cm="1">
        <f t="array" ref="Q114">_xlfn.LET(_xlpm.d,Q$2:Q$85,_xlpm.f,$A$2:$A$85,_xlpm.g,$B$2:$B$85,_xlpm.k,$F114,AVERAGE(_xlfn._xlws.FILTER(_xlpm.d,(_xlpm.f=_xlpm.k)*(_xlpm.g=0))))</f>
        <v>0.39253315551361601</v>
      </c>
      <c r="R114" s="2" cm="1">
        <f t="array" ref="R114">_xlfn.LET(_xlpm.d,R$2:R$85,_xlpm.f,$A$2:$A$85,_xlpm.g,$B$2:$B$85,_xlpm.k,$F114,AVERAGE(_xlfn._xlws.FILTER(_xlpm.d,(_xlpm.f=_xlpm.k)*(_xlpm.g=0))))</f>
        <v>0.2738733855632936</v>
      </c>
      <c r="S114" s="2" cm="1">
        <f t="array" ref="S114">_xlfn.LET(_xlpm.d,S$2:S$85,_xlpm.f,$A$2:$A$85,_xlpm.g,$B$2:$B$85,_xlpm.k,$F114,AVERAGE(_xlfn._xlws.FILTER(_xlpm.d,(_xlpm.f=_xlpm.k)*(_xlpm.g=0))))</f>
        <v>0.4961471341993382</v>
      </c>
      <c r="T114" s="2" cm="1">
        <f t="array" ref="T114">_xlfn.LET(_xlpm.d,T$2:T$85,_xlpm.f,$A$2:$A$85,_xlpm.g,$B$2:$B$85,_xlpm.k,$F114,AVERAGE(_xlfn._xlws.FILTER(_xlpm.d,(_xlpm.f=_xlpm.k)*(_xlpm.g=0))))</f>
        <v>0.40945264982600271</v>
      </c>
    </row>
    <row r="115" spans="6:20" ht="30" customHeight="1">
      <c r="F115" t="s">
        <v>101</v>
      </c>
      <c r="G115" s="2" cm="1">
        <f t="array" ref="G115">_xlfn.LET(_xlpm.d,G$2:G$85,_xlpm.f,$A$2:$A$85,_xlpm.g,$B$2:$B$85,_xlpm.k,$F115,AVERAGE(_xlfn._xlws.FILTER(_xlpm.d,(_xlpm.f=_xlpm.k)*(_xlpm.g=0))))</f>
        <v>0.80423974427860878</v>
      </c>
      <c r="H115" s="2" cm="1">
        <f t="array" ref="H115">_xlfn.LET(_xlpm.d,H$2:H$85,_xlpm.f,$A$2:$A$85,_xlpm.g,$B$2:$B$85,_xlpm.k,$F115,AVERAGE(_xlfn._xlws.FILTER(_xlpm.d,(_xlpm.f=_xlpm.k)*(_xlpm.g=0))))</f>
        <v>0.6736270954583351</v>
      </c>
      <c r="I115" s="2" cm="1">
        <f t="array" ref="I115">_xlfn.LET(_xlpm.d,I$2:I$85,_xlpm.f,$A$2:$A$85,_xlpm.g,$B$2:$B$85,_xlpm.k,$F115,AVERAGE(_xlfn._xlws.FILTER(_xlpm.d,(_xlpm.f=_xlpm.k)*(_xlpm.g=0))))</f>
        <v>0.71300537163960576</v>
      </c>
      <c r="J115" s="2" cm="1">
        <f t="array" ref="J115">_xlfn.LET(_xlpm.d,J$2:J$85,_xlpm.f,$A$2:$A$85,_xlpm.g,$B$2:$B$85,_xlpm.k,$F115,AVERAGE(_xlfn._xlws.FILTER(_xlpm.d,(_xlpm.f=_xlpm.k)*(_xlpm.g=0))))</f>
        <v>0.60509989570944567</v>
      </c>
      <c r="K115" s="2" cm="1">
        <f t="array" ref="K115">_xlfn.LET(_xlpm.d,K$2:K$85,_xlpm.f,$A$2:$A$85,_xlpm.g,$B$2:$B$85,_xlpm.k,$F115,AVERAGE(_xlfn._xlws.FILTER(_xlpm.d,(_xlpm.f=_xlpm.k)*(_xlpm.g=0))))</f>
        <v>0.46570450658875223</v>
      </c>
      <c r="L115" s="2" cm="1">
        <f t="array" ref="L115">_xlfn.LET(_xlpm.d,L$2:L$85,_xlpm.f,$A$2:$A$85,_xlpm.g,$B$2:$B$85,_xlpm.k,$F115,AVERAGE(_xlfn._xlws.FILTER(_xlpm.d,(_xlpm.f=_xlpm.k)*(_xlpm.g=0))))</f>
        <v>0.54452732241850799</v>
      </c>
      <c r="M115" s="2" cm="1">
        <f t="array" ref="M115">_xlfn.LET(_xlpm.d,M$2:M$85,_xlpm.f,$A$2:$A$85,_xlpm.g,$B$2:$B$85,_xlpm.k,$F115,AVERAGE(_xlfn._xlws.FILTER(_xlpm.d,(_xlpm.f=_xlpm.k)*(_xlpm.g=0))))</f>
        <v>0.62440639266960563</v>
      </c>
      <c r="N115" s="2" cm="1">
        <f t="array" ref="N115">_xlfn.LET(_xlpm.d,N$2:N$85,_xlpm.f,$A$2:$A$85,_xlpm.g,$B$2:$B$85,_xlpm.k,$F115,AVERAGE(_xlfn._xlws.FILTER(_xlpm.d,(_xlpm.f=_xlpm.k)*(_xlpm.g=0))))</f>
        <v>0.46460627466324644</v>
      </c>
      <c r="O115" s="2" cm="1">
        <f t="array" ref="O115">_xlfn.LET(_xlpm.d,O$2:O$85,_xlpm.f,$A$2:$A$85,_xlpm.g,$B$2:$B$85,_xlpm.k,$F115,AVERAGE(_xlfn._xlws.FILTER(_xlpm.d,(_xlpm.f=_xlpm.k)*(_xlpm.g=0))))</f>
        <v>0.64047652137441957</v>
      </c>
      <c r="P115" s="2" cm="1">
        <f t="array" ref="P115">_xlfn.LET(_xlpm.d,P$2:P$85,_xlpm.f,$A$2:$A$85,_xlpm.g,$B$2:$B$85,_xlpm.k,$F115,AVERAGE(_xlfn._xlws.FILTER(_xlpm.d,(_xlpm.f=_xlpm.k)*(_xlpm.g=0))))</f>
        <v>0.72369480916578499</v>
      </c>
      <c r="Q115" s="2" cm="1">
        <f t="array" ref="Q115">_xlfn.LET(_xlpm.d,Q$2:Q$85,_xlpm.f,$A$2:$A$85,_xlpm.g,$B$2:$B$85,_xlpm.k,$F115,AVERAGE(_xlfn._xlws.FILTER(_xlpm.d,(_xlpm.f=_xlpm.k)*(_xlpm.g=0))))</f>
        <v>0.5818503681151258</v>
      </c>
      <c r="R115" s="2" cm="1">
        <f t="array" ref="R115">_xlfn.LET(_xlpm.d,R$2:R$85,_xlpm.f,$A$2:$A$85,_xlpm.g,$B$2:$B$85,_xlpm.k,$F115,AVERAGE(_xlfn._xlws.FILTER(_xlpm.d,(_xlpm.f=_xlpm.k)*(_xlpm.g=0))))</f>
        <v>0.71658584663621028</v>
      </c>
      <c r="S115" s="2" cm="1">
        <f t="array" ref="S115">_xlfn.LET(_xlpm.d,S$2:S$85,_xlpm.f,$A$2:$A$85,_xlpm.g,$B$2:$B$85,_xlpm.k,$F115,AVERAGE(_xlfn._xlws.FILTER(_xlpm.d,(_xlpm.f=_xlpm.k)*(_xlpm.g=0))))</f>
        <v>0.47897843612069368</v>
      </c>
      <c r="T115" s="2" cm="1">
        <f t="array" ref="T115">_xlfn.LET(_xlpm.d,T$2:T$85,_xlpm.f,$A$2:$A$85,_xlpm.g,$B$2:$B$85,_xlpm.k,$F115,AVERAGE(_xlfn._xlws.FILTER(_xlpm.d,(_xlpm.f=_xlpm.k)*(_xlpm.g=0))))</f>
        <v>0.61821558344910332</v>
      </c>
    </row>
    <row r="117" spans="6:20" ht="30" customHeight="1">
      <c r="F117" t="s">
        <v>44</v>
      </c>
    </row>
    <row r="118" spans="6:20" ht="30" customHeight="1">
      <c r="F118" t="s">
        <v>37</v>
      </c>
      <c r="G118" s="2" cm="1">
        <f t="array" ref="G118">_xlfn.LET(_xlpm.d,G$2:G$85,_xlpm.g,$B$2:$B$85,AVERAGE(_xlfn._xlws.FILTER(_xlpm.d,(_xlpm.g=0))))</f>
        <v>0.69907358423570121</v>
      </c>
      <c r="H118" s="2" cm="1">
        <f t="array" ref="H118">_xlfn.LET(_xlpm.d,H$2:H$85,_xlpm.g,$B$2:$B$85,AVERAGE(_xlfn._xlws.FILTER(_xlpm.d,(_xlpm.g=0))))</f>
        <v>0.64744231452926415</v>
      </c>
      <c r="I118" s="2" cm="1">
        <f t="array" ref="I118">_xlfn.LET(_xlpm.d,I$2:I$85,_xlpm.g,$B$2:$B$85,AVERAGE(_xlfn._xlws.FILTER(_xlpm.d,(_xlpm.g=0))))</f>
        <v>0.64347377935774897</v>
      </c>
      <c r="J118" s="2" cm="1">
        <f t="array" ref="J118">_xlfn.LET(_xlpm.d,J$2:J$85,_xlpm.g,$B$2:$B$85,AVERAGE(_xlfn._xlws.FILTER(_xlpm.d,(_xlpm.g=0))))</f>
        <v>0.60355242546379129</v>
      </c>
      <c r="K118" s="2" cm="1">
        <f t="array" ref="K118">_xlfn.LET(_xlpm.d,K$2:K$85,_xlpm.g,$B$2:$B$85,AVERAGE(_xlfn._xlws.FILTER(_xlpm.d,(_xlpm.g=0))))</f>
        <v>0.60456693662277994</v>
      </c>
      <c r="L118" s="2" cm="1">
        <f t="array" ref="L118">_xlfn.LET(_xlpm.d,L$2:L$85,_xlpm.g,$B$2:$B$85,AVERAGE(_xlfn._xlws.FILTER(_xlpm.d,(_xlpm.g=0))))</f>
        <v>0.60057612696277485</v>
      </c>
      <c r="M118" s="2" cm="1">
        <f t="array" ref="M118">_xlfn.LET(_xlpm.d,M$2:M$85,_xlpm.g,$B$2:$B$85,AVERAGE(_xlfn._xlws.FILTER(_xlpm.d,(_xlpm.g=0))))</f>
        <v>0.61959383822379221</v>
      </c>
      <c r="N118" s="2" cm="1">
        <f t="array" ref="N118">_xlfn.LET(_xlpm.d,N$2:N$85,_xlpm.g,$B$2:$B$85,AVERAGE(_xlfn._xlws.FILTER(_xlpm.d,(_xlpm.g=0))))</f>
        <v>0.57852284637590856</v>
      </c>
      <c r="O118" s="2" cm="1">
        <f t="array" ref="O118">_xlfn.LET(_xlpm.d,O$2:O$85,_xlpm.g,$B$2:$B$85,AVERAGE(_xlfn._xlws.FILTER(_xlpm.d,(_xlpm.g=0))))</f>
        <v>0.58530885120294252</v>
      </c>
      <c r="P118" s="2" cm="1">
        <f t="array" ref="P118">_xlfn.LET(_xlpm.d,P$2:P$85,_xlpm.g,$B$2:$B$85,AVERAGE(_xlfn._xlws.FILTER(_xlpm.d,(_xlpm.g=0))))</f>
        <v>0.57579386251031572</v>
      </c>
      <c r="Q118" s="2" cm="1">
        <f t="array" ref="Q118">_xlfn.LET(_xlpm.d,Q$2:Q$85,_xlpm.g,$B$2:$B$85,AVERAGE(_xlfn._xlws.FILTER(_xlpm.d,(_xlpm.g=0))))</f>
        <v>0.59081636999867071</v>
      </c>
      <c r="R118" s="2" cm="1">
        <f t="array" ref="R118">_xlfn.LET(_xlpm.d,R$2:R$85,_xlpm.g,$B$2:$B$85,AVERAGE(_xlfn._xlws.FILTER(_xlpm.d,(_xlpm.g=0))))</f>
        <v>0.58302898309363826</v>
      </c>
      <c r="S118" s="2" cm="1">
        <f t="array" ref="S118">_xlfn.LET(_xlpm.d,S$2:S$85,_xlpm.g,$B$2:$B$85,AVERAGE(_xlfn._xlws.FILTER(_xlpm.d,(_xlpm.g=0))))</f>
        <v>0.54971393876504293</v>
      </c>
      <c r="T118" s="2" cm="1">
        <f t="array" ref="T118">_xlfn.LET(_xlpm.d,T$2:T$85,_xlpm.g,$B$2:$B$85,AVERAGE(_xlfn._xlws.FILTER(_xlpm.d,(_xlpm.g=0))))</f>
        <v>0.60306097809719428</v>
      </c>
    </row>
    <row r="119" spans="6:20" ht="30" customHeight="1">
      <c r="F119" t="s">
        <v>49</v>
      </c>
      <c r="G119" s="2" cm="1">
        <f t="array" ref="G119">_xlfn.LET(_xlpm.d,G$2:G$85,_xlpm.f,$B$2:$B$85,_xlpm.g,$C$2:$C$85,_xlpm.k,$F119,AVERAGE(_xlfn._xlws.FILTER(_xlpm.d,(_xlpm.f=0)*(_xlpm.g=1))))</f>
        <v>0.75558875492308541</v>
      </c>
      <c r="H119" s="2" cm="1">
        <f t="array" ref="H119">_xlfn.LET(_xlpm.d,H$2:H$85,_xlpm.f,$B$2:$B$85,_xlpm.g,$C$2:$C$85,_xlpm.k,$F119,AVERAGE(_xlfn._xlws.FILTER(_xlpm.d,(_xlpm.f=0)*(_xlpm.g=1))))</f>
        <v>0.68632962535456377</v>
      </c>
      <c r="I119" s="2" cm="1">
        <f t="array" ref="I119">_xlfn.LET(_xlpm.d,I$2:I$85,_xlpm.f,$B$2:$B$85,_xlpm.g,$C$2:$C$85,_xlpm.k,$F119,AVERAGE(_xlfn._xlws.FILTER(_xlpm.d,(_xlpm.f=0)*(_xlpm.g=1))))</f>
        <v>0.73378596129302187</v>
      </c>
      <c r="J119" s="2" cm="1">
        <f t="array" ref="J119">_xlfn.LET(_xlpm.d,J$2:J$85,_xlpm.f,$B$2:$B$85,_xlpm.g,$C$2:$C$85,_xlpm.k,$F119,AVERAGE(_xlfn._xlws.FILTER(_xlpm.d,(_xlpm.f=0)*(_xlpm.g=1))))</f>
        <v>0.6641795853270025</v>
      </c>
      <c r="K119" s="2" cm="1">
        <f t="array" ref="K119">_xlfn.LET(_xlpm.d,K$2:K$85,_xlpm.f,$B$2:$B$85,_xlpm.g,$C$2:$C$85,_xlpm.k,$F119,AVERAGE(_xlfn._xlws.FILTER(_xlpm.d,(_xlpm.f=0)*(_xlpm.g=1))))</f>
        <v>0.67873239881351843</v>
      </c>
      <c r="L119" s="2" cm="1">
        <f t="array" ref="L119">_xlfn.LET(_xlpm.d,L$2:L$85,_xlpm.f,$B$2:$B$85,_xlpm.g,$C$2:$C$85,_xlpm.k,$F119,AVERAGE(_xlfn._xlws.FILTER(_xlpm.d,(_xlpm.f=0)*(_xlpm.g=1))))</f>
        <v>0.65794514057293563</v>
      </c>
      <c r="M119" s="2" cm="1">
        <f t="array" ref="M119">_xlfn.LET(_xlpm.d,M$2:M$85,_xlpm.f,$B$2:$B$85,_xlpm.g,$C$2:$C$85,_xlpm.k,$F119,AVERAGE(_xlfn._xlws.FILTER(_xlpm.d,(_xlpm.f=0)*(_xlpm.g=1))))</f>
        <v>0.64765752857081194</v>
      </c>
      <c r="N119" s="2" cm="1">
        <f t="array" ref="N119">_xlfn.LET(_xlpm.d,N$2:N$85,_xlpm.f,$B$2:$B$85,_xlpm.g,$C$2:$C$85,_xlpm.k,$F119,AVERAGE(_xlfn._xlws.FILTER(_xlpm.d,(_xlpm.f=0)*(_xlpm.g=1))))</f>
        <v>0.61812398932136581</v>
      </c>
      <c r="O119" s="2" cm="1">
        <f t="array" ref="O119">_xlfn.LET(_xlpm.d,O$2:O$85,_xlpm.f,$B$2:$B$85,_xlpm.g,$C$2:$C$85,_xlpm.k,$F119,AVERAGE(_xlfn._xlws.FILTER(_xlpm.d,(_xlpm.f=0)*(_xlpm.g=1))))</f>
        <v>0.58369969425706525</v>
      </c>
      <c r="P119" s="2" cm="1">
        <f t="array" ref="P119">_xlfn.LET(_xlpm.d,P$2:P$85,_xlpm.f,$B$2:$B$85,_xlpm.g,$C$2:$C$85,_xlpm.k,$F119,AVERAGE(_xlfn._xlws.FILTER(_xlpm.d,(_xlpm.f=0)*(_xlpm.g=1))))</f>
        <v>0.61970463735631931</v>
      </c>
      <c r="Q119" s="2" cm="1">
        <f t="array" ref="Q119">_xlfn.LET(_xlpm.d,Q$2:Q$85,_xlpm.f,$B$2:$B$85,_xlpm.g,$C$2:$C$85,_xlpm.k,$F119,AVERAGE(_xlfn._xlws.FILTER(_xlpm.d,(_xlpm.f=0)*(_xlpm.g=1))))</f>
        <v>0.59028362275898505</v>
      </c>
      <c r="R119" s="2" cm="1">
        <f t="array" ref="R119">_xlfn.LET(_xlpm.d,R$2:R$85,_xlpm.f,$B$2:$B$85,_xlpm.g,$C$2:$C$85,_xlpm.k,$F119,AVERAGE(_xlfn._xlws.FILTER(_xlpm.d,(_xlpm.f=0)*(_xlpm.g=1))))</f>
        <v>0.51973460625596457</v>
      </c>
      <c r="S119" s="2" cm="1">
        <f t="array" ref="S119">_xlfn.LET(_xlpm.d,S$2:S$85,_xlpm.f,$B$2:$B$85,_xlpm.g,$C$2:$C$85,_xlpm.k,$F119,AVERAGE(_xlfn._xlws.FILTER(_xlpm.d,(_xlpm.f=0)*(_xlpm.g=1))))</f>
        <v>0.58243926068824081</v>
      </c>
      <c r="T119" s="2" cm="1">
        <f t="array" ref="T119">_xlfn.LET(_xlpm.d,T$2:T$85,_xlpm.f,$B$2:$B$85,_xlpm.g,$C$2:$C$85,_xlpm.k,$F119,AVERAGE(_xlfn._xlws.FILTER(_xlpm.d,(_xlpm.f=0)*(_xlpm.g=1))))</f>
        <v>0.63959546015648894</v>
      </c>
    </row>
    <row r="120" spans="6:20" ht="30" customHeight="1">
      <c r="F120" t="s">
        <v>50</v>
      </c>
      <c r="G120" s="2" cm="1">
        <f t="array" ref="G120">_xlfn.LET(_xlpm.d,G$2:G$85,_xlpm.f,$B$2:$B$85,_xlpm.g,$D$2:$D$85,_xlpm.k,$F120,AVERAGE(_xlfn._xlws.FILTER(_xlpm.d,(_xlpm.f=0)*(_xlpm.g=1))))</f>
        <v>0.66140204179559026</v>
      </c>
      <c r="H120" s="2" cm="1">
        <f t="array" ref="H120">_xlfn.LET(_xlpm.d,H$2:H$85,_xlpm.f,$B$2:$B$85,_xlpm.g,$D$2:$D$85,_xlpm.k,$F120,AVERAGE(_xlfn._xlws.FILTER(_xlpm.d,(_xlpm.f=0)*(_xlpm.g=1))))</f>
        <v>0.64927043440111609</v>
      </c>
      <c r="I120" s="2" cm="1">
        <f t="array" ref="I120">_xlfn.LET(_xlpm.d,I$2:I$85,_xlpm.f,$B$2:$B$85,_xlpm.g,$D$2:$D$85,_xlpm.k,$F120,AVERAGE(_xlfn._xlws.FILTER(_xlpm.d,(_xlpm.f=0)*(_xlpm.g=1))))</f>
        <v>0.60280400320646765</v>
      </c>
      <c r="J120" s="2" cm="1">
        <f t="array" ref="J120">_xlfn.LET(_xlpm.d,J$2:J$85,_xlpm.f,$B$2:$B$85,_xlpm.g,$D$2:$D$85,_xlpm.k,$F120,AVERAGE(_xlfn._xlws.FILTER(_xlpm.d,(_xlpm.f=0)*(_xlpm.g=1))))</f>
        <v>0.59060481022420352</v>
      </c>
      <c r="K120" s="2" cm="1">
        <f t="array" ref="K120">_xlfn.LET(_xlpm.d,K$2:K$85,_xlpm.f,$B$2:$B$85,_xlpm.g,$D$2:$D$85,_xlpm.k,$F120,AVERAGE(_xlfn._xlws.FILTER(_xlpm.d,(_xlpm.f=0)*(_xlpm.g=1))))</f>
        <v>0.55592675377572354</v>
      </c>
      <c r="L120" s="2" cm="1">
        <f t="array" ref="L120">_xlfn.LET(_xlpm.d,L$2:L$85,_xlpm.f,$B$2:$B$85,_xlpm.g,$D$2:$D$85,_xlpm.k,$F120,AVERAGE(_xlfn._xlws.FILTER(_xlpm.d,(_xlpm.f=0)*(_xlpm.g=1))))</f>
        <v>0.5810520044806885</v>
      </c>
      <c r="M120" s="2" cm="1">
        <f t="array" ref="M120">_xlfn.LET(_xlpm.d,M$2:M$85,_xlpm.f,$B$2:$B$85,_xlpm.g,$D$2:$D$85,_xlpm.k,$F120,AVERAGE(_xlfn._xlws.FILTER(_xlpm.d,(_xlpm.f=0)*(_xlpm.g=1))))</f>
        <v>0.56314641312274094</v>
      </c>
      <c r="N120" s="2" cm="1">
        <f t="array" ref="N120">_xlfn.LET(_xlpm.d,N$2:N$85,_xlpm.f,$B$2:$B$85,_xlpm.g,$D$2:$D$85,_xlpm.k,$F120,AVERAGE(_xlfn._xlws.FILTER(_xlpm.d,(_xlpm.f=0)*(_xlpm.g=1))))</f>
        <v>0.59678928402705023</v>
      </c>
      <c r="O120" s="2" cm="1">
        <f t="array" ref="O120">_xlfn.LET(_xlpm.d,O$2:O$85,_xlpm.f,$B$2:$B$85,_xlpm.g,$D$2:$D$85,_xlpm.k,$F120,AVERAGE(_xlfn._xlws.FILTER(_xlpm.d,(_xlpm.f=0)*(_xlpm.g=1))))</f>
        <v>0.58437828794571189</v>
      </c>
      <c r="P120" s="2" cm="1">
        <f t="array" ref="P120">_xlfn.LET(_xlpm.d,P$2:P$85,_xlpm.f,$B$2:$B$85,_xlpm.g,$D$2:$D$85,_xlpm.k,$F120,AVERAGE(_xlfn._xlws.FILTER(_xlpm.d,(_xlpm.f=0)*(_xlpm.g=1))))</f>
        <v>0.54516781433130346</v>
      </c>
      <c r="Q120" s="2" cm="1">
        <f t="array" ref="Q120">_xlfn.LET(_xlpm.d,Q$2:Q$85,_xlpm.f,$B$2:$B$85,_xlpm.g,$D$2:$D$85,_xlpm.k,$F120,AVERAGE(_xlfn._xlws.FILTER(_xlpm.d,(_xlpm.f=0)*(_xlpm.g=1))))</f>
        <v>0.61050336973839403</v>
      </c>
      <c r="R120" s="2" cm="1">
        <f t="array" ref="R120">_xlfn.LET(_xlpm.d,R$2:R$85,_xlpm.f,$B$2:$B$85,_xlpm.g,$D$2:$D$85,_xlpm.k,$F120,AVERAGE(_xlfn._xlws.FILTER(_xlpm.d,(_xlpm.f=0)*(_xlpm.g=1))))</f>
        <v>0.66241039138363311</v>
      </c>
      <c r="S120" s="2" cm="1">
        <f t="array" ref="S120">_xlfn.LET(_xlpm.d,S$2:S$85,_xlpm.f,$B$2:$B$85,_xlpm.g,$D$2:$D$85,_xlpm.k,$F120,AVERAGE(_xlfn._xlws.FILTER(_xlpm.d,(_xlpm.f=0)*(_xlpm.g=1))))</f>
        <v>0.57216140573672014</v>
      </c>
      <c r="T120" s="2" cm="1">
        <f t="array" ref="T120">_xlfn.LET(_xlpm.d,T$2:T$85,_xlpm.f,$B$2:$B$85,_xlpm.g,$D$2:$D$85,_xlpm.k,$F120,AVERAGE(_xlfn._xlws.FILTER(_xlpm.d,(_xlpm.f=0)*(_xlpm.g=1))))</f>
        <v>0.59365438856727282</v>
      </c>
    </row>
    <row r="121" spans="6:20" ht="30" customHeight="1">
      <c r="F121" t="s">
        <v>51</v>
      </c>
      <c r="G121" s="2" cm="1">
        <f t="array" ref="G121">_xlfn.LET(_xlpm.d,G$2:G$85,_xlpm.f,$B$2:$B$85,_xlpm.g,$D$2:$D$85,_xlpm.k,$F121,AVERAGE(_xlfn._xlws.FILTER(_xlpm.d,(_xlpm.f=0)*(_xlpm.g=1))))</f>
        <v>0.66140204179559026</v>
      </c>
      <c r="H121" s="2" cm="1">
        <f t="array" ref="H121">_xlfn.LET(_xlpm.d,H$2:H$85,_xlpm.f,$B$2:$B$85,_xlpm.g,$D$2:$D$85,_xlpm.k,$F121,AVERAGE(_xlfn._xlws.FILTER(_xlpm.d,(_xlpm.f=0)*(_xlpm.g=1))))</f>
        <v>0.64927043440111609</v>
      </c>
      <c r="I121" s="2" cm="1">
        <f t="array" ref="I121">_xlfn.LET(_xlpm.d,I$2:I$85,_xlpm.f,$B$2:$B$85,_xlpm.g,$D$2:$D$85,_xlpm.k,$F121,AVERAGE(_xlfn._xlws.FILTER(_xlpm.d,(_xlpm.f=0)*(_xlpm.g=1))))</f>
        <v>0.60280400320646765</v>
      </c>
      <c r="J121" s="2" cm="1">
        <f t="array" ref="J121">_xlfn.LET(_xlpm.d,J$2:J$85,_xlpm.f,$B$2:$B$85,_xlpm.g,$D$2:$D$85,_xlpm.k,$F121,AVERAGE(_xlfn._xlws.FILTER(_xlpm.d,(_xlpm.f=0)*(_xlpm.g=1))))</f>
        <v>0.59060481022420352</v>
      </c>
      <c r="K121" s="2" cm="1">
        <f t="array" ref="K121">_xlfn.LET(_xlpm.d,K$2:K$85,_xlpm.f,$B$2:$B$85,_xlpm.g,$D$2:$D$85,_xlpm.k,$F121,AVERAGE(_xlfn._xlws.FILTER(_xlpm.d,(_xlpm.f=0)*(_xlpm.g=1))))</f>
        <v>0.55592675377572354</v>
      </c>
      <c r="L121" s="2" cm="1">
        <f t="array" ref="L121">_xlfn.LET(_xlpm.d,L$2:L$85,_xlpm.f,$B$2:$B$85,_xlpm.g,$D$2:$D$85,_xlpm.k,$F121,AVERAGE(_xlfn._xlws.FILTER(_xlpm.d,(_xlpm.f=0)*(_xlpm.g=1))))</f>
        <v>0.5810520044806885</v>
      </c>
      <c r="M121" s="2" cm="1">
        <f t="array" ref="M121">_xlfn.LET(_xlpm.d,M$2:M$85,_xlpm.f,$B$2:$B$85,_xlpm.g,$D$2:$D$85,_xlpm.k,$F121,AVERAGE(_xlfn._xlws.FILTER(_xlpm.d,(_xlpm.f=0)*(_xlpm.g=1))))</f>
        <v>0.56314641312274094</v>
      </c>
      <c r="N121" s="2" cm="1">
        <f t="array" ref="N121">_xlfn.LET(_xlpm.d,N$2:N$85,_xlpm.f,$B$2:$B$85,_xlpm.g,$D$2:$D$85,_xlpm.k,$F121,AVERAGE(_xlfn._xlws.FILTER(_xlpm.d,(_xlpm.f=0)*(_xlpm.g=1))))</f>
        <v>0.59678928402705023</v>
      </c>
      <c r="O121" s="2" cm="1">
        <f t="array" ref="O121">_xlfn.LET(_xlpm.d,O$2:O$85,_xlpm.f,$B$2:$B$85,_xlpm.g,$D$2:$D$85,_xlpm.k,$F121,AVERAGE(_xlfn._xlws.FILTER(_xlpm.d,(_xlpm.f=0)*(_xlpm.g=1))))</f>
        <v>0.58437828794571189</v>
      </c>
      <c r="P121" s="2" cm="1">
        <f t="array" ref="P121">_xlfn.LET(_xlpm.d,P$2:P$85,_xlpm.f,$B$2:$B$85,_xlpm.g,$D$2:$D$85,_xlpm.k,$F121,AVERAGE(_xlfn._xlws.FILTER(_xlpm.d,(_xlpm.f=0)*(_xlpm.g=1))))</f>
        <v>0.54516781433130346</v>
      </c>
      <c r="Q121" s="2" cm="1">
        <f t="array" ref="Q121">_xlfn.LET(_xlpm.d,Q$2:Q$85,_xlpm.f,$B$2:$B$85,_xlpm.g,$D$2:$D$85,_xlpm.k,$F121,AVERAGE(_xlfn._xlws.FILTER(_xlpm.d,(_xlpm.f=0)*(_xlpm.g=1))))</f>
        <v>0.61050336973839403</v>
      </c>
      <c r="R121" s="2" cm="1">
        <f t="array" ref="R121">_xlfn.LET(_xlpm.d,R$2:R$85,_xlpm.f,$B$2:$B$85,_xlpm.g,$D$2:$D$85,_xlpm.k,$F121,AVERAGE(_xlfn._xlws.FILTER(_xlpm.d,(_xlpm.f=0)*(_xlpm.g=1))))</f>
        <v>0.66241039138363311</v>
      </c>
      <c r="S121" s="2" cm="1">
        <f t="array" ref="S121">_xlfn.LET(_xlpm.d,S$2:S$85,_xlpm.f,$B$2:$B$85,_xlpm.g,$D$2:$D$85,_xlpm.k,$F121,AVERAGE(_xlfn._xlws.FILTER(_xlpm.d,(_xlpm.f=0)*(_xlpm.g=1))))</f>
        <v>0.57216140573672014</v>
      </c>
      <c r="T121" s="2" cm="1">
        <f t="array" ref="T121">_xlfn.LET(_xlpm.d,T$2:T$85,_xlpm.f,$B$2:$B$85,_xlpm.g,$D$2:$D$85,_xlpm.k,$F121,AVERAGE(_xlfn._xlws.FILTER(_xlpm.d,(_xlpm.f=0)*(_xlpm.g=1))))</f>
        <v>0.59365438856727282</v>
      </c>
    </row>
  </sheetData>
  <phoneticPr fontId="1" type="noConversion"/>
  <conditionalFormatting sqref="G2:S85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88:T100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3:T103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04:T115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18:T118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119:T121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85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aNA.pt0.50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2025-09-11T06:22:25Z</dcterms:modified>
  <cp:category/>
</cp:coreProperties>
</file>