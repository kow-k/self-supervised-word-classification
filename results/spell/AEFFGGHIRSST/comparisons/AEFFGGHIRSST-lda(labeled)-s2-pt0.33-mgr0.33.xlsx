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FGGHIRSST/comparisons/"/>
    </mc:Choice>
  </mc:AlternateContent>
  <xr:revisionPtr revIDLastSave="0" documentId="13_ncr:1_{3583A3A8-8F6A-764F-8C18-B994465715F5}" xr6:coauthVersionLast="47" xr6:coauthVersionMax="47" xr10:uidLastSave="{00000000-0000-0000-0000-000000000000}"/>
  <bookViews>
    <workbookView xWindow="1560" yWindow="2740" windowWidth="34280" windowHeight="16020" xr2:uid="{AAB55906-58C7-F940-B4CF-E7AFA13CA4FF}"/>
  </bookViews>
  <sheets>
    <sheet name="aNA.pt0.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3" i="1" l="1" a="1"/>
  <c r="H113" i="1" s="1"/>
  <c r="I113" i="1" a="1"/>
  <c r="I113" i="1" s="1"/>
  <c r="J113" i="1" a="1"/>
  <c r="J113" i="1" s="1"/>
  <c r="K113" i="1" a="1"/>
  <c r="K113" i="1" s="1"/>
  <c r="L113" i="1" a="1"/>
  <c r="L113" i="1" s="1"/>
  <c r="M113" i="1" a="1"/>
  <c r="M113" i="1" s="1"/>
  <c r="N113" i="1" a="1"/>
  <c r="N113" i="1" s="1"/>
  <c r="O113" i="1" a="1"/>
  <c r="O113" i="1" s="1"/>
  <c r="P113" i="1" a="1"/>
  <c r="P113" i="1" s="1"/>
  <c r="Q113" i="1" a="1"/>
  <c r="Q113" i="1" s="1"/>
  <c r="R113" i="1" a="1"/>
  <c r="R113" i="1" s="1"/>
  <c r="S113" i="1" a="1"/>
  <c r="S113" i="1" s="1"/>
  <c r="H114" i="1" a="1"/>
  <c r="H114" i="1" s="1"/>
  <c r="I114" i="1" a="1"/>
  <c r="I114" i="1" s="1"/>
  <c r="J114" i="1" a="1"/>
  <c r="J114" i="1" s="1"/>
  <c r="K114" i="1" a="1"/>
  <c r="K114" i="1" s="1"/>
  <c r="L114" i="1" a="1"/>
  <c r="L114" i="1" s="1"/>
  <c r="M114" i="1" a="1"/>
  <c r="M114" i="1" s="1"/>
  <c r="N114" i="1" a="1"/>
  <c r="N114" i="1" s="1"/>
  <c r="O114" i="1" a="1"/>
  <c r="O114" i="1" s="1"/>
  <c r="P114" i="1" a="1"/>
  <c r="P114" i="1" s="1"/>
  <c r="Q114" i="1" a="1"/>
  <c r="Q114" i="1" s="1"/>
  <c r="R114" i="1" a="1"/>
  <c r="R114" i="1" s="1"/>
  <c r="S114" i="1" a="1"/>
  <c r="S114" i="1" s="1"/>
  <c r="H98" i="1" a="1"/>
  <c r="H98" i="1" s="1"/>
  <c r="I98" i="1" a="1"/>
  <c r="I98" i="1" s="1"/>
  <c r="J98" i="1" a="1"/>
  <c r="J98" i="1" s="1"/>
  <c r="K98" i="1" a="1"/>
  <c r="K98" i="1" s="1"/>
  <c r="L98" i="1" a="1"/>
  <c r="L98" i="1" s="1"/>
  <c r="M98" i="1" a="1"/>
  <c r="M98" i="1" s="1"/>
  <c r="N98" i="1" a="1"/>
  <c r="N98" i="1" s="1"/>
  <c r="O98" i="1" a="1"/>
  <c r="O98" i="1" s="1"/>
  <c r="P98" i="1" a="1"/>
  <c r="P98" i="1" s="1"/>
  <c r="Q98" i="1" a="1"/>
  <c r="Q98" i="1" s="1"/>
  <c r="R98" i="1" a="1"/>
  <c r="R98" i="1" s="1"/>
  <c r="S98" i="1" a="1"/>
  <c r="S98" i="1" s="1"/>
  <c r="H99" i="1" a="1"/>
  <c r="H99" i="1" s="1"/>
  <c r="I99" i="1" a="1"/>
  <c r="I99" i="1" s="1"/>
  <c r="J99" i="1" a="1"/>
  <c r="J99" i="1" s="1"/>
  <c r="K99" i="1" a="1"/>
  <c r="K99" i="1" s="1"/>
  <c r="L99" i="1" a="1"/>
  <c r="L99" i="1" s="1"/>
  <c r="M99" i="1" a="1"/>
  <c r="M99" i="1" s="1"/>
  <c r="N99" i="1" a="1"/>
  <c r="N99" i="1" s="1"/>
  <c r="O99" i="1" a="1"/>
  <c r="O99" i="1" s="1"/>
  <c r="P99" i="1" a="1"/>
  <c r="P99" i="1" s="1"/>
  <c r="Q99" i="1" a="1"/>
  <c r="Q99" i="1" s="1"/>
  <c r="R99" i="1" a="1"/>
  <c r="R99" i="1" s="1"/>
  <c r="S99" i="1" a="1"/>
  <c r="S99" i="1" s="1"/>
  <c r="G113" i="1" a="1"/>
  <c r="G113" i="1" s="1"/>
  <c r="G114" i="1" a="1"/>
  <c r="G114" i="1" s="1"/>
  <c r="G115" i="1" a="1"/>
  <c r="G115" i="1" s="1"/>
  <c r="G98" i="1" a="1"/>
  <c r="G98" i="1" s="1"/>
  <c r="G99" i="1" a="1"/>
  <c r="G99" i="1" s="1"/>
  <c r="G100" i="1" a="1"/>
  <c r="G100" i="1" s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C51" i="1"/>
  <c r="C52" i="1"/>
  <c r="C53" i="1"/>
  <c r="E53" i="1" s="1"/>
  <c r="C54" i="1"/>
  <c r="C55" i="1"/>
  <c r="C56" i="1"/>
  <c r="C57" i="1"/>
  <c r="C58" i="1"/>
  <c r="E58" i="1" s="1"/>
  <c r="C59" i="1"/>
  <c r="C60" i="1"/>
  <c r="C61" i="1"/>
  <c r="E61" i="1" s="1"/>
  <c r="C62" i="1"/>
  <c r="C63" i="1"/>
  <c r="C64" i="1"/>
  <c r="D51" i="1"/>
  <c r="D52" i="1"/>
  <c r="D53" i="1"/>
  <c r="D54" i="1"/>
  <c r="D55" i="1"/>
  <c r="E55" i="1" s="1"/>
  <c r="D56" i="1"/>
  <c r="E56" i="1" s="1"/>
  <c r="D57" i="1"/>
  <c r="D58" i="1"/>
  <c r="D59" i="1"/>
  <c r="D60" i="1"/>
  <c r="D61" i="1"/>
  <c r="D62" i="1"/>
  <c r="D63" i="1"/>
  <c r="E63" i="1" s="1"/>
  <c r="D64" i="1"/>
  <c r="E64" i="1" s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H88" i="1"/>
  <c r="I88" i="1"/>
  <c r="J88" i="1"/>
  <c r="K88" i="1"/>
  <c r="L88" i="1"/>
  <c r="M88" i="1"/>
  <c r="N88" i="1"/>
  <c r="O88" i="1"/>
  <c r="P88" i="1"/>
  <c r="Q88" i="1"/>
  <c r="R88" i="1"/>
  <c r="S88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A3" i="1"/>
  <c r="A40" i="1"/>
  <c r="A41" i="1"/>
  <c r="A42" i="1"/>
  <c r="A43" i="1"/>
  <c r="A44" i="1"/>
  <c r="A45" i="1"/>
  <c r="A46" i="1"/>
  <c r="A47" i="1"/>
  <c r="A48" i="1"/>
  <c r="A49" i="1"/>
  <c r="A50" i="1"/>
  <c r="A65" i="1"/>
  <c r="A66" i="1"/>
  <c r="A67" i="1"/>
  <c r="A68" i="1"/>
  <c r="A69" i="1"/>
  <c r="A70" i="1"/>
  <c r="B3" i="1"/>
  <c r="B40" i="1"/>
  <c r="B41" i="1"/>
  <c r="B42" i="1"/>
  <c r="B43" i="1"/>
  <c r="B44" i="1"/>
  <c r="B45" i="1"/>
  <c r="B46" i="1"/>
  <c r="B47" i="1"/>
  <c r="B48" i="1"/>
  <c r="B49" i="1"/>
  <c r="B50" i="1"/>
  <c r="B65" i="1"/>
  <c r="B66" i="1"/>
  <c r="B67" i="1"/>
  <c r="B68" i="1"/>
  <c r="B69" i="1"/>
  <c r="B70" i="1"/>
  <c r="C3" i="1"/>
  <c r="C40" i="1"/>
  <c r="C41" i="1"/>
  <c r="C42" i="1"/>
  <c r="C43" i="1"/>
  <c r="C44" i="1"/>
  <c r="C45" i="1"/>
  <c r="C46" i="1"/>
  <c r="C47" i="1"/>
  <c r="C48" i="1"/>
  <c r="C49" i="1"/>
  <c r="C50" i="1"/>
  <c r="C65" i="1"/>
  <c r="C66" i="1"/>
  <c r="C67" i="1"/>
  <c r="C68" i="1"/>
  <c r="C69" i="1"/>
  <c r="C70" i="1"/>
  <c r="D3" i="1"/>
  <c r="D40" i="1"/>
  <c r="D41" i="1"/>
  <c r="D42" i="1"/>
  <c r="D43" i="1"/>
  <c r="D44" i="1"/>
  <c r="D45" i="1"/>
  <c r="D46" i="1"/>
  <c r="D47" i="1"/>
  <c r="D48" i="1"/>
  <c r="D49" i="1"/>
  <c r="D50" i="1"/>
  <c r="D65" i="1"/>
  <c r="D66" i="1"/>
  <c r="D67" i="1"/>
  <c r="D68" i="1"/>
  <c r="D69" i="1"/>
  <c r="D70" i="1"/>
  <c r="T3" i="1"/>
  <c r="T40" i="1"/>
  <c r="T41" i="1"/>
  <c r="T42" i="1"/>
  <c r="T43" i="1"/>
  <c r="T44" i="1"/>
  <c r="T45" i="1"/>
  <c r="T46" i="1"/>
  <c r="T47" i="1"/>
  <c r="T48" i="1"/>
  <c r="T49" i="1"/>
  <c r="T50" i="1"/>
  <c r="T65" i="1"/>
  <c r="T66" i="1"/>
  <c r="T67" i="1"/>
  <c r="T68" i="1"/>
  <c r="T69" i="1"/>
  <c r="T70" i="1"/>
  <c r="D2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C2" i="1"/>
  <c r="C71" i="1"/>
  <c r="C72" i="1"/>
  <c r="C73" i="1"/>
  <c r="C74" i="1"/>
  <c r="C75" i="1"/>
  <c r="E75" i="1" s="1"/>
  <c r="C76" i="1"/>
  <c r="E76" i="1" s="1"/>
  <c r="C77" i="1"/>
  <c r="C78" i="1"/>
  <c r="C79" i="1"/>
  <c r="E79" i="1" s="1"/>
  <c r="C80" i="1"/>
  <c r="C81" i="1"/>
  <c r="E81" i="1" s="1"/>
  <c r="C82" i="1"/>
  <c r="C83" i="1"/>
  <c r="E83" i="1" s="1"/>
  <c r="C84" i="1"/>
  <c r="E84" i="1" s="1"/>
  <c r="C85" i="1"/>
  <c r="B2" i="1"/>
  <c r="T2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T113" i="1" l="1" a="1"/>
  <c r="T113" i="1" s="1"/>
  <c r="T99" i="1" a="1"/>
  <c r="T99" i="1" s="1"/>
  <c r="T114" i="1" a="1"/>
  <c r="T114" i="1" s="1"/>
  <c r="T98" i="1" a="1"/>
  <c r="T98" i="1" s="1"/>
  <c r="E57" i="1"/>
  <c r="E60" i="1"/>
  <c r="E52" i="1"/>
  <c r="E59" i="1"/>
  <c r="E51" i="1"/>
  <c r="E39" i="1"/>
  <c r="E31" i="1"/>
  <c r="E23" i="1"/>
  <c r="E15" i="1"/>
  <c r="E7" i="1"/>
  <c r="E37" i="1"/>
  <c r="E29" i="1"/>
  <c r="E21" i="1"/>
  <c r="E13" i="1"/>
  <c r="E5" i="1"/>
  <c r="E25" i="1"/>
  <c r="K118" i="1" a="1"/>
  <c r="K118" i="1" s="1"/>
  <c r="E62" i="1"/>
  <c r="E24" i="1"/>
  <c r="E8" i="1"/>
  <c r="E54" i="1"/>
  <c r="E71" i="1"/>
  <c r="O103" i="1" a="1"/>
  <c r="O103" i="1" s="1"/>
  <c r="I103" i="1" a="1"/>
  <c r="I103" i="1" s="1"/>
  <c r="Q121" i="1" a="1"/>
  <c r="Q121" i="1" s="1"/>
  <c r="I121" i="1" a="1"/>
  <c r="I121" i="1" s="1"/>
  <c r="M120" i="1" a="1"/>
  <c r="M120" i="1" s="1"/>
  <c r="Q119" i="1" a="1"/>
  <c r="Q119" i="1" s="1"/>
  <c r="K119" i="1" a="1"/>
  <c r="K119" i="1" s="1"/>
  <c r="Q118" i="1" a="1"/>
  <c r="Q118" i="1" s="1"/>
  <c r="J118" i="1" a="1"/>
  <c r="J118" i="1" s="1"/>
  <c r="N103" i="1" a="1"/>
  <c r="N103" i="1" s="1"/>
  <c r="H103" i="1" a="1"/>
  <c r="H103" i="1" s="1"/>
  <c r="P121" i="1" a="1"/>
  <c r="P121" i="1" s="1"/>
  <c r="H121" i="1" a="1"/>
  <c r="H121" i="1" s="1"/>
  <c r="L120" i="1" a="1"/>
  <c r="L120" i="1" s="1"/>
  <c r="J119" i="1" a="1"/>
  <c r="J119" i="1" s="1"/>
  <c r="P118" i="1" a="1"/>
  <c r="P118" i="1" s="1"/>
  <c r="G118" i="1" a="1"/>
  <c r="G118" i="1" s="1"/>
  <c r="O121" i="1" a="1"/>
  <c r="O121" i="1" s="1"/>
  <c r="S120" i="1" a="1"/>
  <c r="S120" i="1" s="1"/>
  <c r="K120" i="1" a="1"/>
  <c r="K120" i="1" s="1"/>
  <c r="P119" i="1" a="1"/>
  <c r="P119" i="1" s="1"/>
  <c r="I119" i="1" a="1"/>
  <c r="I119" i="1" s="1"/>
  <c r="O118" i="1" a="1"/>
  <c r="O118" i="1" s="1"/>
  <c r="I118" i="1" a="1"/>
  <c r="I118" i="1" s="1"/>
  <c r="M103" i="1" a="1"/>
  <c r="M103" i="1" s="1"/>
  <c r="G119" i="1" a="1"/>
  <c r="G119" i="1" s="1"/>
  <c r="N121" i="1" a="1"/>
  <c r="N121" i="1" s="1"/>
  <c r="R120" i="1" a="1"/>
  <c r="R120" i="1" s="1"/>
  <c r="J120" i="1" a="1"/>
  <c r="J120" i="1" s="1"/>
  <c r="O119" i="1" a="1"/>
  <c r="O119" i="1" s="1"/>
  <c r="N118" i="1" a="1"/>
  <c r="N118" i="1" s="1"/>
  <c r="H118" i="1" a="1"/>
  <c r="H118" i="1" s="1"/>
  <c r="S103" i="1" a="1"/>
  <c r="S103" i="1" s="1"/>
  <c r="L103" i="1" a="1"/>
  <c r="L103" i="1" s="1"/>
  <c r="G120" i="1" a="1"/>
  <c r="G120" i="1" s="1"/>
  <c r="M121" i="1" a="1"/>
  <c r="M121" i="1" s="1"/>
  <c r="Q120" i="1" a="1"/>
  <c r="Q120" i="1" s="1"/>
  <c r="I120" i="1" a="1"/>
  <c r="I120" i="1" s="1"/>
  <c r="N119" i="1" a="1"/>
  <c r="N119" i="1" s="1"/>
  <c r="H119" i="1" a="1"/>
  <c r="H119" i="1" s="1"/>
  <c r="R103" i="1" a="1"/>
  <c r="R103" i="1" s="1"/>
  <c r="K103" i="1" a="1"/>
  <c r="K103" i="1" s="1"/>
  <c r="G121" i="1" a="1"/>
  <c r="G121" i="1" s="1"/>
  <c r="L121" i="1" a="1"/>
  <c r="L121" i="1" s="1"/>
  <c r="P120" i="1" a="1"/>
  <c r="P120" i="1" s="1"/>
  <c r="H120" i="1" a="1"/>
  <c r="H120" i="1" s="1"/>
  <c r="M119" i="1" a="1"/>
  <c r="M119" i="1" s="1"/>
  <c r="S118" i="1" a="1"/>
  <c r="S118" i="1" s="1"/>
  <c r="M118" i="1" a="1"/>
  <c r="M118" i="1" s="1"/>
  <c r="Q103" i="1" a="1"/>
  <c r="Q103" i="1" s="1"/>
  <c r="J103" i="1" a="1"/>
  <c r="J103" i="1" s="1"/>
  <c r="S121" i="1" a="1"/>
  <c r="S121" i="1" s="1"/>
  <c r="K121" i="1" a="1"/>
  <c r="K121" i="1" s="1"/>
  <c r="O120" i="1" a="1"/>
  <c r="O120" i="1" s="1"/>
  <c r="S119" i="1" a="1"/>
  <c r="S119" i="1" s="1"/>
  <c r="R118" i="1" a="1"/>
  <c r="R118" i="1" s="1"/>
  <c r="L118" i="1" a="1"/>
  <c r="L118" i="1" s="1"/>
  <c r="G103" i="1" a="1"/>
  <c r="G103" i="1" s="1"/>
  <c r="P103" i="1" a="1"/>
  <c r="P103" i="1" s="1"/>
  <c r="R121" i="1" a="1"/>
  <c r="R121" i="1" s="1"/>
  <c r="J121" i="1" a="1"/>
  <c r="J121" i="1" s="1"/>
  <c r="N120" i="1" a="1"/>
  <c r="N120" i="1" s="1"/>
  <c r="R119" i="1" a="1"/>
  <c r="R119" i="1" s="1"/>
  <c r="L119" i="1" a="1"/>
  <c r="L119" i="1" s="1"/>
  <c r="T121" i="1" a="1"/>
  <c r="T121" i="1" s="1"/>
  <c r="T119" i="1" a="1"/>
  <c r="T119" i="1" s="1"/>
  <c r="T118" i="1" a="1"/>
  <c r="T118" i="1" s="1"/>
  <c r="T120" i="1" a="1"/>
  <c r="T120" i="1" s="1"/>
  <c r="T88" i="1"/>
  <c r="T103" i="1" a="1"/>
  <c r="T103" i="1" s="1"/>
  <c r="E35" i="1"/>
  <c r="E27" i="1"/>
  <c r="E19" i="1"/>
  <c r="E11" i="1"/>
  <c r="E66" i="1"/>
  <c r="E44" i="1"/>
  <c r="E10" i="1"/>
  <c r="E17" i="1"/>
  <c r="E9" i="1"/>
  <c r="E68" i="1"/>
  <c r="E67" i="1"/>
  <c r="E73" i="1"/>
  <c r="E65" i="1"/>
  <c r="E43" i="1"/>
  <c r="E50" i="1"/>
  <c r="E34" i="1"/>
  <c r="E26" i="1"/>
  <c r="E18" i="1"/>
  <c r="E42" i="1"/>
  <c r="E33" i="1"/>
  <c r="E32" i="1"/>
  <c r="E16" i="1"/>
  <c r="E38" i="1"/>
  <c r="E30" i="1"/>
  <c r="E14" i="1"/>
  <c r="E22" i="1"/>
  <c r="E6" i="1"/>
  <c r="E78" i="1"/>
  <c r="E2" i="1"/>
  <c r="E36" i="1"/>
  <c r="E28" i="1"/>
  <c r="E20" i="1"/>
  <c r="E12" i="1"/>
  <c r="E4" i="1"/>
  <c r="E85" i="1"/>
  <c r="E77" i="1"/>
  <c r="E46" i="1"/>
  <c r="E82" i="1"/>
  <c r="E74" i="1"/>
  <c r="E45" i="1"/>
  <c r="E72" i="1"/>
  <c r="E41" i="1"/>
  <c r="E48" i="1"/>
  <c r="E3" i="1"/>
  <c r="E70" i="1"/>
  <c r="E47" i="1"/>
  <c r="E80" i="1"/>
  <c r="E49" i="1"/>
  <c r="E40" i="1"/>
  <c r="E69" i="1"/>
  <c r="G88" i="1"/>
  <c r="A85" i="1" l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2" i="1"/>
  <c r="L104" i="1" l="1" a="1"/>
  <c r="L104" i="1" s="1"/>
  <c r="H105" i="1" a="1"/>
  <c r="H105" i="1" s="1"/>
  <c r="P105" i="1" a="1"/>
  <c r="P105" i="1" s="1"/>
  <c r="L106" i="1" a="1"/>
  <c r="L106" i="1" s="1"/>
  <c r="H107" i="1" a="1"/>
  <c r="H107" i="1" s="1"/>
  <c r="P107" i="1" a="1"/>
  <c r="P107" i="1" s="1"/>
  <c r="L108" i="1" a="1"/>
  <c r="L108" i="1" s="1"/>
  <c r="H109" i="1" a="1"/>
  <c r="H109" i="1" s="1"/>
  <c r="P109" i="1" a="1"/>
  <c r="P109" i="1" s="1"/>
  <c r="L110" i="1" a="1"/>
  <c r="L110" i="1" s="1"/>
  <c r="H111" i="1" a="1"/>
  <c r="H111" i="1" s="1"/>
  <c r="P111" i="1" a="1"/>
  <c r="P111" i="1" s="1"/>
  <c r="L112" i="1" a="1"/>
  <c r="L112" i="1" s="1"/>
  <c r="H115" i="1" a="1"/>
  <c r="H115" i="1" s="1"/>
  <c r="P115" i="1" a="1"/>
  <c r="P115" i="1" s="1"/>
  <c r="H89" i="1" a="1"/>
  <c r="H89" i="1" s="1"/>
  <c r="P89" i="1" a="1"/>
  <c r="P89" i="1" s="1"/>
  <c r="K90" i="1" a="1"/>
  <c r="K90" i="1" s="1"/>
  <c r="Q90" i="1" a="1"/>
  <c r="Q90" i="1" s="1"/>
  <c r="K91" i="1" a="1"/>
  <c r="K91" i="1" s="1"/>
  <c r="R91" i="1" a="1"/>
  <c r="R91" i="1" s="1"/>
  <c r="M92" i="1" a="1"/>
  <c r="M92" i="1" s="1"/>
  <c r="S92" i="1" a="1"/>
  <c r="S92" i="1" s="1"/>
  <c r="N93" i="1" a="1"/>
  <c r="N93" i="1" s="1"/>
  <c r="J94" i="1" a="1"/>
  <c r="J94" i="1" s="1"/>
  <c r="Q94" i="1" a="1"/>
  <c r="Q94" i="1" s="1"/>
  <c r="L95" i="1" a="1"/>
  <c r="L95" i="1" s="1"/>
  <c r="H96" i="1" a="1"/>
  <c r="H96" i="1" s="1"/>
  <c r="P96" i="1" a="1"/>
  <c r="P96" i="1" s="1"/>
  <c r="L97" i="1" a="1"/>
  <c r="L97" i="1" s="1"/>
  <c r="H100" i="1" a="1"/>
  <c r="H100" i="1" s="1"/>
  <c r="P100" i="1" a="1"/>
  <c r="P100" i="1" s="1"/>
  <c r="G108" i="1" a="1"/>
  <c r="G108" i="1" s="1"/>
  <c r="G94" i="1" a="1"/>
  <c r="G94" i="1" s="1"/>
  <c r="S115" i="1" a="1"/>
  <c r="S115" i="1" s="1"/>
  <c r="Q93" i="1" a="1"/>
  <c r="Q93" i="1" s="1"/>
  <c r="K96" i="1" a="1"/>
  <c r="K96" i="1" s="1"/>
  <c r="G110" i="1" a="1"/>
  <c r="G110" i="1" s="1"/>
  <c r="L89" i="1" a="1"/>
  <c r="L89" i="1" s="1"/>
  <c r="P92" i="1" a="1"/>
  <c r="P92" i="1" s="1"/>
  <c r="L96" i="1" a="1"/>
  <c r="L96" i="1" s="1"/>
  <c r="G105" i="1" a="1"/>
  <c r="G105" i="1" s="1"/>
  <c r="Q112" i="1" a="1"/>
  <c r="Q112" i="1" s="1"/>
  <c r="S93" i="1" a="1"/>
  <c r="S93" i="1" s="1"/>
  <c r="I97" i="1" a="1"/>
  <c r="I97" i="1" s="1"/>
  <c r="R95" i="1" a="1"/>
  <c r="R95" i="1" s="1"/>
  <c r="R97" i="1" a="1"/>
  <c r="R97" i="1" s="1"/>
  <c r="M104" i="1" a="1"/>
  <c r="M104" i="1" s="1"/>
  <c r="I105" i="1" a="1"/>
  <c r="I105" i="1" s="1"/>
  <c r="Q105" i="1" a="1"/>
  <c r="Q105" i="1" s="1"/>
  <c r="M106" i="1" a="1"/>
  <c r="M106" i="1" s="1"/>
  <c r="I107" i="1" a="1"/>
  <c r="I107" i="1" s="1"/>
  <c r="Q107" i="1" a="1"/>
  <c r="Q107" i="1" s="1"/>
  <c r="M108" i="1" a="1"/>
  <c r="M108" i="1" s="1"/>
  <c r="I109" i="1" a="1"/>
  <c r="I109" i="1" s="1"/>
  <c r="Q109" i="1" a="1"/>
  <c r="Q109" i="1" s="1"/>
  <c r="M110" i="1" a="1"/>
  <c r="M110" i="1" s="1"/>
  <c r="I111" i="1" a="1"/>
  <c r="I111" i="1" s="1"/>
  <c r="Q111" i="1" a="1"/>
  <c r="Q111" i="1" s="1"/>
  <c r="M112" i="1" a="1"/>
  <c r="M112" i="1" s="1"/>
  <c r="I115" i="1" a="1"/>
  <c r="I115" i="1" s="1"/>
  <c r="Q115" i="1" a="1"/>
  <c r="Q115" i="1" s="1"/>
  <c r="I89" i="1" a="1"/>
  <c r="I89" i="1" s="1"/>
  <c r="R90" i="1" a="1"/>
  <c r="R90" i="1" s="1"/>
  <c r="L91" i="1" a="1"/>
  <c r="L91" i="1" s="1"/>
  <c r="H93" i="1" a="1"/>
  <c r="H93" i="1" s="1"/>
  <c r="O93" i="1" a="1"/>
  <c r="O93" i="1" s="1"/>
  <c r="K94" i="1" a="1"/>
  <c r="K94" i="1" s="1"/>
  <c r="R94" i="1" a="1"/>
  <c r="R94" i="1" s="1"/>
  <c r="M95" i="1" a="1"/>
  <c r="M95" i="1" s="1"/>
  <c r="I96" i="1" a="1"/>
  <c r="I96" i="1" s="1"/>
  <c r="Q96" i="1" a="1"/>
  <c r="Q96" i="1" s="1"/>
  <c r="M97" i="1" a="1"/>
  <c r="M97" i="1" s="1"/>
  <c r="I100" i="1" a="1"/>
  <c r="I100" i="1" s="1"/>
  <c r="Q100" i="1" a="1"/>
  <c r="Q100" i="1" s="1"/>
  <c r="G104" i="1" a="1"/>
  <c r="G104" i="1" s="1"/>
  <c r="G95" i="1" a="1"/>
  <c r="G95" i="1" s="1"/>
  <c r="S111" i="1" a="1"/>
  <c r="S111" i="1" s="1"/>
  <c r="R89" i="1" a="1"/>
  <c r="R89" i="1" s="1"/>
  <c r="N91" i="1" a="1"/>
  <c r="N91" i="1" s="1"/>
  <c r="J93" i="1" a="1"/>
  <c r="J93" i="1" s="1"/>
  <c r="O95" i="1" a="1"/>
  <c r="O95" i="1" s="1"/>
  <c r="O97" i="1" a="1"/>
  <c r="O97" i="1" s="1"/>
  <c r="G96" i="1" a="1"/>
  <c r="G96" i="1" s="1"/>
  <c r="S89" i="1" a="1"/>
  <c r="S89" i="1" s="1"/>
  <c r="K93" i="1" a="1"/>
  <c r="K93" i="1" s="1"/>
  <c r="P95" i="1" a="1"/>
  <c r="P95" i="1" s="1"/>
  <c r="L100" i="1" a="1"/>
  <c r="L100" i="1" s="1"/>
  <c r="M89" i="1" a="1"/>
  <c r="M89" i="1" s="1"/>
  <c r="O91" i="1" a="1"/>
  <c r="O91" i="1" s="1"/>
  <c r="L93" i="1" a="1"/>
  <c r="L93" i="1" s="1"/>
  <c r="M96" i="1" a="1"/>
  <c r="M96" i="1" s="1"/>
  <c r="J97" i="1" a="1"/>
  <c r="J97" i="1" s="1"/>
  <c r="N100" i="1" a="1"/>
  <c r="N100" i="1" s="1"/>
  <c r="N104" i="1" a="1"/>
  <c r="N104" i="1" s="1"/>
  <c r="J105" i="1" a="1"/>
  <c r="J105" i="1" s="1"/>
  <c r="R105" i="1" a="1"/>
  <c r="R105" i="1" s="1"/>
  <c r="N106" i="1" a="1"/>
  <c r="N106" i="1" s="1"/>
  <c r="J107" i="1" a="1"/>
  <c r="J107" i="1" s="1"/>
  <c r="R107" i="1" a="1"/>
  <c r="R107" i="1" s="1"/>
  <c r="N108" i="1" a="1"/>
  <c r="N108" i="1" s="1"/>
  <c r="J109" i="1" a="1"/>
  <c r="J109" i="1" s="1"/>
  <c r="R109" i="1" a="1"/>
  <c r="R109" i="1" s="1"/>
  <c r="N110" i="1" a="1"/>
  <c r="N110" i="1" s="1"/>
  <c r="J111" i="1" a="1"/>
  <c r="J111" i="1" s="1"/>
  <c r="R111" i="1" a="1"/>
  <c r="R111" i="1" s="1"/>
  <c r="N112" i="1" a="1"/>
  <c r="N112" i="1" s="1"/>
  <c r="J115" i="1" a="1"/>
  <c r="J115" i="1" s="1"/>
  <c r="R115" i="1" a="1"/>
  <c r="R115" i="1" s="1"/>
  <c r="J89" i="1" a="1"/>
  <c r="J89" i="1" s="1"/>
  <c r="Q89" i="1" a="1"/>
  <c r="Q89" i="1" s="1"/>
  <c r="L90" i="1" a="1"/>
  <c r="L90" i="1" s="1"/>
  <c r="S90" i="1" a="1"/>
  <c r="S90" i="1" s="1"/>
  <c r="M91" i="1" a="1"/>
  <c r="M91" i="1" s="1"/>
  <c r="S91" i="1" a="1"/>
  <c r="S91" i="1" s="1"/>
  <c r="N92" i="1" a="1"/>
  <c r="N92" i="1" s="1"/>
  <c r="I93" i="1" a="1"/>
  <c r="I93" i="1" s="1"/>
  <c r="P93" i="1" a="1"/>
  <c r="P93" i="1" s="1"/>
  <c r="L94" i="1" a="1"/>
  <c r="L94" i="1" s="1"/>
  <c r="S94" i="1" a="1"/>
  <c r="S94" i="1" s="1"/>
  <c r="N95" i="1" a="1"/>
  <c r="N95" i="1" s="1"/>
  <c r="J96" i="1" a="1"/>
  <c r="J96" i="1" s="1"/>
  <c r="R96" i="1" a="1"/>
  <c r="R96" i="1" s="1"/>
  <c r="N97" i="1" a="1"/>
  <c r="N97" i="1" s="1"/>
  <c r="J100" i="1" a="1"/>
  <c r="J100" i="1" s="1"/>
  <c r="R100" i="1" a="1"/>
  <c r="R100" i="1" s="1"/>
  <c r="G109" i="1" a="1"/>
  <c r="G109" i="1" s="1"/>
  <c r="G90" i="1" a="1"/>
  <c r="G90" i="1" s="1"/>
  <c r="O112" i="1" a="1"/>
  <c r="O112" i="1" s="1"/>
  <c r="K89" i="1" a="1"/>
  <c r="K89" i="1" s="1"/>
  <c r="M90" i="1" a="1"/>
  <c r="M90" i="1" s="1"/>
  <c r="O92" i="1" a="1"/>
  <c r="O92" i="1" s="1"/>
  <c r="M94" i="1" a="1"/>
  <c r="M94" i="1" s="1"/>
  <c r="S96" i="1" a="1"/>
  <c r="S96" i="1" s="1"/>
  <c r="G91" i="1" a="1"/>
  <c r="G91" i="1" s="1"/>
  <c r="H91" i="1" a="1"/>
  <c r="H91" i="1" s="1"/>
  <c r="N94" i="1" a="1"/>
  <c r="N94" i="1" s="1"/>
  <c r="P97" i="1" a="1"/>
  <c r="P97" i="1" s="1"/>
  <c r="M115" i="1" a="1"/>
  <c r="M115" i="1" s="1"/>
  <c r="I95" i="1" a="1"/>
  <c r="I95" i="1" s="1"/>
  <c r="Q97" i="1" a="1"/>
  <c r="Q97" i="1" s="1"/>
  <c r="N96" i="1" a="1"/>
  <c r="N96" i="1" s="1"/>
  <c r="G112" i="1" a="1"/>
  <c r="G112" i="1" s="1"/>
  <c r="O104" i="1" a="1"/>
  <c r="O104" i="1" s="1"/>
  <c r="K105" i="1" a="1"/>
  <c r="K105" i="1" s="1"/>
  <c r="S105" i="1" a="1"/>
  <c r="S105" i="1" s="1"/>
  <c r="O106" i="1" a="1"/>
  <c r="O106" i="1" s="1"/>
  <c r="K107" i="1" a="1"/>
  <c r="K107" i="1" s="1"/>
  <c r="S107" i="1" a="1"/>
  <c r="S107" i="1" s="1"/>
  <c r="O108" i="1" a="1"/>
  <c r="O108" i="1" s="1"/>
  <c r="K109" i="1" a="1"/>
  <c r="K109" i="1" s="1"/>
  <c r="S109" i="1" a="1"/>
  <c r="S109" i="1" s="1"/>
  <c r="O110" i="1" a="1"/>
  <c r="O110" i="1" s="1"/>
  <c r="K111" i="1" a="1"/>
  <c r="K111" i="1" s="1"/>
  <c r="K115" i="1" a="1"/>
  <c r="K115" i="1" s="1"/>
  <c r="H92" i="1" a="1"/>
  <c r="H92" i="1" s="1"/>
  <c r="K100" i="1" a="1"/>
  <c r="K100" i="1" s="1"/>
  <c r="I92" i="1" a="1"/>
  <c r="I92" i="1" s="1"/>
  <c r="H90" i="1" a="1"/>
  <c r="H90" i="1" s="1"/>
  <c r="Q92" i="1" a="1"/>
  <c r="Q92" i="1" s="1"/>
  <c r="G111" i="1" a="1"/>
  <c r="G111" i="1" s="1"/>
  <c r="H104" i="1" a="1"/>
  <c r="H104" i="1" s="1"/>
  <c r="P104" i="1" a="1"/>
  <c r="P104" i="1" s="1"/>
  <c r="L105" i="1" a="1"/>
  <c r="L105" i="1" s="1"/>
  <c r="H106" i="1" a="1"/>
  <c r="H106" i="1" s="1"/>
  <c r="P106" i="1" a="1"/>
  <c r="P106" i="1" s="1"/>
  <c r="L107" i="1" a="1"/>
  <c r="L107" i="1" s="1"/>
  <c r="H108" i="1" a="1"/>
  <c r="H108" i="1" s="1"/>
  <c r="P108" i="1" a="1"/>
  <c r="P108" i="1" s="1"/>
  <c r="L109" i="1" a="1"/>
  <c r="L109" i="1" s="1"/>
  <c r="H110" i="1" a="1"/>
  <c r="H110" i="1" s="1"/>
  <c r="P110" i="1" a="1"/>
  <c r="P110" i="1" s="1"/>
  <c r="L111" i="1" a="1"/>
  <c r="L111" i="1" s="1"/>
  <c r="H112" i="1" a="1"/>
  <c r="H112" i="1" s="1"/>
  <c r="P112" i="1" a="1"/>
  <c r="P112" i="1" s="1"/>
  <c r="L115" i="1" a="1"/>
  <c r="L115" i="1" s="1"/>
  <c r="H95" i="1" a="1"/>
  <c r="H95" i="1" s="1"/>
  <c r="O90" i="1" a="1"/>
  <c r="O90" i="1" s="1"/>
  <c r="O94" i="1" a="1"/>
  <c r="O94" i="1" s="1"/>
  <c r="G92" i="1" a="1"/>
  <c r="G92" i="1" s="1"/>
  <c r="I104" i="1" a="1"/>
  <c r="I104" i="1" s="1"/>
  <c r="Q104" i="1" a="1"/>
  <c r="Q104" i="1" s="1"/>
  <c r="M105" i="1" a="1"/>
  <c r="M105" i="1" s="1"/>
  <c r="I106" i="1" a="1"/>
  <c r="I106" i="1" s="1"/>
  <c r="Q106" i="1" a="1"/>
  <c r="Q106" i="1" s="1"/>
  <c r="M107" i="1" a="1"/>
  <c r="M107" i="1" s="1"/>
  <c r="I108" i="1" a="1"/>
  <c r="I108" i="1" s="1"/>
  <c r="Q108" i="1" a="1"/>
  <c r="Q108" i="1" s="1"/>
  <c r="M109" i="1" a="1"/>
  <c r="M109" i="1" s="1"/>
  <c r="I110" i="1" a="1"/>
  <c r="I110" i="1" s="1"/>
  <c r="Q110" i="1" a="1"/>
  <c r="Q110" i="1" s="1"/>
  <c r="M111" i="1" a="1"/>
  <c r="M111" i="1" s="1"/>
  <c r="I91" i="1" a="1"/>
  <c r="I91" i="1" s="1"/>
  <c r="J92" i="1" a="1"/>
  <c r="J92" i="1" s="1"/>
  <c r="G106" i="1" a="1"/>
  <c r="G106" i="1" s="1"/>
  <c r="J104" i="1" a="1"/>
  <c r="J104" i="1" s="1"/>
  <c r="R104" i="1" a="1"/>
  <c r="R104" i="1" s="1"/>
  <c r="N105" i="1" a="1"/>
  <c r="N105" i="1" s="1"/>
  <c r="J106" i="1" a="1"/>
  <c r="J106" i="1" s="1"/>
  <c r="R106" i="1" a="1"/>
  <c r="R106" i="1" s="1"/>
  <c r="N107" i="1" a="1"/>
  <c r="N107" i="1" s="1"/>
  <c r="J108" i="1" a="1"/>
  <c r="J108" i="1" s="1"/>
  <c r="R108" i="1" a="1"/>
  <c r="R108" i="1" s="1"/>
  <c r="N109" i="1" a="1"/>
  <c r="N109" i="1" s="1"/>
  <c r="J110" i="1" a="1"/>
  <c r="J110" i="1" s="1"/>
  <c r="R110" i="1" a="1"/>
  <c r="R110" i="1" s="1"/>
  <c r="N111" i="1" a="1"/>
  <c r="N111" i="1" s="1"/>
  <c r="J112" i="1" a="1"/>
  <c r="J112" i="1" s="1"/>
  <c r="R112" i="1" a="1"/>
  <c r="R112" i="1" s="1"/>
  <c r="N115" i="1" a="1"/>
  <c r="N115" i="1" s="1"/>
  <c r="N89" i="1" a="1"/>
  <c r="N89" i="1" s="1"/>
  <c r="I90" i="1" a="1"/>
  <c r="I90" i="1" s="1"/>
  <c r="J91" i="1" a="1"/>
  <c r="J91" i="1" s="1"/>
  <c r="P91" i="1" a="1"/>
  <c r="P91" i="1" s="1"/>
  <c r="K92" i="1" a="1"/>
  <c r="K92" i="1" s="1"/>
  <c r="H94" i="1" a="1"/>
  <c r="H94" i="1" s="1"/>
  <c r="K104" i="1" a="1"/>
  <c r="K104" i="1" s="1"/>
  <c r="S104" i="1" a="1"/>
  <c r="S104" i="1" s="1"/>
  <c r="O105" i="1" a="1"/>
  <c r="O105" i="1" s="1"/>
  <c r="K106" i="1" a="1"/>
  <c r="K106" i="1" s="1"/>
  <c r="S106" i="1" a="1"/>
  <c r="S106" i="1" s="1"/>
  <c r="O107" i="1" a="1"/>
  <c r="O107" i="1" s="1"/>
  <c r="K108" i="1" a="1"/>
  <c r="K108" i="1" s="1"/>
  <c r="S108" i="1" a="1"/>
  <c r="S108" i="1" s="1"/>
  <c r="O109" i="1" a="1"/>
  <c r="O109" i="1" s="1"/>
  <c r="K110" i="1" a="1"/>
  <c r="K110" i="1" s="1"/>
  <c r="S110" i="1" a="1"/>
  <c r="S110" i="1" s="1"/>
  <c r="O111" i="1" a="1"/>
  <c r="O111" i="1" s="1"/>
  <c r="K112" i="1" a="1"/>
  <c r="K112" i="1" s="1"/>
  <c r="S112" i="1" a="1"/>
  <c r="S112" i="1" s="1"/>
  <c r="O115" i="1" a="1"/>
  <c r="O115" i="1" s="1"/>
  <c r="O89" i="1" a="1"/>
  <c r="O89" i="1" s="1"/>
  <c r="J90" i="1" a="1"/>
  <c r="J90" i="1" s="1"/>
  <c r="P90" i="1" a="1"/>
  <c r="P90" i="1" s="1"/>
  <c r="Q91" i="1" a="1"/>
  <c r="Q91" i="1" s="1"/>
  <c r="L92" i="1" a="1"/>
  <c r="L92" i="1" s="1"/>
  <c r="R92" i="1" a="1"/>
  <c r="R92" i="1" s="1"/>
  <c r="M93" i="1" a="1"/>
  <c r="M93" i="1" s="1"/>
  <c r="I94" i="1" a="1"/>
  <c r="I94" i="1" s="1"/>
  <c r="P94" i="1" a="1"/>
  <c r="P94" i="1" s="1"/>
  <c r="K95" i="1" a="1"/>
  <c r="K95" i="1" s="1"/>
  <c r="S95" i="1" a="1"/>
  <c r="S95" i="1" s="1"/>
  <c r="O96" i="1" a="1"/>
  <c r="O96" i="1" s="1"/>
  <c r="K97" i="1" a="1"/>
  <c r="K97" i="1" s="1"/>
  <c r="S97" i="1" a="1"/>
  <c r="S97" i="1" s="1"/>
  <c r="O100" i="1" a="1"/>
  <c r="O100" i="1" s="1"/>
  <c r="G107" i="1" a="1"/>
  <c r="G107" i="1" s="1"/>
  <c r="G93" i="1" a="1"/>
  <c r="G93" i="1" s="1"/>
  <c r="S100" i="1" a="1"/>
  <c r="S100" i="1" s="1"/>
  <c r="N90" i="1" a="1"/>
  <c r="N90" i="1" s="1"/>
  <c r="R93" i="1" a="1"/>
  <c r="R93" i="1" s="1"/>
  <c r="H97" i="1" a="1"/>
  <c r="H97" i="1" s="1"/>
  <c r="G97" i="1" a="1"/>
  <c r="G97" i="1" s="1"/>
  <c r="I112" i="1" a="1"/>
  <c r="I112" i="1" s="1"/>
  <c r="Q95" i="1" a="1"/>
  <c r="Q95" i="1" s="1"/>
  <c r="M100" i="1" a="1"/>
  <c r="M100" i="1" s="1"/>
  <c r="J95" i="1" a="1"/>
  <c r="J95" i="1" s="1"/>
  <c r="G89" i="1" a="1"/>
  <c r="G89" i="1" s="1"/>
  <c r="T105" i="1" a="1"/>
  <c r="T105" i="1" s="1"/>
  <c r="T100" i="1" a="1"/>
  <c r="T100" i="1" s="1"/>
  <c r="T110" i="1" a="1"/>
  <c r="T110" i="1" s="1"/>
  <c r="T92" i="1" a="1"/>
  <c r="T92" i="1" s="1"/>
  <c r="T95" i="1" a="1"/>
  <c r="T95" i="1" s="1"/>
  <c r="T108" i="1" a="1"/>
  <c r="T108" i="1" s="1"/>
  <c r="T107" i="1" a="1"/>
  <c r="T107" i="1" s="1"/>
  <c r="T112" i="1" a="1"/>
  <c r="T112" i="1" s="1"/>
  <c r="T106" i="1" a="1"/>
  <c r="T106" i="1" s="1"/>
  <c r="T93" i="1" a="1"/>
  <c r="T93" i="1" s="1"/>
  <c r="T89" i="1" a="1"/>
  <c r="T89" i="1" s="1"/>
  <c r="T96" i="1" a="1"/>
  <c r="T96" i="1" s="1"/>
  <c r="T104" i="1" a="1"/>
  <c r="T104" i="1" s="1"/>
  <c r="T115" i="1" a="1"/>
  <c r="T115" i="1" s="1"/>
  <c r="T94" i="1" a="1"/>
  <c r="T94" i="1" s="1"/>
  <c r="T97" i="1" a="1"/>
  <c r="T97" i="1" s="1"/>
  <c r="T91" i="1" a="1"/>
  <c r="T91" i="1" s="1"/>
  <c r="T90" i="1" a="1"/>
  <c r="T90" i="1" s="1"/>
  <c r="T111" i="1" a="1"/>
  <c r="T111" i="1" s="1"/>
  <c r="T109" i="1" a="1"/>
  <c r="T10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<sst xmlns="http://schemas.openxmlformats.org/spreadsheetml/2006/main" count="137" uniqueCount="119">
  <si>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</si>
  <si>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</si>
  <si>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</si>
  <si>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</si>
  <si>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</si>
  <si>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</si>
  <si>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</si>
  <si>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</si>
  <si>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</si>
  <si>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</si>
  <si>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</si>
  <si>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</si>
  <si>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</si>
  <si>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</si>
  <si>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</si>
  <si>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</si>
  <si>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</si>
  <si>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</si>
  <si>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</si>
  <si>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</si>
  <si>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</si>
  <si>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</si>
  <si>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</si>
  <si>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</si>
  <si>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</si>
  <si>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</si>
  <si>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</si>
  <si>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</si>
  <si>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</si>
  <si>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</si>
  <si>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</si>
  <si>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</si>
  <si>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</si>
  <si>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</si>
  <si>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</si>
  <si>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</si>
  <si>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lang</t>
  </si>
  <si>
    <t>all</t>
  </si>
  <si>
    <t>arabic</t>
  </si>
  <si>
    <t>german</t>
  </si>
  <si>
    <t>english</t>
  </si>
  <si>
    <t>french</t>
  </si>
  <si>
    <t>russian</t>
  </si>
  <si>
    <t>1g</t>
  </si>
  <si>
    <t>1g excluded</t>
  </si>
  <si>
    <t>average</t>
  </si>
  <si>
    <t>11</t>
  </si>
  <si>
    <t>13</t>
  </si>
  <si>
    <t>14</t>
  </si>
  <si>
    <t>xsk</t>
  </si>
  <si>
    <t>sk</t>
  </si>
  <si>
    <t>norm</t>
  </si>
  <si>
    <t>arabic-xsk2g</t>
  </si>
  <si>
    <t>arabic-xsk3g</t>
  </si>
  <si>
    <t>english-xsk2g</t>
  </si>
  <si>
    <t>english-xsk3g</t>
  </si>
  <si>
    <t>french-xsk2g</t>
  </si>
  <si>
    <t>french-xsk3g</t>
  </si>
  <si>
    <t>finnish-1g</t>
  </si>
  <si>
    <t>finnish-2g</t>
  </si>
  <si>
    <t>finnish-3g</t>
  </si>
  <si>
    <t>finnish-sk2g</t>
  </si>
  <si>
    <t>finnish-sk3g</t>
  </si>
  <si>
    <t>finnish-xsk2g</t>
  </si>
  <si>
    <t>finnish-xsk3g</t>
  </si>
  <si>
    <t>german-xsk2g</t>
  </si>
  <si>
    <t>german-xsk3g</t>
  </si>
  <si>
    <t>greek-1g</t>
  </si>
  <si>
    <t>greek-2g</t>
  </si>
  <si>
    <t>greek-3g</t>
  </si>
  <si>
    <t>greek-sk2g</t>
  </si>
  <si>
    <t>greek-sk3g</t>
  </si>
  <si>
    <t>greek-xsk2g</t>
  </si>
  <si>
    <t>greek-xsk3g</t>
  </si>
  <si>
    <t>hebrew-1g</t>
  </si>
  <si>
    <t>hebrew-2g</t>
  </si>
  <si>
    <t>hebrew-3g</t>
  </si>
  <si>
    <t>hebrew-sk2g</t>
  </si>
  <si>
    <t>hebrew-sk3g</t>
  </si>
  <si>
    <t>hebrew-xsk2g</t>
  </si>
  <si>
    <t>hebrew-xsk3g</t>
  </si>
  <si>
    <t>icelandic-1g</t>
  </si>
  <si>
    <t>icelandic-2g</t>
  </si>
  <si>
    <t>icelandic-3g</t>
  </si>
  <si>
    <t>icelandic-sk2g</t>
  </si>
  <si>
    <t>icelandic-sk3g</t>
  </si>
  <si>
    <t>icelandic-xsk2g</t>
  </si>
  <si>
    <t>icelandic-xsk3g</t>
  </si>
  <si>
    <t>russian-xsk2g</t>
  </si>
  <si>
    <t>russian-xsk3g</t>
  </si>
  <si>
    <t>turkish-1g</t>
  </si>
  <si>
    <t>turkish-2g</t>
  </si>
  <si>
    <t>turkish-3g</t>
  </si>
  <si>
    <t>turkish-sk2g</t>
  </si>
  <si>
    <t>turkish-sk3g</t>
  </si>
  <si>
    <t>turkish-xsk2g</t>
  </si>
  <si>
    <t>turkish-xsk3g</t>
  </si>
  <si>
    <t>finnish</t>
  </si>
  <si>
    <t>greek</t>
  </si>
  <si>
    <t>hebrew</t>
  </si>
  <si>
    <t>icelandic</t>
  </si>
  <si>
    <t>turkish</t>
  </si>
  <si>
    <t>spanish</t>
  </si>
  <si>
    <t>swahili</t>
  </si>
  <si>
    <t>spanish-1g</t>
  </si>
  <si>
    <t>spanish-2g</t>
  </si>
  <si>
    <t>spanish-3g</t>
  </si>
  <si>
    <t>spanish-sk2g</t>
  </si>
  <si>
    <t>spanish-sk3g</t>
  </si>
  <si>
    <t>spanish-xsk2g</t>
  </si>
  <si>
    <t>spanish-xsk3g</t>
  </si>
  <si>
    <t>swahili-1g</t>
  </si>
  <si>
    <t>swahili-2g</t>
  </si>
  <si>
    <t>swahili-3g</t>
  </si>
  <si>
    <t>swahili-sk2g</t>
  </si>
  <si>
    <t>swahili-sk3g</t>
  </si>
  <si>
    <t>swahili-xsk2g</t>
  </si>
  <si>
    <t>swahili-xsk3g</t>
  </si>
  <si>
    <t>1g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</si>
</sst>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F-value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r>
              <a:rPr lang="ja-JP" altLang="en-US" baseline="0"/>
              <a:t> </a:t>
            </a:r>
            <a:r>
              <a:rPr lang="en-US" altLang="ja-JP" baseline="0"/>
              <a:t>by</a:t>
            </a:r>
            <a:r>
              <a:rPr lang="ja-JP" altLang="en-US" baseline="0"/>
              <a:t> </a:t>
            </a:r>
            <a:r>
              <a:rPr lang="en-US" altLang="ja-JP" baseline="0"/>
              <a:t>encodings</a:t>
            </a:r>
            <a:r>
              <a:rPr lang="ja-JP" altLang="en-US" baseline="0"/>
              <a:t> </a:t>
            </a:r>
            <a:r>
              <a:rPr lang="en-US" altLang="ja-JP" baseline="0"/>
              <a:t>along</a:t>
            </a:r>
            <a:r>
              <a:rPr lang="ja-JP" altLang="en-US" baseline="0"/>
              <a:t> </a:t>
            </a:r>
            <a:r>
              <a:rPr lang="en-US" altLang="ja-JP" baseline="0"/>
              <a:t>n_topics</a:t>
            </a:r>
            <a:r>
              <a:rPr lang="ja-JP" altLang="en-US" baseline="0"/>
              <a:t> </a:t>
            </a:r>
            <a:r>
              <a:rPr lang="en-US" altLang="ja-JP" baseline="0"/>
              <a:t>(1g</a:t>
            </a:r>
            <a:r>
              <a:rPr lang="ja-JP" altLang="en-US" baseline="0"/>
              <a:t> </a:t>
            </a:r>
            <a:r>
              <a:rPr lang="en-US" altLang="ja-JP" baseline="0"/>
              <a:t>excluded)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'aNA.pt0.33'!$F$119</c:f>
              <c:strCache>
                <c:ptCount val="1"/>
                <c:pt idx="0">
                  <c:v>xsk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'aNA.pt0.33'!$G$119:$S$119</c:f>
              <c:numCache>
                <c:formatCode>0.00</c:formatCode>
                <c:ptCount val="13"/>
                <c:pt idx="0">
                  <c:v>0.81754826490504184</c:v>
                </c:pt>
                <c:pt idx="1">
                  <c:v>0.72778375953010865</c:v>
                </c:pt>
                <c:pt idx="2">
                  <c:v>0.79549454928226415</c:v>
                </c:pt>
                <c:pt idx="3">
                  <c:v>0.76500492446913926</c:v>
                </c:pt>
                <c:pt idx="4">
                  <c:v>0.76921628377383733</c:v>
                </c:pt>
                <c:pt idx="5">
                  <c:v>0.71893561833036379</c:v>
                </c:pt>
                <c:pt idx="6">
                  <c:v>0.73096477372829272</c:v>
                </c:pt>
                <c:pt idx="7">
                  <c:v>0.74481658410414786</c:v>
                </c:pt>
                <c:pt idx="8">
                  <c:v>0.64803659340806108</c:v>
                </c:pt>
                <c:pt idx="9">
                  <c:v>0.68294956985285193</c:v>
                </c:pt>
                <c:pt idx="10">
                  <c:v>0.6626737137141655</c:v>
                </c:pt>
                <c:pt idx="11">
                  <c:v>0.60911541525761048</c:v>
                </c:pt>
                <c:pt idx="12">
                  <c:v>0.63193616595400526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4-744E-B056-3268730A806E}"/>
            </c:ext>
          </c:extLst>
        </c:ser>
        <c:ser>
          <c:idx val="2"/>
          <c:order val="1"/>
          <c:tx>
            <c:strRef>
              <c:f>'aNA.pt0.33'!$F$120</c:f>
              <c:strCache>
                <c:ptCount val="1"/>
                <c:pt idx="0">
                  <c:v>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'aNA.pt0.33'!$G$120:$S$120</c:f>
              <c:numCache>
                <c:formatCode>0.00</c:formatCode>
                <c:ptCount val="13"/>
                <c:pt idx="0">
                  <c:v>0.77494134399259984</c:v>
                </c:pt>
                <c:pt idx="1">
                  <c:v>0.66359544645164859</c:v>
                </c:pt>
                <c:pt idx="2">
                  <c:v>0.68694176016011321</c:v>
                </c:pt>
                <c:pt idx="3">
                  <c:v>0.68481103993269299</c:v>
                </c:pt>
                <c:pt idx="4">
                  <c:v>0.68649272767339253</c:v>
                </c:pt>
                <c:pt idx="5">
                  <c:v>0.64790003448958322</c:v>
                </c:pt>
                <c:pt idx="6">
                  <c:v>0.70904911060353382</c:v>
                </c:pt>
                <c:pt idx="7">
                  <c:v>0.70321288512693092</c:v>
                </c:pt>
                <c:pt idx="8">
                  <c:v>0.72537101256196668</c:v>
                </c:pt>
                <c:pt idx="9">
                  <c:v>0.62921698279501026</c:v>
                </c:pt>
                <c:pt idx="10">
                  <c:v>0.66195874644779029</c:v>
                </c:pt>
                <c:pt idx="11">
                  <c:v>0.71371217997849346</c:v>
                </c:pt>
                <c:pt idx="12">
                  <c:v>0.6344062315292246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F4-744E-B056-3268730A806E}"/>
            </c:ext>
          </c:extLst>
        </c:ser>
        <c:ser>
          <c:idx val="3"/>
          <c:order val="2"/>
          <c:tx>
            <c:strRef>
              <c:f>'aNA.pt0.33'!$F$121</c:f>
              <c:strCache>
                <c:ptCount val="1"/>
                <c:pt idx="0">
                  <c:v>norm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'aNA.pt0.33'!$G$121:$S$121</c:f>
              <c:numCache>
                <c:formatCode>0.00</c:formatCode>
                <c:ptCount val="13"/>
                <c:pt idx="0">
                  <c:v>0.77494134399259984</c:v>
                </c:pt>
                <c:pt idx="1">
                  <c:v>0.66359544645164859</c:v>
                </c:pt>
                <c:pt idx="2">
                  <c:v>0.68694176016011321</c:v>
                </c:pt>
                <c:pt idx="3">
                  <c:v>0.68481103993269299</c:v>
                </c:pt>
                <c:pt idx="4">
                  <c:v>0.68649272767339253</c:v>
                </c:pt>
                <c:pt idx="5">
                  <c:v>0.64790003448958322</c:v>
                </c:pt>
                <c:pt idx="6">
                  <c:v>0.70904911060353382</c:v>
                </c:pt>
                <c:pt idx="7">
                  <c:v>0.70321288512693092</c:v>
                </c:pt>
                <c:pt idx="8">
                  <c:v>0.72537101256196668</c:v>
                </c:pt>
                <c:pt idx="9">
                  <c:v>0.62921698279501026</c:v>
                </c:pt>
                <c:pt idx="10">
                  <c:v>0.66195874644779029</c:v>
                </c:pt>
                <c:pt idx="11">
                  <c:v>0.71371217997849346</c:v>
                </c:pt>
                <c:pt idx="12">
                  <c:v>0.6344062315292246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F4-744E-B056-3268730A8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5657120"/>
        <c:axId val="2105744544"/>
      </c:lineChart>
      <c:catAx>
        <c:axId val="151565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05744544"/>
        <c:crosses val="autoZero"/>
        <c:auto val="1"/>
        <c:lblAlgn val="ctr"/>
        <c:lblOffset val="100"/>
        <c:noMultiLvlLbl val="0"/>
      </c:catAx>
      <c:valAx>
        <c:axId val="21057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156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F-value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r>
              <a:rPr lang="ja-JP" altLang="en-US" baseline="0"/>
              <a:t> </a:t>
            </a:r>
            <a:r>
              <a:rPr lang="en-US" altLang="ja-JP" baseline="0"/>
              <a:t>by</a:t>
            </a:r>
            <a:r>
              <a:rPr lang="ja-JP" altLang="en-US" baseline="0"/>
              <a:t> </a:t>
            </a:r>
            <a:r>
              <a:rPr lang="en-US" altLang="ja-JP" baseline="0"/>
              <a:t>languages</a:t>
            </a:r>
            <a:r>
              <a:rPr lang="ja-JP" altLang="en-US" baseline="0"/>
              <a:t> </a:t>
            </a:r>
            <a:r>
              <a:rPr lang="en-US" altLang="ja-JP" baseline="0"/>
              <a:t>along</a:t>
            </a:r>
            <a:r>
              <a:rPr lang="ja-JP" altLang="en-US" baseline="0"/>
              <a:t> </a:t>
            </a:r>
            <a:r>
              <a:rPr lang="en-US" altLang="ja-JP" baseline="0"/>
              <a:t>n_topics</a:t>
            </a:r>
            <a:r>
              <a:rPr lang="ja-JP" altLang="en-US" baseline="0"/>
              <a:t> </a:t>
            </a:r>
            <a:r>
              <a:rPr lang="en-US" altLang="ja-JP" baseline="0"/>
              <a:t>(s2,</a:t>
            </a:r>
            <a:r>
              <a:rPr lang="ja-JP" altLang="en-US" baseline="0"/>
              <a:t> </a:t>
            </a:r>
            <a:r>
              <a:rPr lang="en-US" altLang="ja-JP" baseline="0"/>
              <a:t>pt</a:t>
            </a:r>
            <a:r>
              <a:rPr lang="ja-JP" altLang="en-US" baseline="0"/>
              <a:t> </a:t>
            </a:r>
            <a:r>
              <a:rPr lang="en-US" altLang="ja-JP" baseline="0"/>
              <a:t>=0.33;</a:t>
            </a:r>
            <a:r>
              <a:rPr lang="ja-JP" altLang="en-US" baseline="0"/>
              <a:t> </a:t>
            </a:r>
            <a:r>
              <a:rPr lang="en-US" altLang="ja-JP" baseline="0"/>
              <a:t>1g</a:t>
            </a:r>
            <a:r>
              <a:rPr lang="ja-JP" altLang="en-US" baseline="0"/>
              <a:t> </a:t>
            </a:r>
            <a:r>
              <a:rPr lang="en-US" altLang="ja-JP" baseline="0"/>
              <a:t>excluded)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'aNA.pt0.33'!$F$104</c:f>
              <c:strCache>
                <c:ptCount val="1"/>
                <c:pt idx="0">
                  <c:v>arabic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'aNA.pt0.33'!$G$104:$S$104</c:f>
              <c:numCache>
                <c:formatCode>0.00</c:formatCode>
                <c:ptCount val="13"/>
                <c:pt idx="0">
                  <c:v>0.99964537134066866</c:v>
                </c:pt>
                <c:pt idx="1">
                  <c:v>0.99929222968034226</c:v>
                </c:pt>
                <c:pt idx="2">
                  <c:v>0.99967065405396305</c:v>
                </c:pt>
                <c:pt idx="3">
                  <c:v>0.99963767259763869</c:v>
                </c:pt>
                <c:pt idx="4">
                  <c:v>1</c:v>
                </c:pt>
                <c:pt idx="5">
                  <c:v>0.99980506609283493</c:v>
                </c:pt>
                <c:pt idx="6">
                  <c:v>0.99962341434914281</c:v>
                </c:pt>
                <c:pt idx="7">
                  <c:v>0.9990789647314241</c:v>
                </c:pt>
                <c:pt idx="8">
                  <c:v>0.99862933952071009</c:v>
                </c:pt>
                <c:pt idx="9">
                  <c:v>0.99904198735870364</c:v>
                </c:pt>
                <c:pt idx="10">
                  <c:v>0.99918347575854904</c:v>
                </c:pt>
                <c:pt idx="11">
                  <c:v>0.99977658583626006</c:v>
                </c:pt>
                <c:pt idx="12">
                  <c:v>0.98375403480003731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70-1346-ADFB-B1A9B6FF66F3}"/>
            </c:ext>
          </c:extLst>
        </c:ser>
        <c:ser>
          <c:idx val="2"/>
          <c:order val="1"/>
          <c:tx>
            <c:strRef>
              <c:f>'aNA.pt0.33'!$F$105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'aNA.pt0.33'!$G$105:$S$105</c:f>
              <c:numCache>
                <c:formatCode>0.00</c:formatCode>
                <c:ptCount val="13"/>
                <c:pt idx="0">
                  <c:v>0.36473996763666822</c:v>
                </c:pt>
                <c:pt idx="1">
                  <c:v>0.26507030645365764</c:v>
                </c:pt>
                <c:pt idx="2">
                  <c:v>0.31481892197985034</c:v>
                </c:pt>
                <c:pt idx="3">
                  <c:v>0.29300322271887452</c:v>
                </c:pt>
                <c:pt idx="4">
                  <c:v>0.3323614310266082</c:v>
                </c:pt>
                <c:pt idx="5">
                  <c:v>0.21693552480615974</c:v>
                </c:pt>
                <c:pt idx="6">
                  <c:v>0.236945010892501</c:v>
                </c:pt>
                <c:pt idx="7">
                  <c:v>0.3731513870684135</c:v>
                </c:pt>
                <c:pt idx="8">
                  <c:v>0.13569459680996818</c:v>
                </c:pt>
                <c:pt idx="9">
                  <c:v>0.31046211307422783</c:v>
                </c:pt>
                <c:pt idx="10">
                  <c:v>0.1</c:v>
                </c:pt>
                <c:pt idx="11">
                  <c:v>0.23442278660004667</c:v>
                </c:pt>
                <c:pt idx="12">
                  <c:v>0.28057524382025217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70-1346-ADFB-B1A9B6FF66F3}"/>
            </c:ext>
          </c:extLst>
        </c:ser>
        <c:ser>
          <c:idx val="3"/>
          <c:order val="2"/>
          <c:tx>
            <c:strRef>
              <c:f>'aNA.pt0.33'!$F$106</c:f>
              <c:strCache>
                <c:ptCount val="1"/>
                <c:pt idx="0">
                  <c:v>french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'aNA.pt0.33'!$G$106:$S$106</c:f>
              <c:numCache>
                <c:formatCode>0.00</c:formatCode>
                <c:ptCount val="13"/>
                <c:pt idx="0">
                  <c:v>0.43660979054681115</c:v>
                </c:pt>
                <c:pt idx="1">
                  <c:v>0.32703557734979721</c:v>
                </c:pt>
                <c:pt idx="2">
                  <c:v>0.25492136897618584</c:v>
                </c:pt>
                <c:pt idx="3">
                  <c:v>0.3665635049416307</c:v>
                </c:pt>
                <c:pt idx="4">
                  <c:v>0.24089359988337869</c:v>
                </c:pt>
                <c:pt idx="5">
                  <c:v>0.20740446950777633</c:v>
                </c:pt>
                <c:pt idx="6">
                  <c:v>0.10533431518896917</c:v>
                </c:pt>
                <c:pt idx="7">
                  <c:v>0.20197536692551735</c:v>
                </c:pt>
                <c:pt idx="8">
                  <c:v>0.28495866806681719</c:v>
                </c:pt>
                <c:pt idx="9">
                  <c:v>0.31240349638314285</c:v>
                </c:pt>
                <c:pt idx="10">
                  <c:v>0.24554388403295482</c:v>
                </c:pt>
                <c:pt idx="11">
                  <c:v>0.18108461583143959</c:v>
                </c:pt>
                <c:pt idx="12">
                  <c:v>0.15991296838828184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70-1346-ADFB-B1A9B6FF66F3}"/>
            </c:ext>
          </c:extLst>
        </c:ser>
        <c:ser>
          <c:idx val="4"/>
          <c:order val="3"/>
          <c:tx>
            <c:strRef>
              <c:f>'aNA.pt0.33'!$F$107</c:f>
              <c:strCache>
                <c:ptCount val="1"/>
                <c:pt idx="0">
                  <c:v>finnish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'aNA.pt0.33'!$G$107:$S$107</c:f>
              <c:numCache>
                <c:formatCode>0.00</c:formatCode>
                <c:ptCount val="13"/>
                <c:pt idx="0">
                  <c:v>0.59715070218817157</c:v>
                </c:pt>
                <c:pt idx="1">
                  <c:v>0.70537580311747605</c:v>
                </c:pt>
                <c:pt idx="2">
                  <c:v>0.53756665435028161</c:v>
                </c:pt>
                <c:pt idx="3">
                  <c:v>0.58879637457892764</c:v>
                </c:pt>
                <c:pt idx="4">
                  <c:v>0.46505629949689542</c:v>
                </c:pt>
                <c:pt idx="5">
                  <c:v>0.37645241404278801</c:v>
                </c:pt>
                <c:pt idx="6">
                  <c:v>0.5336671412286178</c:v>
                </c:pt>
                <c:pt idx="7">
                  <c:v>0.53014640945437164</c:v>
                </c:pt>
                <c:pt idx="8">
                  <c:v>0.65804043511204469</c:v>
                </c:pt>
                <c:pt idx="9">
                  <c:v>0.50985404681595081</c:v>
                </c:pt>
                <c:pt idx="10">
                  <c:v>0.34559096517600052</c:v>
                </c:pt>
                <c:pt idx="11">
                  <c:v>0.41073431618517053</c:v>
                </c:pt>
                <c:pt idx="12">
                  <c:v>0.57846602719085805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70-1346-ADFB-B1A9B6FF66F3}"/>
            </c:ext>
          </c:extLst>
        </c:ser>
        <c:ser>
          <c:idx val="5"/>
          <c:order val="4"/>
          <c:tx>
            <c:strRef>
              <c:f>'aNA.pt0.33'!$F$108</c:f>
              <c:strCache>
                <c:ptCount val="1"/>
                <c:pt idx="0">
                  <c:v>german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'aNA.pt0.33'!$G$108:$S$108</c:f>
              <c:numCache>
                <c:formatCode>0.00</c:formatCode>
                <c:ptCount val="13"/>
                <c:pt idx="0">
                  <c:v>0.70453967578838628</c:v>
                </c:pt>
                <c:pt idx="1">
                  <c:v>0.50371460257584666</c:v>
                </c:pt>
                <c:pt idx="2">
                  <c:v>0.74726215950474961</c:v>
                </c:pt>
                <c:pt idx="3">
                  <c:v>0.68045599754682595</c:v>
                </c:pt>
                <c:pt idx="4">
                  <c:v>0.57953907447228648</c:v>
                </c:pt>
                <c:pt idx="5">
                  <c:v>0.76821866574391173</c:v>
                </c:pt>
                <c:pt idx="6">
                  <c:v>0.59906071283053153</c:v>
                </c:pt>
                <c:pt idx="7">
                  <c:v>0.69540733742024985</c:v>
                </c:pt>
                <c:pt idx="8">
                  <c:v>0.52999367834003919</c:v>
                </c:pt>
                <c:pt idx="9">
                  <c:v>0.53565282790982549</c:v>
                </c:pt>
                <c:pt idx="10">
                  <c:v>0.52530313006611695</c:v>
                </c:pt>
                <c:pt idx="11">
                  <c:v>0.36879922242325286</c:v>
                </c:pt>
                <c:pt idx="12">
                  <c:v>0.57612128535572171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70-1346-ADFB-B1A9B6FF66F3}"/>
            </c:ext>
          </c:extLst>
        </c:ser>
        <c:ser>
          <c:idx val="6"/>
          <c:order val="5"/>
          <c:tx>
            <c:strRef>
              <c:f>'aNA.pt0.33'!$F$109</c:f>
              <c:strCache>
                <c:ptCount val="1"/>
                <c:pt idx="0">
                  <c:v>greek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'aNA.pt0.33'!$G$109:$S$109</c:f>
              <c:numCache>
                <c:formatCode>0.00</c:formatCode>
                <c:ptCount val="13"/>
                <c:pt idx="0">
                  <c:v>1</c:v>
                </c:pt>
                <c:pt idx="1">
                  <c:v>0.99907707477750363</c:v>
                </c:pt>
                <c:pt idx="2">
                  <c:v>1</c:v>
                </c:pt>
                <c:pt idx="3">
                  <c:v>0.99988753876383729</c:v>
                </c:pt>
                <c:pt idx="4">
                  <c:v>0.9994541191937808</c:v>
                </c:pt>
                <c:pt idx="5">
                  <c:v>1</c:v>
                </c:pt>
                <c:pt idx="6">
                  <c:v>0.99152759420150849</c:v>
                </c:pt>
                <c:pt idx="7">
                  <c:v>0.9981048012750211</c:v>
                </c:pt>
                <c:pt idx="8">
                  <c:v>1</c:v>
                </c:pt>
                <c:pt idx="9">
                  <c:v>1</c:v>
                </c:pt>
                <c:pt idx="10">
                  <c:v>0.99964463397299219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70-1346-ADFB-B1A9B6FF66F3}"/>
            </c:ext>
          </c:extLst>
        </c:ser>
        <c:ser>
          <c:idx val="7"/>
          <c:order val="6"/>
          <c:tx>
            <c:strRef>
              <c:f>'aNA.pt0.33'!$F$110</c:f>
              <c:strCache>
                <c:ptCount val="1"/>
                <c:pt idx="0">
                  <c:v>hebrew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'aNA.pt0.33'!$G$110:$S$110</c:f>
              <c:numCache>
                <c:formatCode>0.00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0.99841633844401068</c:v>
                </c:pt>
                <c:pt idx="8">
                  <c:v>0.99857085667990264</c:v>
                </c:pt>
                <c:pt idx="9">
                  <c:v>0.99175498372753257</c:v>
                </c:pt>
                <c:pt idx="10">
                  <c:v>1</c:v>
                </c:pt>
                <c:pt idx="11">
                  <c:v>1</c:v>
                </c:pt>
                <c:pt idx="12">
                  <c:v>0.97305588141203592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70-1346-ADFB-B1A9B6FF66F3}"/>
            </c:ext>
          </c:extLst>
        </c:ser>
        <c:ser>
          <c:idx val="8"/>
          <c:order val="7"/>
          <c:tx>
            <c:strRef>
              <c:f>'aNA.pt0.33'!$F$111</c:f>
              <c:strCache>
                <c:ptCount val="1"/>
                <c:pt idx="0">
                  <c:v>icelandic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'aNA.pt0.33'!$G$111:$S$111</c:f>
              <c:numCache>
                <c:formatCode>0.00</c:formatCode>
                <c:ptCount val="13"/>
                <c:pt idx="0">
                  <c:v>0.84895804802315677</c:v>
                </c:pt>
                <c:pt idx="1">
                  <c:v>0.82162549526409834</c:v>
                </c:pt>
                <c:pt idx="2">
                  <c:v>0.63404668396089081</c:v>
                </c:pt>
                <c:pt idx="3">
                  <c:v>0.62986212055930979</c:v>
                </c:pt>
                <c:pt idx="4">
                  <c:v>0.61874160267775558</c:v>
                </c:pt>
                <c:pt idx="5">
                  <c:v>0.76325556650817439</c:v>
                </c:pt>
                <c:pt idx="6">
                  <c:v>0.68194211391668491</c:v>
                </c:pt>
                <c:pt idx="7">
                  <c:v>0.68319340721030108</c:v>
                </c:pt>
                <c:pt idx="8">
                  <c:v>0.75763916918481744</c:v>
                </c:pt>
                <c:pt idx="9">
                  <c:v>0.55865971105684031</c:v>
                </c:pt>
                <c:pt idx="10">
                  <c:v>0.63740063249750334</c:v>
                </c:pt>
                <c:pt idx="11">
                  <c:v>0.72582373477110262</c:v>
                </c:pt>
                <c:pt idx="12">
                  <c:v>0.65946419995871719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70-1346-ADFB-B1A9B6FF66F3}"/>
            </c:ext>
          </c:extLst>
        </c:ser>
        <c:ser>
          <c:idx val="9"/>
          <c:order val="8"/>
          <c:tx>
            <c:strRef>
              <c:f>'aNA.pt0.33'!$F$112</c:f>
              <c:strCache>
                <c:ptCount val="1"/>
                <c:pt idx="0">
                  <c:v>russian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'aNA.pt0.33'!$G$112:$S$112</c:f>
              <c:numCache>
                <c:formatCode>0.00</c:formatCode>
                <c:ptCount val="13"/>
                <c:pt idx="0">
                  <c:v>0.98679573204515325</c:v>
                </c:pt>
                <c:pt idx="1">
                  <c:v>0.99246623237351317</c:v>
                </c:pt>
                <c:pt idx="2">
                  <c:v>0.99035064834333608</c:v>
                </c:pt>
                <c:pt idx="3">
                  <c:v>0.98233456498657501</c:v>
                </c:pt>
                <c:pt idx="4">
                  <c:v>0.9879562380811171</c:v>
                </c:pt>
                <c:pt idx="5">
                  <c:v>0.97298414961665391</c:v>
                </c:pt>
                <c:pt idx="6">
                  <c:v>0.9871412804887022</c:v>
                </c:pt>
                <c:pt idx="7">
                  <c:v>0.99811821441306892</c:v>
                </c:pt>
                <c:pt idx="8">
                  <c:v>0.97250581604606257</c:v>
                </c:pt>
                <c:pt idx="9">
                  <c:v>0.98563146768239707</c:v>
                </c:pt>
                <c:pt idx="10">
                  <c:v>0.97320070531535474</c:v>
                </c:pt>
                <c:pt idx="11">
                  <c:v>0.96726432478908997</c:v>
                </c:pt>
                <c:pt idx="12">
                  <c:v>0.99045973957303801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170-1346-ADFB-B1A9B6FF66F3}"/>
            </c:ext>
          </c:extLst>
        </c:ser>
        <c:ser>
          <c:idx val="0"/>
          <c:order val="9"/>
          <c:tx>
            <c:strRef>
              <c:f>'aNA.pt0.33'!$F$113</c:f>
              <c:strCache>
                <c:ptCount val="1"/>
                <c:pt idx="0">
                  <c:v>spanish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'aNA.pt0.33'!$G$113:$S$113</c:f>
              <c:numCache>
                <c:formatCode>0.00</c:formatCode>
                <c:ptCount val="13"/>
                <c:pt idx="0">
                  <c:v>0.66288322067512451</c:v>
                </c:pt>
                <c:pt idx="1">
                  <c:v>0.51129843200437164</c:v>
                </c:pt>
                <c:pt idx="2">
                  <c:v>0.57832436679077692</c:v>
                </c:pt>
                <c:pt idx="3">
                  <c:v>0.62309505699847134</c:v>
                </c:pt>
                <c:pt idx="4">
                  <c:v>0.78452994734987147</c:v>
                </c:pt>
                <c:pt idx="5">
                  <c:v>0.44573304626602051</c:v>
                </c:pt>
                <c:pt idx="6">
                  <c:v>0.72619731584514469</c:v>
                </c:pt>
                <c:pt idx="7">
                  <c:v>0.68811328128716986</c:v>
                </c:pt>
                <c:pt idx="8">
                  <c:v>0.54542539612885288</c:v>
                </c:pt>
                <c:pt idx="9">
                  <c:v>0.37748912959011655</c:v>
                </c:pt>
                <c:pt idx="10">
                  <c:v>0.65110842404679947</c:v>
                </c:pt>
                <c:pt idx="11">
                  <c:v>0.56634405970246138</c:v>
                </c:pt>
                <c:pt idx="12">
                  <c:v>0.21710938843826386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06-094B-BA3A-D3A5622B9864}"/>
            </c:ext>
          </c:extLst>
        </c:ser>
        <c:ser>
          <c:idx val="11"/>
          <c:order val="10"/>
          <c:tx>
            <c:strRef>
              <c:f>'aNA.pt0.33'!$F$114</c:f>
              <c:strCache>
                <c:ptCount val="1"/>
                <c:pt idx="0">
                  <c:v>swahili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'aNA.pt0.33'!$G$114:$S$114</c:f>
              <c:numCache>
                <c:formatCode>0.00</c:formatCode>
                <c:ptCount val="13"/>
                <c:pt idx="0">
                  <c:v>0.6662164632287223</c:v>
                </c:pt>
                <c:pt idx="1">
                  <c:v>0.52035173207374308</c:v>
                </c:pt>
                <c:pt idx="2">
                  <c:v>0.65405914338078652</c:v>
                </c:pt>
                <c:pt idx="3">
                  <c:v>0.62816454531520649</c:v>
                </c:pt>
                <c:pt idx="4">
                  <c:v>0.49919899690585862</c:v>
                </c:pt>
                <c:pt idx="5">
                  <c:v>0.51911946086947658</c:v>
                </c:pt>
                <c:pt idx="6">
                  <c:v>0.54597918680094704</c:v>
                </c:pt>
                <c:pt idx="7">
                  <c:v>0.41676700030066671</c:v>
                </c:pt>
                <c:pt idx="8">
                  <c:v>0.32245762218527302</c:v>
                </c:pt>
                <c:pt idx="9">
                  <c:v>0.41647835524595483</c:v>
                </c:pt>
                <c:pt idx="10">
                  <c:v>0.52574788790260596</c:v>
                </c:pt>
                <c:pt idx="11">
                  <c:v>0.49547609198479076</c:v>
                </c:pt>
                <c:pt idx="12">
                  <c:v>0.57860728450357868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06-094B-BA3A-D3A5622B9864}"/>
            </c:ext>
          </c:extLst>
        </c:ser>
        <c:ser>
          <c:idx val="10"/>
          <c:order val="11"/>
          <c:tx>
            <c:strRef>
              <c:f>'aNA.pt0.33'!$F$115</c:f>
              <c:strCache>
                <c:ptCount val="1"/>
                <c:pt idx="0">
                  <c:v>turkish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'aNA.pt0.33'!$G$115:$S$115</c:f>
              <c:numCache>
                <c:formatCode>0.00</c:formatCode>
                <c:ptCount val="13"/>
                <c:pt idx="0">
                  <c:v>0.84710894201951226</c:v>
                </c:pt>
                <c:pt idx="1">
                  <c:v>0.79047337496094994</c:v>
                </c:pt>
                <c:pt idx="2">
                  <c:v>0.64493610307173732</c:v>
                </c:pt>
                <c:pt idx="3">
                  <c:v>0.71668771538368181</c:v>
                </c:pt>
                <c:pt idx="4">
                  <c:v>0.69775221622274453</c:v>
                </c:pt>
                <c:pt idx="5">
                  <c:v>0.45307349375247519</c:v>
                </c:pt>
                <c:pt idx="6">
                  <c:v>0.62032964062047491</c:v>
                </c:pt>
                <c:pt idx="7">
                  <c:v>0.850911677271185</c:v>
                </c:pt>
                <c:pt idx="8">
                  <c:v>0.6344293149821677</c:v>
                </c:pt>
                <c:pt idx="9">
                  <c:v>0.74908447140486578</c:v>
                </c:pt>
                <c:pt idx="10">
                  <c:v>0.65631754982976231</c:v>
                </c:pt>
                <c:pt idx="11">
                  <c:v>0.71658584663621028</c:v>
                </c:pt>
                <c:pt idx="12">
                  <c:v>0.47897843612069368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70-1346-ADFB-B1A9B6FF6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005344"/>
        <c:axId val="2135655616"/>
      </c:lineChart>
      <c:catAx>
        <c:axId val="213500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35655616"/>
        <c:crosses val="autoZero"/>
        <c:auto val="1"/>
        <c:lblAlgn val="ctr"/>
        <c:lblOffset val="100"/>
        <c:noMultiLvlLbl val="0"/>
      </c:catAx>
      <c:valAx>
        <c:axId val="21356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3500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895350</xdr:colOff>
      <xdr:row>114</xdr:row>
      <xdr:rowOff>342898</xdr:rowOff>
    </xdr:from>
    <xdr:to>
      <xdr:col>24</xdr:col>
      <xdr:colOff>897350</xdr:colOff>
      <xdr:row>123</xdr:row>
      <xdr:rowOff>153898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E0F10-1F44-87D6-9469-8DE2AB2D6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863600</xdr:colOff>
      <xdr:row>102</xdr:row>
      <xdr:rowOff>184147</xdr:rowOff>
    </xdr:from>
    <xdr:to>
      <xdr:col>25</xdr:col>
      <xdr:colOff>866100</xdr:colOff>
      <xdr:row>111</xdr:row>
      <xdr:rowOff>355147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937A4-89BF-0CEC-A1FB-25B756279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BF5C2-C562-4A4E-B95B-091D1721BBE3}" name="Table1" displayName="Table1" ref="A1:T85" totalsRowShown="0">
  <autoFilter ref="A1:T85" xr:uid="{CFFBF5C2-C562-4A4E-B95B-091D1721BBE3}"/>
  <tableColumns count="20">
    <tableColumn id="1" xr3:uid="{B965C989-233C-BA49-B251-382897A2BABE}" name="lang">
      <calculatedColumnFormula>_xlfn.LET(_xlpm.c,$F2,_xlfn.TEXTBEFORE(_xlpm.c,"-"))</calculatedColumnFormula>
    </tableColumn>
    <tableColumn id="13" xr3:uid="{F3AD09D6-DEE4-004B-9353-31CAC865BD48}" name="1g" dataDxfId="17">
      <calculatedColumnFormula>_xlfn.LET(_xlpm.c,_xlfn.SINGLE(Table1[condition]),IF(RIGHT(_xlpm.c,2)="1g",1,0))</calculatedColumnFormula>
    </tableColumn>
    <tableColumn id="18" xr3:uid="{6A766CD9-CC08-B048-BDB2-C5B6C8FBAC9E}" name="xsk" dataDxfId="16">
      <calculatedColumnFormula>_xlfn.LET(_xlpm.c,_xlfn.SINGLE(Table1[condition]),_xlpm.k,CONCATENATE("*","-xsk","*"),IF(COUNTIF(_xlpm.c,_xlpm.k)&gt;0,1,0))</calculatedColumnFormula>
    </tableColumn>
    <tableColumn id="19" xr3:uid="{70CABA00-98B5-654F-8AF7-EF28D5D5FFAE}" name="sk" dataDxfId="15">
      <calculatedColumnFormula>_xlfn.LET(_xlpm.c,_xlfn.SINGLE(Table1[condition]),_xlpm.k,CONCATENATE("*","-sk","*"),IF(COUNTIF(_xlpm.c,_xlpm.k)&gt;0,1,0))</calculatedColumnFormula>
    </tableColumn>
    <tableColumn id="20" xr3:uid="{1055BC00-75EE-C949-95C7-47A8186D731F}" name="norm" dataDxfId="14">
      <calculatedColumnFormula>IF(AND(Table1[[#This Row],[xsk]]=1,Table1[[#This Row],[sk]]=1),0,1)</calculatedColumnFormula>
    </tableColumn>
    <tableColumn id="12" xr3:uid="{67CADDAA-63EE-5F45-989C-A240EB19AD7C}" name="condition"/>
    <tableColumn id="2" xr3:uid="{E49E0B59-37B0-284D-BE77-40B5319AB755}" name="3" dataDxfId="13"/>
    <tableColumn id="3" xr3:uid="{12F044D8-6B04-8146-9059-0DD6BE8C153F}" name="4" dataDxfId="12"/>
    <tableColumn id="4" xr3:uid="{28314014-34F8-EF4B-AF7B-FC88FF8A6DA9}" name="5" dataDxfId="11"/>
    <tableColumn id="5" xr3:uid="{0BD4A703-F893-784A-B65E-DB2D1E798103}" name="6" dataDxfId="10"/>
    <tableColumn id="6" xr3:uid="{50D9F421-0114-CF41-9767-B830E35DC34D}" name="7" dataDxfId="9"/>
    <tableColumn id="7" xr3:uid="{E0DD0445-0346-1E47-9A2C-83486C4A03C4}" name="8" dataDxfId="8"/>
    <tableColumn id="8" xr3:uid="{5556115A-B62B-C140-944D-BADBB061EBB5}" name="9" dataDxfId="7"/>
    <tableColumn id="9" xr3:uid="{1B92E407-F94E-544F-B76D-B160EB3BC0AB}" name="10" dataDxfId="6"/>
    <tableColumn id="15" xr3:uid="{CA9D90BA-009C-464D-BE92-0011909FDA2B}" name="11" dataDxfId="5"/>
    <tableColumn id="10" xr3:uid="{6871B4E2-64FC-EF4F-91D7-DFBFD9EFB3C2}" name="12" dataDxfId="4"/>
    <tableColumn id="16" xr3:uid="{940501F9-5D71-6942-A362-A269C3BC407F}" name="13" dataDxfId="3"/>
    <tableColumn id="17" xr3:uid="{50A93E03-F3FA-1141-B60E-E238694C2C39}" name="14" dataDxfId="2"/>
    <tableColumn id="11" xr3:uid="{059EBDD8-5269-D041-AFDD-56AB88BB8F27}" name="15" dataDxfId="1"/>
    <tableColumn id="14" xr3:uid="{C3D92A6B-91A7-7248-A813-2D0B01CBD1F8}" name="average" dataDxfId="0">
      <calculatedColumnFormula>_xlfn.LET(_xlpm.d,$G2:$S2,AVERAGE(_xlpm.d))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7F66-EE82-C44C-A791-091623582AC9}">
  <dimension ref="A1:T121"/>
  <sheetViews>
    <sheetView tabSelected="1" workbookViewId="0">
      <pane xSplit="9080" ySplit="3520" topLeftCell="L102" activePane="bottomRight"/>
      <selection activeCell="F2" sqref="F2:F85"/>
      <selection pane="topRight" activeCell="G2" sqref="G2:G85"/>
      <selection pane="bottomLeft" activeCell="A115" sqref="A115"/>
      <selection pane="bottomRight" activeCell="U105" sqref="U105"/>
    </sheetView>
  </sheetViews>
  <sheetFormatPr baseColWidth="10" defaultRowHeight="30" customHeight="1"/>
  <cols>
    <col min="1" max="1" width="9.25" customWidth="1"/>
    <col min="2" max="5" width="7.5" customWidth="1"/>
    <col min="6" max="6" width="14.25" customWidth="1"/>
    <col min="7" max="20" width="5.625" customWidth="1"/>
  </cols>
  <sheetData>
    <row r="1" spans="1:20" ht="30" customHeight="1">
      <c r="A1" t="s">
        <v>36</v>
      </c>
      <c r="B1" t="s">
        <v>43</v>
      </c>
      <c r="C1" t="s">
        <v>49</v>
      </c>
      <c r="D1" t="s">
        <v>50</v>
      </c>
      <c r="E1" t="s">
        <v>51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46</v>
      </c>
      <c r="P1" t="s">
        <v>9</v>
      </c>
      <c r="Q1" t="s">
        <v>47</v>
      </c>
      <c r="R1" t="s">
        <v>48</v>
      </c>
      <c r="S1" t="s">
        <v>10</v>
      </c>
      <c r="T1" t="s">
        <v>45</v>
      </c>
    </row>
    <row r="2" spans="1:20" ht="30" customHeight="1">
      <c r="A2" t="str">
        <f>_xlfn.LET(_xlpm.c,$F2,_xlfn.TEXTBEFORE(_xlpm.c,"-"))</f>
        <v>arabic</v>
      </c>
      <c r="B2">
        <f>_xlfn.LET(_xlpm.c,_xlfn.SINGLE(Table1[condition]),IF(RIGHT(_xlpm.c,2)="1g",1,0))</f>
        <v>1</v>
      </c>
      <c r="C2">
        <f>_xlfn.LET(_xlpm.c,_xlfn.SINGLE(Table1[condition]),_xlpm.k,CONCATENATE("*","-xsk","*"),IF(COUNTIF(_xlpm.c,_xlpm.k)&gt;0,1,0))</f>
        <v>0</v>
      </c>
      <c r="D2">
        <f>_xlfn.LET(_xlpm.c,_xlfn.SINGLE(Table1[condition]),_xlpm.k,CONCATENATE("*","-sk","*"),IF(COUNTIF(_xlpm.c,_xlpm.k)&gt;0,1,0))</f>
        <v>0</v>
      </c>
      <c r="E2">
        <f>IF(AND(Table1[[#This Row],[xsk]]=1,Table1[[#This Row],[sk]]=1),0,1)</f>
        <v>1</v>
      </c>
      <c r="F2" t="s">
        <v>11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f t="shared" ref="T2:T85" si="0">_xlfn.LET(_xlpm.d,$G2:$S2,AVERAGE(_xlpm.d))</f>
        <v>1</v>
      </c>
    </row>
    <row r="3" spans="1:20" ht="30" customHeight="1">
      <c r="A3" t="str">
        <f t="shared" ref="A3:A70" si="1">_xlfn.LET(_xlpm.c,$F3,_xlfn.TEXTBEFORE(_xlpm.c,"-"))</f>
        <v>arabic</v>
      </c>
      <c r="B3">
        <f>_xlfn.LET(_xlpm.c,_xlfn.SINGLE(Table1[condition]),IF(RIGHT(_xlpm.c,2)="1g",1,0))</f>
        <v>0</v>
      </c>
      <c r="C3">
        <f>_xlfn.LET(_xlpm.c,_xlfn.SINGLE(Table1[condition]),_xlpm.k,CONCATENATE("*","-xsk","*"),IF(COUNTIF(_xlpm.c,_xlpm.k)&gt;0,1,0))</f>
        <v>0</v>
      </c>
      <c r="D3">
        <f>_xlfn.LET(_xlpm.c,_xlfn.SINGLE(Table1[condition]),_xlpm.k,CONCATENATE("*","-sk","*"),IF(COUNTIF(_xlpm.c,_xlpm.k)&gt;0,1,0))</f>
        <v>0</v>
      </c>
      <c r="E3">
        <f>IF(AND(Table1[[#This Row],[xsk]]=1,Table1[[#This Row],[sk]]=1),0,1)</f>
        <v>1</v>
      </c>
      <c r="F3" t="s">
        <v>12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f t="shared" ref="T3:T70" si="2">_xlfn.LET(_xlpm.d,$G3:$S3,AVERAGE(_xlpm.d))</f>
        <v>1</v>
      </c>
    </row>
    <row r="4" spans="1:20" ht="30" customHeight="1">
      <c r="A4" t="str">
        <f t="shared" ref="A4:A39" si="3">_xlfn.LET(_xlpm.c,$F4,_xlfn.TEXTBEFORE(_xlpm.c,"-"))</f>
        <v>arabic</v>
      </c>
      <c r="B4">
        <f>_xlfn.LET(_xlpm.c,_xlfn.SINGLE(Table1[condition]),IF(RIGHT(_xlpm.c,2)="1g",1,0))</f>
        <v>0</v>
      </c>
      <c r="C4">
        <f>_xlfn.LET(_xlpm.c,_xlfn.SINGLE(Table1[condition]),_xlpm.k,CONCATENATE("*","-xsk","*"),IF(COUNTIF(_xlpm.c,_xlpm.k)&gt;0,1,0))</f>
        <v>0</v>
      </c>
      <c r="D4">
        <f>_xlfn.LET(_xlpm.c,_xlfn.SINGLE(Table1[condition]),_xlpm.k,CONCATENATE("*","-sk","*"),IF(COUNTIF(_xlpm.c,_xlpm.k)&gt;0,1,0))</f>
        <v>0</v>
      </c>
      <c r="E4">
        <f>IF(AND(Table1[[#This Row],[xsk]]=1,Table1[[#This Row],[sk]]=1),0,1)</f>
        <v>1</v>
      </c>
      <c r="F4" t="s">
        <v>13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f t="shared" ref="T4:T39" si="4">_xlfn.LET(_xlpm.d,$G4:$S4,AVERAGE(_xlpm.d))</f>
        <v>1</v>
      </c>
    </row>
    <row r="5" spans="1:20" ht="30" customHeight="1">
      <c r="A5" t="str">
        <f t="shared" si="3"/>
        <v>arabic</v>
      </c>
      <c r="B5">
        <f>_xlfn.LET(_xlpm.c,_xlfn.SINGLE(Table1[condition]),IF(RIGHT(_xlpm.c,2)="1g",1,0))</f>
        <v>0</v>
      </c>
      <c r="C5">
        <f>_xlfn.LET(_xlpm.c,_xlfn.SINGLE(Table1[condition]),_xlpm.k,CONCATENATE("*","-xsk","*"),IF(COUNTIF(_xlpm.c,_xlpm.k)&gt;0,1,0))</f>
        <v>0</v>
      </c>
      <c r="D5">
        <f>_xlfn.LET(_xlpm.c,_xlfn.SINGLE(Table1[condition]),_xlpm.k,CONCATENATE("*","-sk","*"),IF(COUNTIF(_xlpm.c,_xlpm.k)&gt;0,1,0))</f>
        <v>1</v>
      </c>
      <c r="E5">
        <f>IF(AND(Table1[[#This Row],[xsk]]=1,Table1[[#This Row],[sk]]=1),0,1)</f>
        <v>1</v>
      </c>
      <c r="F5" t="s">
        <v>14</v>
      </c>
      <c r="G5" s="1">
        <v>1</v>
      </c>
      <c r="H5" s="1">
        <v>0.99927272419531799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0.99865951501756001</v>
      </c>
      <c r="S5" s="1">
        <v>1</v>
      </c>
      <c r="T5" s="1">
        <f t="shared" si="4"/>
        <v>0.99984094147791369</v>
      </c>
    </row>
    <row r="6" spans="1:20" ht="30" customHeight="1">
      <c r="A6" t="str">
        <f t="shared" si="3"/>
        <v>arabic</v>
      </c>
      <c r="B6">
        <f>_xlfn.LET(_xlpm.c,_xlfn.SINGLE(Table1[condition]),IF(RIGHT(_xlpm.c,2)="1g",1,0))</f>
        <v>0</v>
      </c>
      <c r="C6">
        <f>_xlfn.LET(_xlpm.c,_xlfn.SINGLE(Table1[condition]),_xlpm.k,CONCATENATE("*","-xsk","*"),IF(COUNTIF(_xlpm.c,_xlpm.k)&gt;0,1,0))</f>
        <v>0</v>
      </c>
      <c r="D6">
        <f>_xlfn.LET(_xlpm.c,_xlfn.SINGLE(Table1[condition]),_xlpm.k,CONCATENATE("*","-sk","*"),IF(COUNTIF(_xlpm.c,_xlpm.k)&gt;0,1,0))</f>
        <v>1</v>
      </c>
      <c r="E6">
        <f>IF(AND(Table1[[#This Row],[xsk]]=1,Table1[[#This Row],[sk]]=1),0,1)</f>
        <v>1</v>
      </c>
      <c r="F6" t="s">
        <v>15</v>
      </c>
      <c r="G6" s="1">
        <v>1</v>
      </c>
      <c r="H6" s="1">
        <v>1</v>
      </c>
      <c r="I6" s="1">
        <v>0.99925093296718503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0.99411017369999599</v>
      </c>
      <c r="P6" s="1">
        <v>1</v>
      </c>
      <c r="Q6" s="1">
        <v>0.99883720144128396</v>
      </c>
      <c r="R6" s="1">
        <v>1</v>
      </c>
      <c r="S6" s="1">
        <v>1</v>
      </c>
      <c r="T6" s="1">
        <f t="shared" si="4"/>
        <v>0.99939986985449736</v>
      </c>
    </row>
    <row r="7" spans="1:20" ht="30" customHeight="1">
      <c r="A7" t="str">
        <f t="shared" si="3"/>
        <v>arabic</v>
      </c>
      <c r="B7">
        <f>_xlfn.LET(_xlpm.c,_xlfn.SINGLE(Table1[condition]),IF(RIGHT(_xlpm.c,2)="1g",1,0))</f>
        <v>0</v>
      </c>
      <c r="C7">
        <f>_xlfn.LET(_xlpm.c,_xlfn.SINGLE(Table1[condition]),_xlpm.k,CONCATENATE("*","-xsk","*"),IF(COUNTIF(_xlpm.c,_xlpm.k)&gt;0,1,0))</f>
        <v>1</v>
      </c>
      <c r="D7">
        <f>_xlfn.LET(_xlpm.c,_xlfn.SINGLE(Table1[condition]),_xlpm.k,CONCATENATE("*","-sk","*"),IF(COUNTIF(_xlpm.c,_xlpm.k)&gt;0,1,0))</f>
        <v>0</v>
      </c>
      <c r="E7">
        <f>IF(AND(Table1[[#This Row],[xsk]]=1,Table1[[#This Row],[sk]]=1),0,1)</f>
        <v>1</v>
      </c>
      <c r="F7" t="s">
        <v>52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0.99907918057804102</v>
      </c>
      <c r="N7" s="1">
        <v>1</v>
      </c>
      <c r="O7" s="1">
        <v>0.99895287039598901</v>
      </c>
      <c r="P7" s="1">
        <v>1</v>
      </c>
      <c r="Q7" s="1">
        <v>0.99733318161387696</v>
      </c>
      <c r="R7" s="1">
        <v>1</v>
      </c>
      <c r="S7" s="1">
        <v>0.90252420880022399</v>
      </c>
      <c r="T7" s="1">
        <f t="shared" si="4"/>
        <v>0.99214534164524093</v>
      </c>
    </row>
    <row r="8" spans="1:20" ht="30" customHeight="1">
      <c r="A8" t="str">
        <f t="shared" si="3"/>
        <v>arabic</v>
      </c>
      <c r="B8">
        <f>_xlfn.LET(_xlpm.c,_xlfn.SINGLE(Table1[condition]),IF(RIGHT(_xlpm.c,2)="1g",1,0))</f>
        <v>0</v>
      </c>
      <c r="C8">
        <f>_xlfn.LET(_xlpm.c,_xlfn.SINGLE(Table1[condition]),_xlpm.k,CONCATENATE("*","-xsk","*"),IF(COUNTIF(_xlpm.c,_xlpm.k)&gt;0,1,0))</f>
        <v>1</v>
      </c>
      <c r="D8">
        <f>_xlfn.LET(_xlpm.c,_xlfn.SINGLE(Table1[condition]),_xlpm.k,CONCATENATE("*","-sk","*"),IF(COUNTIF(_xlpm.c,_xlpm.k)&gt;0,1,0))</f>
        <v>0</v>
      </c>
      <c r="E8">
        <f>IF(AND(Table1[[#This Row],[xsk]]=1,Table1[[#This Row],[sk]]=1),0,1)</f>
        <v>1</v>
      </c>
      <c r="F8" t="s">
        <v>53</v>
      </c>
      <c r="G8" s="1">
        <v>0.99787222804401199</v>
      </c>
      <c r="H8" s="1">
        <v>0.99648065388673501</v>
      </c>
      <c r="I8" s="1">
        <v>0.99877299135659303</v>
      </c>
      <c r="J8" s="1">
        <v>0.99782603558583205</v>
      </c>
      <c r="K8" s="1">
        <v>1</v>
      </c>
      <c r="L8" s="1">
        <v>0.998830396557009</v>
      </c>
      <c r="M8" s="1">
        <v>0.99866130551681598</v>
      </c>
      <c r="N8" s="1">
        <v>0.99447378838854505</v>
      </c>
      <c r="O8" s="1">
        <v>0.99871299302827599</v>
      </c>
      <c r="P8" s="1">
        <v>0.99425192415222197</v>
      </c>
      <c r="Q8" s="1">
        <v>0.99893047149613301</v>
      </c>
      <c r="R8" s="1">
        <v>1</v>
      </c>
      <c r="S8" s="1">
        <v>1</v>
      </c>
      <c r="T8" s="1">
        <f t="shared" si="4"/>
        <v>0.99806252215478253</v>
      </c>
    </row>
    <row r="9" spans="1:20" ht="30" customHeight="1">
      <c r="A9" t="str">
        <f t="shared" si="3"/>
        <v>english</v>
      </c>
      <c r="B9">
        <f>_xlfn.LET(_xlpm.c,_xlfn.SINGLE(Table1[condition]),IF(RIGHT(_xlpm.c,2)="1g",1,0))</f>
        <v>1</v>
      </c>
      <c r="C9">
        <f>_xlfn.LET(_xlpm.c,_xlfn.SINGLE(Table1[condition]),_xlpm.k,CONCATENATE("*","-xsk","*"),IF(COUNTIF(_xlpm.c,_xlpm.k)&gt;0,1,0))</f>
        <v>0</v>
      </c>
      <c r="D9">
        <f>_xlfn.LET(_xlpm.c,_xlfn.SINGLE(Table1[condition]),_xlpm.k,CONCATENATE("*","-sk","*"),IF(COUNTIF(_xlpm.c,_xlpm.k)&gt;0,1,0))</f>
        <v>0</v>
      </c>
      <c r="E9">
        <f>IF(AND(Table1[[#This Row],[xsk]]=1,Table1[[#This Row],[sk]]=1),0,1)</f>
        <v>1</v>
      </c>
      <c r="F9" t="s">
        <v>16</v>
      </c>
      <c r="G9" s="1">
        <v>0.74301201541779305</v>
      </c>
      <c r="H9" s="1">
        <v>0.50669323362569096</v>
      </c>
      <c r="I9" s="1">
        <v>0.73559724662223602</v>
      </c>
      <c r="J9" s="1">
        <v>0.61226259285080298</v>
      </c>
      <c r="K9" s="1">
        <v>0.27071181423316598</v>
      </c>
      <c r="L9" s="1"/>
      <c r="M9" s="1">
        <v>0.40370657495653101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f t="shared" si="4"/>
        <v>0.27266528980885169</v>
      </c>
    </row>
    <row r="10" spans="1:20" ht="30" customHeight="1">
      <c r="A10" t="str">
        <f t="shared" si="3"/>
        <v>english</v>
      </c>
      <c r="B10">
        <f>_xlfn.LET(_xlpm.c,_xlfn.SINGLE(Table1[condition]),IF(RIGHT(_xlpm.c,2)="1g",1,0))</f>
        <v>0</v>
      </c>
      <c r="C10">
        <f>_xlfn.LET(_xlpm.c,_xlfn.SINGLE(Table1[condition]),_xlpm.k,CONCATENATE("*","-xsk","*"),IF(COUNTIF(_xlpm.c,_xlpm.k)&gt;0,1,0))</f>
        <v>0</v>
      </c>
      <c r="D10">
        <f>_xlfn.LET(_xlpm.c,_xlfn.SINGLE(Table1[condition]),_xlpm.k,CONCATENATE("*","-sk","*"),IF(COUNTIF(_xlpm.c,_xlpm.k)&gt;0,1,0))</f>
        <v>0</v>
      </c>
      <c r="E10">
        <f>IF(AND(Table1[[#This Row],[xsk]]=1,Table1[[#This Row],[sk]]=1),0,1)</f>
        <v>1</v>
      </c>
      <c r="F10" t="s">
        <v>17</v>
      </c>
      <c r="G10" s="1">
        <v>0</v>
      </c>
      <c r="H10" s="1">
        <v>0.30586210373828898</v>
      </c>
      <c r="I10" s="1">
        <v>0</v>
      </c>
      <c r="J10" s="1">
        <v>0</v>
      </c>
      <c r="K10" s="1">
        <v>0</v>
      </c>
      <c r="L10" s="1"/>
      <c r="M10" s="1">
        <v>0</v>
      </c>
      <c r="N10" s="1">
        <v>0.56345809338050601</v>
      </c>
      <c r="O10" s="1">
        <v>0</v>
      </c>
      <c r="P10" s="1">
        <v>0.58823529411764697</v>
      </c>
      <c r="Q10" s="1"/>
      <c r="R10" s="1">
        <v>0</v>
      </c>
      <c r="S10" s="1">
        <v>0</v>
      </c>
      <c r="T10" s="1">
        <f t="shared" si="4"/>
        <v>0.13250504465785837</v>
      </c>
    </row>
    <row r="11" spans="1:20" ht="30" customHeight="1">
      <c r="A11" t="str">
        <f t="shared" si="3"/>
        <v>english</v>
      </c>
      <c r="B11">
        <f>_xlfn.LET(_xlpm.c,_xlfn.SINGLE(Table1[condition]),IF(RIGHT(_xlpm.c,2)="1g",1,0))</f>
        <v>0</v>
      </c>
      <c r="C11">
        <f>_xlfn.LET(_xlpm.c,_xlfn.SINGLE(Table1[condition]),_xlpm.k,CONCATENATE("*","-xsk","*"),IF(COUNTIF(_xlpm.c,_xlpm.k)&gt;0,1,0))</f>
        <v>0</v>
      </c>
      <c r="D11">
        <f>_xlfn.LET(_xlpm.c,_xlfn.SINGLE(Table1[condition]),_xlpm.k,CONCATENATE("*","-sk","*"),IF(COUNTIF(_xlpm.c,_xlpm.k)&gt;0,1,0))</f>
        <v>0</v>
      </c>
      <c r="E11">
        <f>IF(AND(Table1[[#This Row],[xsk]]=1,Table1[[#This Row],[sk]]=1),0,1)</f>
        <v>1</v>
      </c>
      <c r="F11" t="s">
        <v>18</v>
      </c>
      <c r="G11" s="1">
        <v>0.50214780381958102</v>
      </c>
      <c r="H11" s="1">
        <v>0.39933314680924997</v>
      </c>
      <c r="I11" s="1">
        <v>0.45133709704332098</v>
      </c>
      <c r="J11" s="1">
        <v>0.46365223275469403</v>
      </c>
      <c r="K11" s="1"/>
      <c r="L11" s="1"/>
      <c r="M11" s="1">
        <v>0</v>
      </c>
      <c r="N11" s="1">
        <v>0.35911067723454199</v>
      </c>
      <c r="O11" s="1">
        <v>0.41775499851020198</v>
      </c>
      <c r="P11" s="1"/>
      <c r="Q11" s="1">
        <v>0</v>
      </c>
      <c r="R11" s="1">
        <v>0.56204900193247698</v>
      </c>
      <c r="S11" s="1">
        <v>0.57142857142857095</v>
      </c>
      <c r="T11" s="1">
        <f t="shared" si="4"/>
        <v>0.37268135295326382</v>
      </c>
    </row>
    <row r="12" spans="1:20" ht="30" customHeight="1">
      <c r="A12" t="str">
        <f t="shared" si="3"/>
        <v>english</v>
      </c>
      <c r="B12">
        <f>_xlfn.LET(_xlpm.c,_xlfn.SINGLE(Table1[condition]),IF(RIGHT(_xlpm.c,2)="1g",1,0))</f>
        <v>0</v>
      </c>
      <c r="C12">
        <f>_xlfn.LET(_xlpm.c,_xlfn.SINGLE(Table1[condition]),_xlpm.k,CONCATENATE("*","-xsk","*"),IF(COUNTIF(_xlpm.c,_xlpm.k)&gt;0,1,0))</f>
        <v>0</v>
      </c>
      <c r="D12">
        <f>_xlfn.LET(_xlpm.c,_xlfn.SINGLE(Table1[condition]),_xlpm.k,CONCATENATE("*","-sk","*"),IF(COUNTIF(_xlpm.c,_xlpm.k)&gt;0,1,0))</f>
        <v>1</v>
      </c>
      <c r="E12">
        <f>IF(AND(Table1[[#This Row],[xsk]]=1,Table1[[#This Row],[sk]]=1),0,1)</f>
        <v>1</v>
      </c>
      <c r="F12" t="s">
        <v>19</v>
      </c>
      <c r="G12" s="1">
        <v>0.40735615060851799</v>
      </c>
      <c r="H12" s="1">
        <v>0</v>
      </c>
      <c r="I12" s="1">
        <v>0.43658750808155899</v>
      </c>
      <c r="J12" s="1">
        <v>0.30923560675848899</v>
      </c>
      <c r="K12" s="1">
        <v>0.51428571428571401</v>
      </c>
      <c r="L12" s="1">
        <v>0</v>
      </c>
      <c r="M12" s="1"/>
      <c r="N12" s="1">
        <v>0.47066711871252698</v>
      </c>
      <c r="O12" s="1"/>
      <c r="P12" s="1">
        <v>0</v>
      </c>
      <c r="Q12" s="1">
        <v>0</v>
      </c>
      <c r="R12" s="1">
        <v>0.313346145605917</v>
      </c>
      <c r="S12" s="1">
        <v>0.47144196662610599</v>
      </c>
      <c r="T12" s="1">
        <f t="shared" si="4"/>
        <v>0.26572001915262083</v>
      </c>
    </row>
    <row r="13" spans="1:20" ht="30" customHeight="1">
      <c r="A13" t="str">
        <f t="shared" si="3"/>
        <v>english</v>
      </c>
      <c r="B13">
        <f>_xlfn.LET(_xlpm.c,_xlfn.SINGLE(Table1[condition]),IF(RIGHT(_xlpm.c,2)="1g",1,0))</f>
        <v>0</v>
      </c>
      <c r="C13">
        <f>_xlfn.LET(_xlpm.c,_xlfn.SINGLE(Table1[condition]),_xlpm.k,CONCATENATE("*","-xsk","*"),IF(COUNTIF(_xlpm.c,_xlpm.k)&gt;0,1,0))</f>
        <v>0</v>
      </c>
      <c r="D13">
        <f>_xlfn.LET(_xlpm.c,_xlfn.SINGLE(Table1[condition]),_xlpm.k,CONCATENATE("*","-sk","*"),IF(COUNTIF(_xlpm.c,_xlpm.k)&gt;0,1,0))</f>
        <v>1</v>
      </c>
      <c r="E13">
        <f>IF(AND(Table1[[#This Row],[xsk]]=1,Table1[[#This Row],[sk]]=1),0,1)</f>
        <v>1</v>
      </c>
      <c r="F13" t="s">
        <v>20</v>
      </c>
      <c r="G13" s="1">
        <v>0.474122842281544</v>
      </c>
      <c r="H13" s="1">
        <v>0.269687208794398</v>
      </c>
      <c r="I13" s="1">
        <v>0.42028376621286201</v>
      </c>
      <c r="J13" s="1">
        <v>0</v>
      </c>
      <c r="K13" s="1">
        <v>0.38470197399674799</v>
      </c>
      <c r="L13" s="1">
        <v>0</v>
      </c>
      <c r="M13" s="1">
        <v>0.435468490475866</v>
      </c>
      <c r="N13" s="1">
        <v>0</v>
      </c>
      <c r="O13" s="1">
        <v>0</v>
      </c>
      <c r="P13" s="1">
        <v>0.37528692925249202</v>
      </c>
      <c r="Q13" s="1">
        <v>0</v>
      </c>
      <c r="R13" s="1">
        <v>0</v>
      </c>
      <c r="S13" s="1">
        <v>0.32444146881879898</v>
      </c>
      <c r="T13" s="1">
        <f t="shared" si="4"/>
        <v>0.20646097537174682</v>
      </c>
    </row>
    <row r="14" spans="1:20" ht="30" customHeight="1">
      <c r="A14" t="str">
        <f t="shared" si="3"/>
        <v>english</v>
      </c>
      <c r="B14">
        <f>_xlfn.LET(_xlpm.c,_xlfn.SINGLE(Table1[condition]),IF(RIGHT(_xlpm.c,2)="1g",1,0))</f>
        <v>0</v>
      </c>
      <c r="C14">
        <f>_xlfn.LET(_xlpm.c,_xlfn.SINGLE(Table1[condition]),_xlpm.k,CONCATENATE("*","-xsk","*"),IF(COUNTIF(_xlpm.c,_xlpm.k)&gt;0,1,0))</f>
        <v>1</v>
      </c>
      <c r="D14">
        <f>_xlfn.LET(_xlpm.c,_xlfn.SINGLE(Table1[condition]),_xlpm.k,CONCATENATE("*","-sk","*"),IF(COUNTIF(_xlpm.c,_xlpm.k)&gt;0,1,0))</f>
        <v>0</v>
      </c>
      <c r="E14">
        <f>IF(AND(Table1[[#This Row],[xsk]]=1,Table1[[#This Row],[sk]]=1),0,1)</f>
        <v>1</v>
      </c>
      <c r="F14" t="s">
        <v>54</v>
      </c>
      <c r="G14" s="1">
        <v>0.41253205305110402</v>
      </c>
      <c r="H14" s="1">
        <v>0.61553937938000902</v>
      </c>
      <c r="I14" s="1">
        <v>0.393834557816993</v>
      </c>
      <c r="J14" s="1">
        <v>0.39138149680006401</v>
      </c>
      <c r="K14" s="1">
        <v>0.262422594599795</v>
      </c>
      <c r="L14" s="1">
        <v>0.48280306276541601</v>
      </c>
      <c r="M14" s="1">
        <v>0.453838550056264</v>
      </c>
      <c r="N14" s="1">
        <v>0.54237288135593198</v>
      </c>
      <c r="O14" s="1">
        <v>0</v>
      </c>
      <c r="P14" s="1">
        <v>0.58878834200100005</v>
      </c>
      <c r="Q14" s="1">
        <v>0.5</v>
      </c>
      <c r="R14" s="1">
        <v>0.30850507786975301</v>
      </c>
      <c r="S14" s="1">
        <v>0</v>
      </c>
      <c r="T14" s="1">
        <f t="shared" si="4"/>
        <v>0.38092446120740997</v>
      </c>
    </row>
    <row r="15" spans="1:20" ht="30" customHeight="1">
      <c r="A15" t="str">
        <f t="shared" si="3"/>
        <v>english</v>
      </c>
      <c r="B15">
        <f>_xlfn.LET(_xlpm.c,_xlfn.SINGLE(Table1[condition]),IF(RIGHT(_xlpm.c,2)="1g",1,0))</f>
        <v>0</v>
      </c>
      <c r="C15">
        <f>_xlfn.LET(_xlpm.c,_xlfn.SINGLE(Table1[condition]),_xlpm.k,CONCATENATE("*","-xsk","*"),IF(COUNTIF(_xlpm.c,_xlpm.k)&gt;0,1,0))</f>
        <v>1</v>
      </c>
      <c r="D15">
        <f>_xlfn.LET(_xlpm.c,_xlfn.SINGLE(Table1[condition]),_xlpm.k,CONCATENATE("*","-sk","*"),IF(COUNTIF(_xlpm.c,_xlpm.k)&gt;0,1,0))</f>
        <v>0</v>
      </c>
      <c r="E15">
        <f>IF(AND(Table1[[#This Row],[xsk]]=1,Table1[[#This Row],[sk]]=1),0,1)</f>
        <v>1</v>
      </c>
      <c r="F15" t="s">
        <v>55</v>
      </c>
      <c r="G15" s="1">
        <v>0.392280956059262</v>
      </c>
      <c r="H15" s="1">
        <v>0</v>
      </c>
      <c r="I15" s="1">
        <v>0.18687060272436701</v>
      </c>
      <c r="J15" s="1">
        <v>0.59375</v>
      </c>
      <c r="K15" s="1">
        <v>0.500396872250784</v>
      </c>
      <c r="L15" s="1">
        <v>0.38493903645922301</v>
      </c>
      <c r="M15" s="1">
        <v>0.29541801393037498</v>
      </c>
      <c r="N15" s="1">
        <v>0.30329955172697398</v>
      </c>
      <c r="O15" s="1">
        <v>0.26071798553963899</v>
      </c>
      <c r="P15" s="1">
        <v>0</v>
      </c>
      <c r="Q15" s="1">
        <v>0</v>
      </c>
      <c r="R15" s="1">
        <v>0.22263649419213299</v>
      </c>
      <c r="S15" s="1">
        <v>0.316139456048037</v>
      </c>
      <c r="T15" s="1">
        <f t="shared" si="4"/>
        <v>0.26588068991775332</v>
      </c>
    </row>
    <row r="16" spans="1:20" ht="30" customHeight="1">
      <c r="A16" t="str">
        <f t="shared" si="3"/>
        <v>french</v>
      </c>
      <c r="B16">
        <f>_xlfn.LET(_xlpm.c,_xlfn.SINGLE(Table1[condition]),IF(RIGHT(_xlpm.c,2)="1g",1,0))</f>
        <v>1</v>
      </c>
      <c r="C16">
        <f>_xlfn.LET(_xlpm.c,_xlfn.SINGLE(Table1[condition]),_xlpm.k,CONCATENATE("*","-xsk","*"),IF(COUNTIF(_xlpm.c,_xlpm.k)&gt;0,1,0))</f>
        <v>0</v>
      </c>
      <c r="D16">
        <f>_xlfn.LET(_xlpm.c,_xlfn.SINGLE(Table1[condition]),_xlpm.k,CONCATENATE("*","-sk","*"),IF(COUNTIF(_xlpm.c,_xlpm.k)&gt;0,1,0))</f>
        <v>0</v>
      </c>
      <c r="E16">
        <f>IF(AND(Table1[[#This Row],[xsk]]=1,Table1[[#This Row],[sk]]=1),0,1)</f>
        <v>1</v>
      </c>
      <c r="F16" t="s">
        <v>21</v>
      </c>
      <c r="G16" s="1">
        <v>0.733968609414135</v>
      </c>
      <c r="H16" s="1">
        <v>0.83796920638651295</v>
      </c>
      <c r="I16" s="1">
        <v>0.57665712698106597</v>
      </c>
      <c r="J16" s="1">
        <v>0</v>
      </c>
      <c r="K16" s="1">
        <v>0.51124492070901195</v>
      </c>
      <c r="L16" s="1">
        <v>0</v>
      </c>
      <c r="M16" s="1">
        <v>0</v>
      </c>
      <c r="N16" s="1">
        <v>0.30267402569837898</v>
      </c>
      <c r="O16" s="1">
        <v>0.47747617513306601</v>
      </c>
      <c r="P16" s="1">
        <v>0.31017823256075</v>
      </c>
      <c r="Q16" s="1">
        <v>0.229934874810267</v>
      </c>
      <c r="R16" s="1">
        <v>0.39108362371618099</v>
      </c>
      <c r="S16" s="1">
        <v>0.31858213839229998</v>
      </c>
      <c r="T16" s="1">
        <f t="shared" si="4"/>
        <v>0.36075145644628215</v>
      </c>
    </row>
    <row r="17" spans="1:20" ht="30" customHeight="1">
      <c r="A17" t="str">
        <f t="shared" si="3"/>
        <v>french</v>
      </c>
      <c r="B17">
        <f>_xlfn.LET(_xlpm.c,_xlfn.SINGLE(Table1[condition]),IF(RIGHT(_xlpm.c,2)="1g",1,0))</f>
        <v>0</v>
      </c>
      <c r="C17">
        <f>_xlfn.LET(_xlpm.c,_xlfn.SINGLE(Table1[condition]),_xlpm.k,CONCATENATE("*","-xsk","*"),IF(COUNTIF(_xlpm.c,_xlpm.k)&gt;0,1,0))</f>
        <v>0</v>
      </c>
      <c r="D17">
        <f>_xlfn.LET(_xlpm.c,_xlfn.SINGLE(Table1[condition]),_xlpm.k,CONCATENATE("*","-sk","*"),IF(COUNTIF(_xlpm.c,_xlpm.k)&gt;0,1,0))</f>
        <v>0</v>
      </c>
      <c r="E17">
        <f>IF(AND(Table1[[#This Row],[xsk]]=1,Table1[[#This Row],[sk]]=1),0,1)</f>
        <v>1</v>
      </c>
      <c r="F17" t="s">
        <v>22</v>
      </c>
      <c r="G17" s="1">
        <v>0.52713460299223003</v>
      </c>
      <c r="H17" s="1">
        <v>0.56535566709995699</v>
      </c>
      <c r="I17" s="1">
        <v>0</v>
      </c>
      <c r="J17" s="1">
        <v>0.47541924172710998</v>
      </c>
      <c r="K17" s="1">
        <v>0</v>
      </c>
      <c r="L17" s="1">
        <v>0</v>
      </c>
      <c r="M17" s="1">
        <v>0</v>
      </c>
      <c r="N17" s="1">
        <v>0</v>
      </c>
      <c r="O17" s="1">
        <v>0.34300066495442799</v>
      </c>
      <c r="P17" s="1">
        <v>0.6</v>
      </c>
      <c r="Q17" s="1">
        <v>0.220698164595617</v>
      </c>
      <c r="R17" s="1">
        <v>0</v>
      </c>
      <c r="S17" s="1">
        <v>0.30742336578310198</v>
      </c>
      <c r="T17" s="1">
        <f t="shared" si="4"/>
        <v>0.23377166978095726</v>
      </c>
    </row>
    <row r="18" spans="1:20" ht="30" customHeight="1">
      <c r="A18" t="str">
        <f t="shared" si="3"/>
        <v>french</v>
      </c>
      <c r="B18">
        <f>_xlfn.LET(_xlpm.c,_xlfn.SINGLE(Table1[condition]),IF(RIGHT(_xlpm.c,2)="1g",1,0))</f>
        <v>0</v>
      </c>
      <c r="C18">
        <f>_xlfn.LET(_xlpm.c,_xlfn.SINGLE(Table1[condition]),_xlpm.k,CONCATENATE("*","-xsk","*"),IF(COUNTIF(_xlpm.c,_xlpm.k)&gt;0,1,0))</f>
        <v>0</v>
      </c>
      <c r="D18">
        <f>_xlfn.LET(_xlpm.c,_xlfn.SINGLE(Table1[condition]),_xlpm.k,CONCATENATE("*","-sk","*"),IF(COUNTIF(_xlpm.c,_xlpm.k)&gt;0,1,0))</f>
        <v>0</v>
      </c>
      <c r="E18">
        <f>IF(AND(Table1[[#This Row],[xsk]]=1,Table1[[#This Row],[sk]]=1),0,1)</f>
        <v>1</v>
      </c>
      <c r="F18" t="s">
        <v>23</v>
      </c>
      <c r="G18" s="1">
        <v>0.37358281822579698</v>
      </c>
      <c r="H18" s="1">
        <v>0.405651724579494</v>
      </c>
      <c r="I18" s="1">
        <v>0</v>
      </c>
      <c r="J18" s="1">
        <v>0.40393323049437202</v>
      </c>
      <c r="K18" s="1">
        <v>0</v>
      </c>
      <c r="L18" s="1">
        <v>0</v>
      </c>
      <c r="M18" s="1">
        <v>0</v>
      </c>
      <c r="N18" s="1">
        <v>0.33876762434751001</v>
      </c>
      <c r="O18" s="1">
        <v>0.40827552373533199</v>
      </c>
      <c r="P18" s="1">
        <v>0.30972842955111701</v>
      </c>
      <c r="Q18" s="1">
        <v>0</v>
      </c>
      <c r="R18" s="1">
        <v>0</v>
      </c>
      <c r="S18" s="1">
        <v>0</v>
      </c>
      <c r="T18" s="1">
        <f t="shared" si="4"/>
        <v>0.172303026994894</v>
      </c>
    </row>
    <row r="19" spans="1:20" ht="30" customHeight="1">
      <c r="A19" t="str">
        <f t="shared" si="3"/>
        <v>french</v>
      </c>
      <c r="B19">
        <f>_xlfn.LET(_xlpm.c,_xlfn.SINGLE(Table1[condition]),IF(RIGHT(_xlpm.c,2)="1g",1,0))</f>
        <v>0</v>
      </c>
      <c r="C19">
        <f>_xlfn.LET(_xlpm.c,_xlfn.SINGLE(Table1[condition]),_xlpm.k,CONCATENATE("*","-xsk","*"),IF(COUNTIF(_xlpm.c,_xlpm.k)&gt;0,1,0))</f>
        <v>0</v>
      </c>
      <c r="D19">
        <f>_xlfn.LET(_xlpm.c,_xlfn.SINGLE(Table1[condition]),_xlpm.k,CONCATENATE("*","-sk","*"),IF(COUNTIF(_xlpm.c,_xlpm.k)&gt;0,1,0))</f>
        <v>1</v>
      </c>
      <c r="E19">
        <f>IF(AND(Table1[[#This Row],[xsk]]=1,Table1[[#This Row],[sk]]=1),0,1)</f>
        <v>1</v>
      </c>
      <c r="F19" t="s">
        <v>24</v>
      </c>
      <c r="G19" s="1">
        <v>0.39036469224046799</v>
      </c>
      <c r="H19" s="1">
        <v>0.50075859570538905</v>
      </c>
      <c r="I19" s="1">
        <v>0.27602513063837902</v>
      </c>
      <c r="J19" s="1">
        <v>0.31845450239179202</v>
      </c>
      <c r="K19" s="1">
        <v>0.35600093022492102</v>
      </c>
      <c r="L19" s="1">
        <v>0</v>
      </c>
      <c r="M19" s="1">
        <v>0</v>
      </c>
      <c r="N19" s="1">
        <v>0</v>
      </c>
      <c r="O19" s="1">
        <v>0</v>
      </c>
      <c r="P19" s="1">
        <v>0.282850434247365</v>
      </c>
      <c r="Q19" s="1">
        <v>0.40431666120792698</v>
      </c>
      <c r="R19" s="1"/>
      <c r="S19" s="1">
        <v>0</v>
      </c>
      <c r="T19" s="1">
        <f t="shared" si="4"/>
        <v>0.21073091222135343</v>
      </c>
    </row>
    <row r="20" spans="1:20" ht="30" customHeight="1">
      <c r="A20" t="str">
        <f t="shared" si="3"/>
        <v>french</v>
      </c>
      <c r="B20">
        <f>_xlfn.LET(_xlpm.c,_xlfn.SINGLE(Table1[condition]),IF(RIGHT(_xlpm.c,2)="1g",1,0))</f>
        <v>0</v>
      </c>
      <c r="C20">
        <f>_xlfn.LET(_xlpm.c,_xlfn.SINGLE(Table1[condition]),_xlpm.k,CONCATENATE("*","-xsk","*"),IF(COUNTIF(_xlpm.c,_xlpm.k)&gt;0,1,0))</f>
        <v>0</v>
      </c>
      <c r="D20">
        <f>_xlfn.LET(_xlpm.c,_xlfn.SINGLE(Table1[condition]),_xlpm.k,CONCATENATE("*","-sk","*"),IF(COUNTIF(_xlpm.c,_xlpm.k)&gt;0,1,0))</f>
        <v>1</v>
      </c>
      <c r="E20">
        <f>IF(AND(Table1[[#This Row],[xsk]]=1,Table1[[#This Row],[sk]]=1),0,1)</f>
        <v>1</v>
      </c>
      <c r="F20" t="s">
        <v>25</v>
      </c>
      <c r="G20" s="1">
        <v>0.42756763799656899</v>
      </c>
      <c r="H20" s="1">
        <v>0.49044747671394301</v>
      </c>
      <c r="I20" s="1">
        <v>0.45571789257385598</v>
      </c>
      <c r="J20" s="1">
        <v>0.31660803920518299</v>
      </c>
      <c r="K20" s="1">
        <v>0.28706944822541097</v>
      </c>
      <c r="L20" s="1">
        <v>0.381926640723732</v>
      </c>
      <c r="M20" s="1">
        <v>0</v>
      </c>
      <c r="N20" s="1">
        <v>0.53359875617391805</v>
      </c>
      <c r="O20" s="1">
        <v>0.40374091490468</v>
      </c>
      <c r="P20" s="1">
        <v>0.28821941988395</v>
      </c>
      <c r="Q20" s="1">
        <v>0.243949830581111</v>
      </c>
      <c r="R20" s="1">
        <v>0.42880257346403899</v>
      </c>
      <c r="S20" s="1">
        <v>0.41461783657874302</v>
      </c>
      <c r="T20" s="1">
        <f t="shared" si="4"/>
        <v>0.35940511284808735</v>
      </c>
    </row>
    <row r="21" spans="1:20" ht="30" customHeight="1">
      <c r="A21" t="str">
        <f t="shared" si="3"/>
        <v>french</v>
      </c>
      <c r="B21">
        <f>_xlfn.LET(_xlpm.c,_xlfn.SINGLE(Table1[condition]),IF(RIGHT(_xlpm.c,2)="1g",1,0))</f>
        <v>0</v>
      </c>
      <c r="C21">
        <f>_xlfn.LET(_xlpm.c,_xlfn.SINGLE(Table1[condition]),_xlpm.k,CONCATENATE("*","-xsk","*"),IF(COUNTIF(_xlpm.c,_xlpm.k)&gt;0,1,0))</f>
        <v>1</v>
      </c>
      <c r="D21">
        <f>_xlfn.LET(_xlpm.c,_xlfn.SINGLE(Table1[condition]),_xlpm.k,CONCATENATE("*","-sk","*"),IF(COUNTIF(_xlpm.c,_xlpm.k)&gt;0,1,0))</f>
        <v>0</v>
      </c>
      <c r="E21">
        <f>IF(AND(Table1[[#This Row],[xsk]]=1,Table1[[#This Row],[sk]]=1),0,1)</f>
        <v>1</v>
      </c>
      <c r="F21" t="s">
        <v>56</v>
      </c>
      <c r="G21" s="1">
        <v>0.46863766952291402</v>
      </c>
      <c r="H21" s="1">
        <v>0</v>
      </c>
      <c r="I21" s="1">
        <v>0.44874073051340102</v>
      </c>
      <c r="J21" s="1">
        <v>0.43943223517547197</v>
      </c>
      <c r="K21" s="1">
        <v>0.41141115337710199</v>
      </c>
      <c r="L21" s="1">
        <v>0.45234969552901999</v>
      </c>
      <c r="M21" s="1">
        <v>0.36259611207863102</v>
      </c>
      <c r="N21" s="1">
        <v>0</v>
      </c>
      <c r="O21" s="1"/>
      <c r="P21" s="1">
        <v>0</v>
      </c>
      <c r="Q21" s="1">
        <v>0.33636549179724601</v>
      </c>
      <c r="R21" s="1">
        <v>0</v>
      </c>
      <c r="S21" s="1">
        <v>0</v>
      </c>
      <c r="T21" s="1">
        <f t="shared" si="4"/>
        <v>0.24329442399948217</v>
      </c>
    </row>
    <row r="22" spans="1:20" ht="30" customHeight="1">
      <c r="A22" t="str">
        <f t="shared" si="3"/>
        <v>french</v>
      </c>
      <c r="B22">
        <f>_xlfn.LET(_xlpm.c,_xlfn.SINGLE(Table1[condition]),IF(RIGHT(_xlpm.c,2)="1g",1,0))</f>
        <v>0</v>
      </c>
      <c r="C22">
        <f>_xlfn.LET(_xlpm.c,_xlfn.SINGLE(Table1[condition]),_xlpm.k,CONCATENATE("*","-xsk","*"),IF(COUNTIF(_xlpm.c,_xlpm.k)&gt;0,1,0))</f>
        <v>1</v>
      </c>
      <c r="D22">
        <f>_xlfn.LET(_xlpm.c,_xlfn.SINGLE(Table1[condition]),_xlpm.k,CONCATENATE("*","-sk","*"),IF(COUNTIF(_xlpm.c,_xlpm.k)&gt;0,1,0))</f>
        <v>0</v>
      </c>
      <c r="E22">
        <f>IF(AND(Table1[[#This Row],[xsk]]=1,Table1[[#This Row],[sk]]=1),0,1)</f>
        <v>1</v>
      </c>
      <c r="F22" t="s">
        <v>57</v>
      </c>
      <c r="G22" s="1">
        <v>0.43237132230288899</v>
      </c>
      <c r="H22" s="1">
        <v>0</v>
      </c>
      <c r="I22" s="1">
        <v>0.349044460131479</v>
      </c>
      <c r="J22" s="1">
        <v>0.24553378065585499</v>
      </c>
      <c r="K22" s="1">
        <v>0.39088006747283799</v>
      </c>
      <c r="L22" s="1">
        <v>0.41015048079390598</v>
      </c>
      <c r="M22" s="1">
        <v>0.26940977905518398</v>
      </c>
      <c r="N22" s="1">
        <v>0.33948582103167602</v>
      </c>
      <c r="O22" s="1">
        <v>0.26977623673964601</v>
      </c>
      <c r="P22" s="1">
        <v>0.39362269461642502</v>
      </c>
      <c r="Q22" s="1">
        <v>0.26793315601582801</v>
      </c>
      <c r="R22" s="1">
        <v>0.476620505693159</v>
      </c>
      <c r="S22" s="1">
        <v>0.23743660796784599</v>
      </c>
      <c r="T22" s="1">
        <f t="shared" si="4"/>
        <v>0.31402037788282544</v>
      </c>
    </row>
    <row r="23" spans="1:20" ht="30" customHeight="1">
      <c r="A23" t="str">
        <f t="shared" si="3"/>
        <v>finnish</v>
      </c>
      <c r="B23">
        <f>_xlfn.LET(_xlpm.c,_xlfn.SINGLE(Table1[condition]),IF(RIGHT(_xlpm.c,2)="1g",1,0))</f>
        <v>1</v>
      </c>
      <c r="C23">
        <f>_xlfn.LET(_xlpm.c,_xlfn.SINGLE(Table1[condition]),_xlpm.k,CONCATENATE("*","-xsk","*"),IF(COUNTIF(_xlpm.c,_xlpm.k)&gt;0,1,0))</f>
        <v>0</v>
      </c>
      <c r="D23">
        <f>_xlfn.LET(_xlpm.c,_xlfn.SINGLE(Table1[condition]),_xlpm.k,CONCATENATE("*","-sk","*"),IF(COUNTIF(_xlpm.c,_xlpm.k)&gt;0,1,0))</f>
        <v>0</v>
      </c>
      <c r="E23">
        <f>IF(AND(Table1[[#This Row],[xsk]]=1,Table1[[#This Row],[sk]]=1),0,1)</f>
        <v>1</v>
      </c>
      <c r="F23" t="s">
        <v>58</v>
      </c>
      <c r="G23" s="1">
        <v>0.87397211162584498</v>
      </c>
      <c r="H23" s="1">
        <v>0.65179915196043203</v>
      </c>
      <c r="I23" s="1">
        <v>0.68157992153672897</v>
      </c>
      <c r="J23" s="1">
        <v>0.705054281908706</v>
      </c>
      <c r="K23" s="1">
        <v>0.74995899199953198</v>
      </c>
      <c r="L23" s="1">
        <v>0.51662736728437997</v>
      </c>
      <c r="M23" s="1">
        <v>0.52669706612636003</v>
      </c>
      <c r="N23" s="1">
        <v>0.52786404500041995</v>
      </c>
      <c r="O23" s="1">
        <v>0.35228869273464303</v>
      </c>
      <c r="P23" s="1">
        <v>0.463286262008482</v>
      </c>
      <c r="Q23" s="1">
        <v>0.52733261923081698</v>
      </c>
      <c r="R23" s="1">
        <v>0.49725266430930298</v>
      </c>
      <c r="S23" s="1">
        <v>0.45818499349960201</v>
      </c>
      <c r="T23" s="1">
        <f t="shared" si="4"/>
        <v>0.57937678224809619</v>
      </c>
    </row>
    <row r="24" spans="1:20" ht="30" customHeight="1">
      <c r="A24" t="str">
        <f t="shared" si="3"/>
        <v>finnish</v>
      </c>
      <c r="B24">
        <f>_xlfn.LET(_xlpm.c,_xlfn.SINGLE(Table1[condition]),IF(RIGHT(_xlpm.c,2)="1g",1,0))</f>
        <v>0</v>
      </c>
      <c r="C24">
        <f>_xlfn.LET(_xlpm.c,_xlfn.SINGLE(Table1[condition]),_xlpm.k,CONCATENATE("*","-xsk","*"),IF(COUNTIF(_xlpm.c,_xlpm.k)&gt;0,1,0))</f>
        <v>0</v>
      </c>
      <c r="D24">
        <f>_xlfn.LET(_xlpm.c,_xlfn.SINGLE(Table1[condition]),_xlpm.k,CONCATENATE("*","-sk","*"),IF(COUNTIF(_xlpm.c,_xlpm.k)&gt;0,1,0))</f>
        <v>0</v>
      </c>
      <c r="E24">
        <f>IF(AND(Table1[[#This Row],[xsk]]=1,Table1[[#This Row],[sk]]=1),0,1)</f>
        <v>1</v>
      </c>
      <c r="F24" t="s">
        <v>59</v>
      </c>
      <c r="G24" s="1">
        <v>0.51703856429581696</v>
      </c>
      <c r="H24" s="1">
        <v>0.66144919955891901</v>
      </c>
      <c r="I24" s="1">
        <v>0.70888906296521104</v>
      </c>
      <c r="J24" s="1">
        <v>0.581281501305704</v>
      </c>
      <c r="K24" s="1">
        <v>0.35737634882639702</v>
      </c>
      <c r="L24" s="1">
        <v>0</v>
      </c>
      <c r="M24" s="1">
        <v>0.26134258589005199</v>
      </c>
      <c r="N24" s="1">
        <v>0.31048015582692201</v>
      </c>
      <c r="O24" s="1">
        <v>0.34006141592331801</v>
      </c>
      <c r="P24" s="1">
        <v>0.48820133484803702</v>
      </c>
      <c r="Q24" s="1">
        <v>0</v>
      </c>
      <c r="R24" s="1">
        <v>0.36190043306230901</v>
      </c>
      <c r="S24" s="1">
        <v>0.36689092541363699</v>
      </c>
      <c r="T24" s="1">
        <f t="shared" si="4"/>
        <v>0.38114704060894794</v>
      </c>
    </row>
    <row r="25" spans="1:20" ht="30" customHeight="1">
      <c r="A25" t="str">
        <f t="shared" si="3"/>
        <v>finnish</v>
      </c>
      <c r="B25">
        <f>_xlfn.LET(_xlpm.c,_xlfn.SINGLE(Table1[condition]),IF(RIGHT(_xlpm.c,2)="1g",1,0))</f>
        <v>0</v>
      </c>
      <c r="C25">
        <f>_xlfn.LET(_xlpm.c,_xlfn.SINGLE(Table1[condition]),_xlpm.k,CONCATENATE("*","-xsk","*"),IF(COUNTIF(_xlpm.c,_xlpm.k)&gt;0,1,0))</f>
        <v>0</v>
      </c>
      <c r="D25">
        <f>_xlfn.LET(_xlpm.c,_xlfn.SINGLE(Table1[condition]),_xlpm.k,CONCATENATE("*","-sk","*"),IF(COUNTIF(_xlpm.c,_xlpm.k)&gt;0,1,0))</f>
        <v>0</v>
      </c>
      <c r="E25">
        <f>IF(AND(Table1[[#This Row],[xsk]]=1,Table1[[#This Row],[sk]]=1),0,1)</f>
        <v>1</v>
      </c>
      <c r="F25" t="s">
        <v>60</v>
      </c>
      <c r="G25" s="1">
        <v>0.50668568712332296</v>
      </c>
      <c r="H25" s="1">
        <v>0.66044913633119595</v>
      </c>
      <c r="I25" s="1">
        <v>0</v>
      </c>
      <c r="J25" s="1">
        <v>0.55310665818294802</v>
      </c>
      <c r="K25" s="1">
        <v>0.39632925846422801</v>
      </c>
      <c r="L25" s="1">
        <v>0</v>
      </c>
      <c r="M25" s="1">
        <v>0.54686520182131904</v>
      </c>
      <c r="N25" s="1">
        <v>0.48206144102736698</v>
      </c>
      <c r="O25" s="1">
        <v>0.481610596727441</v>
      </c>
      <c r="P25" s="1">
        <v>0.94623655913978399</v>
      </c>
      <c r="Q25" s="1">
        <v>0.36476640620419298</v>
      </c>
      <c r="R25" s="1">
        <v>0.36051587930414303</v>
      </c>
      <c r="S25" s="1">
        <v>0.47131488046028103</v>
      </c>
      <c r="T25" s="1">
        <f t="shared" si="4"/>
        <v>0.44384166959894028</v>
      </c>
    </row>
    <row r="26" spans="1:20" ht="30" customHeight="1">
      <c r="A26" t="str">
        <f t="shared" si="3"/>
        <v>finnish</v>
      </c>
      <c r="B26">
        <f>_xlfn.LET(_xlpm.c,_xlfn.SINGLE(Table1[condition]),IF(RIGHT(_xlpm.c,2)="1g",1,0))</f>
        <v>0</v>
      </c>
      <c r="C26">
        <f>_xlfn.LET(_xlpm.c,_xlfn.SINGLE(Table1[condition]),_xlpm.k,CONCATENATE("*","-xsk","*"),IF(COUNTIF(_xlpm.c,_xlpm.k)&gt;0,1,0))</f>
        <v>0</v>
      </c>
      <c r="D26">
        <f>_xlfn.LET(_xlpm.c,_xlfn.SINGLE(Table1[condition]),_xlpm.k,CONCATENATE("*","-sk","*"),IF(COUNTIF(_xlpm.c,_xlpm.k)&gt;0,1,0))</f>
        <v>1</v>
      </c>
      <c r="E26">
        <f>IF(AND(Table1[[#This Row],[xsk]]=1,Table1[[#This Row],[sk]]=1),0,1)</f>
        <v>1</v>
      </c>
      <c r="F26" t="s">
        <v>61</v>
      </c>
      <c r="G26" s="1">
        <v>0.62856587206395798</v>
      </c>
      <c r="H26" s="1">
        <v>0.66265677914547405</v>
      </c>
      <c r="I26" s="1">
        <v>0.59675271892535897</v>
      </c>
      <c r="J26" s="1">
        <v>0.54072094160031903</v>
      </c>
      <c r="K26" s="1">
        <v>0.33279333398657401</v>
      </c>
      <c r="L26" s="1">
        <v>0.698178720483701</v>
      </c>
      <c r="M26" s="1">
        <v>0.66555878514989497</v>
      </c>
      <c r="N26" s="1">
        <v>0.493088556390329</v>
      </c>
      <c r="O26" s="1">
        <v>0.9</v>
      </c>
      <c r="P26" s="1">
        <v>0.55535927488306502</v>
      </c>
      <c r="Q26" s="1">
        <v>0.41686056619130302</v>
      </c>
      <c r="R26" s="1"/>
      <c r="S26" s="1">
        <v>0.69516619536442004</v>
      </c>
      <c r="T26" s="1">
        <f t="shared" si="4"/>
        <v>0.59880847868203313</v>
      </c>
    </row>
    <row r="27" spans="1:20" ht="30" customHeight="1">
      <c r="A27" t="str">
        <f t="shared" si="3"/>
        <v>finnish</v>
      </c>
      <c r="B27">
        <f>_xlfn.LET(_xlpm.c,_xlfn.SINGLE(Table1[condition]),IF(RIGHT(_xlpm.c,2)="1g",1,0))</f>
        <v>0</v>
      </c>
      <c r="C27">
        <f>_xlfn.LET(_xlpm.c,_xlfn.SINGLE(Table1[condition]),_xlpm.k,CONCATENATE("*","-xsk","*"),IF(COUNTIF(_xlpm.c,_xlpm.k)&gt;0,1,0))</f>
        <v>0</v>
      </c>
      <c r="D27">
        <f>_xlfn.LET(_xlpm.c,_xlfn.SINGLE(Table1[condition]),_xlpm.k,CONCATENATE("*","-sk","*"),IF(COUNTIF(_xlpm.c,_xlpm.k)&gt;0,1,0))</f>
        <v>1</v>
      </c>
      <c r="E27">
        <f>IF(AND(Table1[[#This Row],[xsk]]=1,Table1[[#This Row],[sk]]=1),0,1)</f>
        <v>1</v>
      </c>
      <c r="F27" t="s">
        <v>62</v>
      </c>
      <c r="G27" s="1">
        <v>0.50255625227810496</v>
      </c>
      <c r="H27" s="1">
        <v>0.74564858948188795</v>
      </c>
      <c r="I27" s="1">
        <v>0.54766795670416801</v>
      </c>
      <c r="J27" s="1">
        <v>0.55068100964031597</v>
      </c>
      <c r="K27" s="1">
        <v>0.49768344499999601</v>
      </c>
      <c r="L27" s="1">
        <v>0.53195419828734603</v>
      </c>
      <c r="M27" s="1">
        <v>0.40476613595141497</v>
      </c>
      <c r="N27" s="1">
        <v>0.47896561625436102</v>
      </c>
      <c r="O27" s="1">
        <v>0.71383584393848398</v>
      </c>
      <c r="P27" s="1">
        <v>0.29082630056300501</v>
      </c>
      <c r="Q27" s="1">
        <v>0.50492103627641305</v>
      </c>
      <c r="R27" s="1">
        <v>0.32873407182034398</v>
      </c>
      <c r="S27" s="1">
        <v>0.70223483218352301</v>
      </c>
      <c r="T27" s="1">
        <f t="shared" si="4"/>
        <v>0.52311348372148947</v>
      </c>
    </row>
    <row r="28" spans="1:20" ht="30" customHeight="1">
      <c r="A28" t="str">
        <f t="shared" si="3"/>
        <v>finnish</v>
      </c>
      <c r="B28">
        <f>_xlfn.LET(_xlpm.c,_xlfn.SINGLE(Table1[condition]),IF(RIGHT(_xlpm.c,2)="1g",1,0))</f>
        <v>0</v>
      </c>
      <c r="C28">
        <f>_xlfn.LET(_xlpm.c,_xlfn.SINGLE(Table1[condition]),_xlpm.k,CONCATENATE("*","-xsk","*"),IF(COUNTIF(_xlpm.c,_xlpm.k)&gt;0,1,0))</f>
        <v>1</v>
      </c>
      <c r="D28">
        <f>_xlfn.LET(_xlpm.c,_xlfn.SINGLE(Table1[condition]),_xlpm.k,CONCATENATE("*","-sk","*"),IF(COUNTIF(_xlpm.c,_xlpm.k)&gt;0,1,0))</f>
        <v>0</v>
      </c>
      <c r="E28">
        <f>IF(AND(Table1[[#This Row],[xsk]]=1,Table1[[#This Row],[sk]]=1),0,1)</f>
        <v>1</v>
      </c>
      <c r="F28" t="s">
        <v>63</v>
      </c>
      <c r="G28" s="1">
        <v>0.73488710076380603</v>
      </c>
      <c r="H28" s="1">
        <v>0.85037870761793899</v>
      </c>
      <c r="I28" s="1">
        <v>0.69139484562028497</v>
      </c>
      <c r="J28" s="1">
        <v>0.65562991977820195</v>
      </c>
      <c r="K28" s="1">
        <v>0.46697071853399802</v>
      </c>
      <c r="L28" s="1">
        <v>0.48133396122998001</v>
      </c>
      <c r="M28" s="1">
        <v>0.62780686616961301</v>
      </c>
      <c r="N28" s="1">
        <v>0.78220633601172795</v>
      </c>
      <c r="O28" s="1">
        <v>0.95867768595041303</v>
      </c>
      <c r="P28" s="1">
        <v>0.36192443143323899</v>
      </c>
      <c r="Q28" s="1">
        <v>0.37392952051707401</v>
      </c>
      <c r="R28" s="1">
        <v>0.49377833720624997</v>
      </c>
      <c r="S28" s="1">
        <v>0.53509413107821902</v>
      </c>
      <c r="T28" s="1">
        <f t="shared" si="4"/>
        <v>0.61646250476236508</v>
      </c>
    </row>
    <row r="29" spans="1:20" ht="30" customHeight="1">
      <c r="A29" t="str">
        <f t="shared" si="3"/>
        <v>finnish</v>
      </c>
      <c r="B29">
        <f>_xlfn.LET(_xlpm.c,_xlfn.SINGLE(Table1[condition]),IF(RIGHT(_xlpm.c,2)="1g",1,0))</f>
        <v>0</v>
      </c>
      <c r="C29">
        <f>_xlfn.LET(_xlpm.c,_xlfn.SINGLE(Table1[condition]),_xlpm.k,CONCATENATE("*","-xsk","*"),IF(COUNTIF(_xlpm.c,_xlpm.k)&gt;0,1,0))</f>
        <v>1</v>
      </c>
      <c r="D29">
        <f>_xlfn.LET(_xlpm.c,_xlfn.SINGLE(Table1[condition]),_xlpm.k,CONCATENATE("*","-sk","*"),IF(COUNTIF(_xlpm.c,_xlpm.k)&gt;0,1,0))</f>
        <v>0</v>
      </c>
      <c r="E29">
        <f>IF(AND(Table1[[#This Row],[xsk]]=1,Table1[[#This Row],[sk]]=1),0,1)</f>
        <v>1</v>
      </c>
      <c r="F29" t="s">
        <v>64</v>
      </c>
      <c r="G29" s="1">
        <v>0.69317073660402095</v>
      </c>
      <c r="H29" s="1">
        <v>0.65167240656944003</v>
      </c>
      <c r="I29" s="1">
        <v>0.68069534188666603</v>
      </c>
      <c r="J29" s="1">
        <v>0.65135821696607699</v>
      </c>
      <c r="K29" s="1">
        <v>0.73918469217017901</v>
      </c>
      <c r="L29" s="1">
        <v>0.54724760425570096</v>
      </c>
      <c r="M29" s="1">
        <v>0.69566327238941295</v>
      </c>
      <c r="N29" s="1">
        <v>0.63407635121552297</v>
      </c>
      <c r="O29" s="1">
        <v>0.55405706813261202</v>
      </c>
      <c r="P29" s="1">
        <v>0.416576380028575</v>
      </c>
      <c r="Q29" s="1">
        <v>0.41306826186702</v>
      </c>
      <c r="R29" s="1">
        <v>0.50874285953280696</v>
      </c>
      <c r="S29" s="1">
        <v>0.70009519864506797</v>
      </c>
      <c r="T29" s="1">
        <f t="shared" si="4"/>
        <v>0.60658526078946928</v>
      </c>
    </row>
    <row r="30" spans="1:20" ht="30" customHeight="1">
      <c r="A30" t="str">
        <f t="shared" si="3"/>
        <v>german</v>
      </c>
      <c r="B30">
        <f>_xlfn.LET(_xlpm.c,_xlfn.SINGLE(Table1[condition]),IF(RIGHT(_xlpm.c,2)="1g",1,0))</f>
        <v>1</v>
      </c>
      <c r="C30">
        <f>_xlfn.LET(_xlpm.c,_xlfn.SINGLE(Table1[condition]),_xlpm.k,CONCATENATE("*","-xsk","*"),IF(COUNTIF(_xlpm.c,_xlpm.k)&gt;0,1,0))</f>
        <v>0</v>
      </c>
      <c r="D30">
        <f>_xlfn.LET(_xlpm.c,_xlfn.SINGLE(Table1[condition]),_xlpm.k,CONCATENATE("*","-sk","*"),IF(COUNTIF(_xlpm.c,_xlpm.k)&gt;0,1,0))</f>
        <v>0</v>
      </c>
      <c r="E30">
        <f>IF(AND(Table1[[#This Row],[xsk]]=1,Table1[[#This Row],[sk]]=1),0,1)</f>
        <v>1</v>
      </c>
      <c r="F30" t="s">
        <v>26</v>
      </c>
      <c r="G30" s="1">
        <v>0.91915245525214795</v>
      </c>
      <c r="H30" s="1">
        <v>0.80183818649905403</v>
      </c>
      <c r="I30" s="1">
        <v>1</v>
      </c>
      <c r="J30" s="1">
        <v>0.572478622709506</v>
      </c>
      <c r="K30" s="1">
        <v>1</v>
      </c>
      <c r="L30" s="1">
        <v>0.52456898382019101</v>
      </c>
      <c r="M30" s="1">
        <v>0</v>
      </c>
      <c r="N30" s="1">
        <v>0.41724351284495498</v>
      </c>
      <c r="O30" s="1">
        <v>0.49083461764588499</v>
      </c>
      <c r="P30" s="1">
        <v>1</v>
      </c>
      <c r="Q30" s="1">
        <v>0</v>
      </c>
      <c r="R30" s="1">
        <v>0.46828791393878499</v>
      </c>
      <c r="S30" s="1">
        <v>0</v>
      </c>
      <c r="T30" s="1">
        <f t="shared" si="4"/>
        <v>0.55341571482388641</v>
      </c>
    </row>
    <row r="31" spans="1:20" ht="30" customHeight="1">
      <c r="A31" t="str">
        <f t="shared" si="3"/>
        <v>german</v>
      </c>
      <c r="B31">
        <f>_xlfn.LET(_xlpm.c,_xlfn.SINGLE(Table1[condition]),IF(RIGHT(_xlpm.c,2)="1g",1,0))</f>
        <v>0</v>
      </c>
      <c r="C31">
        <f>_xlfn.LET(_xlpm.c,_xlfn.SINGLE(Table1[condition]),_xlpm.k,CONCATENATE("*","-xsk","*"),IF(COUNTIF(_xlpm.c,_xlpm.k)&gt;0,1,0))</f>
        <v>0</v>
      </c>
      <c r="D31">
        <f>_xlfn.LET(_xlpm.c,_xlfn.SINGLE(Table1[condition]),_xlpm.k,CONCATENATE("*","-sk","*"),IF(COUNTIF(_xlpm.c,_xlpm.k)&gt;0,1,0))</f>
        <v>0</v>
      </c>
      <c r="E31">
        <f>IF(AND(Table1[[#This Row],[xsk]]=1,Table1[[#This Row],[sk]]=1),0,1)</f>
        <v>1</v>
      </c>
      <c r="F31" t="s">
        <v>27</v>
      </c>
      <c r="G31" s="1">
        <v>0.57687758312778503</v>
      </c>
      <c r="H31" s="1">
        <v>0.51507392911680805</v>
      </c>
      <c r="I31" s="1">
        <v>0.35662088684846299</v>
      </c>
      <c r="J31" s="1">
        <v>0.27193334742611203</v>
      </c>
      <c r="K31" s="1">
        <v>0.36279053369034098</v>
      </c>
      <c r="L31" s="1">
        <v>0.74901548854381494</v>
      </c>
      <c r="M31" s="1">
        <v>0.47544043041824402</v>
      </c>
      <c r="N31" s="1">
        <v>0.53845794677071102</v>
      </c>
      <c r="O31" s="1">
        <v>0.46471936849488998</v>
      </c>
      <c r="P31" s="1">
        <v>0.468784275941731</v>
      </c>
      <c r="Q31" s="1"/>
      <c r="R31" s="1">
        <v>0.34853485641138698</v>
      </c>
      <c r="S31" s="1">
        <v>0.58808759986482395</v>
      </c>
      <c r="T31" s="1">
        <f t="shared" si="4"/>
        <v>0.47636135388792594</v>
      </c>
    </row>
    <row r="32" spans="1:20" ht="30" customHeight="1">
      <c r="A32" t="str">
        <f t="shared" si="3"/>
        <v>german</v>
      </c>
      <c r="B32">
        <f>_xlfn.LET(_xlpm.c,_xlfn.SINGLE(Table1[condition]),IF(RIGHT(_xlpm.c,2)="1g",1,0))</f>
        <v>0</v>
      </c>
      <c r="C32">
        <f>_xlfn.LET(_xlpm.c,_xlfn.SINGLE(Table1[condition]),_xlpm.k,CONCATENATE("*","-xsk","*"),IF(COUNTIF(_xlpm.c,_xlpm.k)&gt;0,1,0))</f>
        <v>0</v>
      </c>
      <c r="D32">
        <f>_xlfn.LET(_xlpm.c,_xlfn.SINGLE(Table1[condition]),_xlpm.k,CONCATENATE("*","-sk","*"),IF(COUNTIF(_xlpm.c,_xlpm.k)&gt;0,1,0))</f>
        <v>0</v>
      </c>
      <c r="E32">
        <f>IF(AND(Table1[[#This Row],[xsk]]=1,Table1[[#This Row],[sk]]=1),0,1)</f>
        <v>1</v>
      </c>
      <c r="F32" t="s">
        <v>28</v>
      </c>
      <c r="G32" s="1">
        <v>0.36380609936344599</v>
      </c>
      <c r="H32" s="1">
        <v>0.43988785447097301</v>
      </c>
      <c r="I32" s="1">
        <v>1</v>
      </c>
      <c r="J32" s="1">
        <v>0.81326640198067401</v>
      </c>
      <c r="K32" s="1">
        <v>0.28723206031584603</v>
      </c>
      <c r="L32" s="1">
        <v>0.78260869565217395</v>
      </c>
      <c r="M32" s="1">
        <v>0.77485177344558598</v>
      </c>
      <c r="N32" s="1">
        <v>0.29743051758664701</v>
      </c>
      <c r="O32" s="1">
        <v>0.48855819006121998</v>
      </c>
      <c r="P32" s="1">
        <v>0.43593400509465702</v>
      </c>
      <c r="Q32" s="1">
        <v>0.50806661517033203</v>
      </c>
      <c r="R32" s="1">
        <v>0.374861362829014</v>
      </c>
      <c r="S32" s="1">
        <v>0.53124480508847804</v>
      </c>
      <c r="T32" s="1">
        <f t="shared" si="4"/>
        <v>0.5459806446968497</v>
      </c>
    </row>
    <row r="33" spans="1:20" ht="30" customHeight="1">
      <c r="A33" t="str">
        <f t="shared" si="3"/>
        <v>german</v>
      </c>
      <c r="B33">
        <f>_xlfn.LET(_xlpm.c,_xlfn.SINGLE(Table1[condition]),IF(RIGHT(_xlpm.c,2)="1g",1,0))</f>
        <v>0</v>
      </c>
      <c r="C33">
        <f>_xlfn.LET(_xlpm.c,_xlfn.SINGLE(Table1[condition]),_xlpm.k,CONCATENATE("*","-xsk","*"),IF(COUNTIF(_xlpm.c,_xlpm.k)&gt;0,1,0))</f>
        <v>0</v>
      </c>
      <c r="D33">
        <f>_xlfn.LET(_xlpm.c,_xlfn.SINGLE(Table1[condition]),_xlpm.k,CONCATENATE("*","-sk","*"),IF(COUNTIF(_xlpm.c,_xlpm.k)&gt;0,1,0))</f>
        <v>1</v>
      </c>
      <c r="E33">
        <f>IF(AND(Table1[[#This Row],[xsk]]=1,Table1[[#This Row],[sk]]=1),0,1)</f>
        <v>1</v>
      </c>
      <c r="F33" t="s">
        <v>29</v>
      </c>
      <c r="G33" s="1">
        <v>0.95208969621990003</v>
      </c>
      <c r="H33" s="1">
        <v>0.54204073790921403</v>
      </c>
      <c r="I33" s="1">
        <v>0.66902343751899296</v>
      </c>
      <c r="J33" s="1">
        <v>0.53052112739670099</v>
      </c>
      <c r="K33" s="1">
        <v>0.44096933521162901</v>
      </c>
      <c r="L33" s="1">
        <v>1</v>
      </c>
      <c r="M33" s="1">
        <v>0.75959179422654199</v>
      </c>
      <c r="N33" s="1">
        <v>1</v>
      </c>
      <c r="O33" s="1">
        <v>0.79365650952991396</v>
      </c>
      <c r="P33" s="1">
        <v>1</v>
      </c>
      <c r="Q33" s="1">
        <v>0.36923348352513002</v>
      </c>
      <c r="R33" s="1">
        <v>0</v>
      </c>
      <c r="S33" s="1">
        <v>0.53460947685571103</v>
      </c>
      <c r="T33" s="1">
        <f t="shared" si="4"/>
        <v>0.66090273833797941</v>
      </c>
    </row>
    <row r="34" spans="1:20" ht="30" customHeight="1">
      <c r="A34" t="str">
        <f t="shared" si="3"/>
        <v>german</v>
      </c>
      <c r="B34">
        <f>_xlfn.LET(_xlpm.c,_xlfn.SINGLE(Table1[condition]),IF(RIGHT(_xlpm.c,2)="1g",1,0))</f>
        <v>0</v>
      </c>
      <c r="C34">
        <f>_xlfn.LET(_xlpm.c,_xlfn.SINGLE(Table1[condition]),_xlpm.k,CONCATENATE("*","-xsk","*"),IF(COUNTIF(_xlpm.c,_xlpm.k)&gt;0,1,0))</f>
        <v>0</v>
      </c>
      <c r="D34">
        <f>_xlfn.LET(_xlpm.c,_xlfn.SINGLE(Table1[condition]),_xlpm.k,CONCATENATE("*","-sk","*"),IF(COUNTIF(_xlpm.c,_xlpm.k)&gt;0,1,0))</f>
        <v>1</v>
      </c>
      <c r="E34">
        <f>IF(AND(Table1[[#This Row],[xsk]]=1,Table1[[#This Row],[sk]]=1),0,1)</f>
        <v>1</v>
      </c>
      <c r="F34" t="s">
        <v>30</v>
      </c>
      <c r="G34" s="1">
        <v>0.75767468591989895</v>
      </c>
      <c r="H34" s="1">
        <v>0.52528509395808498</v>
      </c>
      <c r="I34" s="1">
        <v>0.55745096957978302</v>
      </c>
      <c r="J34" s="1">
        <v>1</v>
      </c>
      <c r="K34" s="1">
        <v>0.57512147777710798</v>
      </c>
      <c r="L34" s="1">
        <v>1</v>
      </c>
      <c r="M34" s="1">
        <v>0.35608890604553201</v>
      </c>
      <c r="N34" s="1">
        <v>0.37829481706274298</v>
      </c>
      <c r="O34" s="1">
        <v>0.44499443206436401</v>
      </c>
      <c r="P34" s="1">
        <v>0.36322265418049898</v>
      </c>
      <c r="Q34" s="1">
        <v>0.23433066264301999</v>
      </c>
      <c r="R34" s="1">
        <v>0.28495760276843202</v>
      </c>
      <c r="S34" s="1">
        <v>0.46224007957801699</v>
      </c>
      <c r="T34" s="1">
        <f t="shared" si="4"/>
        <v>0.53382010627519094</v>
      </c>
    </row>
    <row r="35" spans="1:20" ht="30" customHeight="1">
      <c r="A35" t="str">
        <f t="shared" si="3"/>
        <v>german</v>
      </c>
      <c r="B35">
        <f>_xlfn.LET(_xlpm.c,_xlfn.SINGLE(Table1[condition]),IF(RIGHT(_xlpm.c,2)="1g",1,0))</f>
        <v>0</v>
      </c>
      <c r="C35">
        <f>_xlfn.LET(_xlpm.c,_xlfn.SINGLE(Table1[condition]),_xlpm.k,CONCATENATE("*","-xsk","*"),IF(COUNTIF(_xlpm.c,_xlpm.k)&gt;0,1,0))</f>
        <v>1</v>
      </c>
      <c r="D35">
        <f>_xlfn.LET(_xlpm.c,_xlfn.SINGLE(Table1[condition]),_xlpm.k,CONCATENATE("*","-sk","*"),IF(COUNTIF(_xlpm.c,_xlpm.k)&gt;0,1,0))</f>
        <v>0</v>
      </c>
      <c r="E35">
        <f>IF(AND(Table1[[#This Row],[xsk]]=1,Table1[[#This Row],[sk]]=1),0,1)</f>
        <v>1</v>
      </c>
      <c r="F35" t="s">
        <v>65</v>
      </c>
      <c r="G35" s="1">
        <v>0.82578650830799105</v>
      </c>
      <c r="H35" s="1">
        <v>1</v>
      </c>
      <c r="I35" s="1">
        <v>0.90047766308125898</v>
      </c>
      <c r="J35" s="1">
        <v>0.64912373467555196</v>
      </c>
      <c r="K35" s="1">
        <v>1</v>
      </c>
      <c r="L35" s="1">
        <v>0.55681818181818099</v>
      </c>
      <c r="M35" s="1">
        <v>0.696202531645569</v>
      </c>
      <c r="N35" s="1">
        <v>1</v>
      </c>
      <c r="O35" s="1"/>
      <c r="P35" s="1">
        <v>0.444320384949563</v>
      </c>
      <c r="Q35" s="1">
        <v>1</v>
      </c>
      <c r="R35" s="1">
        <v>0.74340916403065105</v>
      </c>
      <c r="S35" s="1">
        <v>1</v>
      </c>
      <c r="T35" s="1">
        <f t="shared" si="4"/>
        <v>0.81801151404239703</v>
      </c>
    </row>
    <row r="36" spans="1:20" ht="30" customHeight="1">
      <c r="A36" t="str">
        <f t="shared" si="3"/>
        <v>german</v>
      </c>
      <c r="B36">
        <f>_xlfn.LET(_xlpm.c,_xlfn.SINGLE(Table1[condition]),IF(RIGHT(_xlpm.c,2)="1g",1,0))</f>
        <v>0</v>
      </c>
      <c r="C36">
        <f>_xlfn.LET(_xlpm.c,_xlfn.SINGLE(Table1[condition]),_xlpm.k,CONCATENATE("*","-xsk","*"),IF(COUNTIF(_xlpm.c,_xlpm.k)&gt;0,1,0))</f>
        <v>1</v>
      </c>
      <c r="D36">
        <f>_xlfn.LET(_xlpm.c,_xlfn.SINGLE(Table1[condition]),_xlpm.k,CONCATENATE("*","-sk","*"),IF(COUNTIF(_xlpm.c,_xlpm.k)&gt;0,1,0))</f>
        <v>0</v>
      </c>
      <c r="E36">
        <f>IF(AND(Table1[[#This Row],[xsk]]=1,Table1[[#This Row],[sk]]=1),0,1)</f>
        <v>1</v>
      </c>
      <c r="F36" t="s">
        <v>66</v>
      </c>
      <c r="G36" s="1">
        <v>0.75100348179129695</v>
      </c>
      <c r="H36" s="1">
        <v>0</v>
      </c>
      <c r="I36" s="1">
        <v>1</v>
      </c>
      <c r="J36" s="1">
        <v>0.81789137380191701</v>
      </c>
      <c r="K36" s="1">
        <v>0.81112103983879502</v>
      </c>
      <c r="L36" s="1">
        <v>0.52086962844930096</v>
      </c>
      <c r="M36" s="1">
        <v>0.53218884120171595</v>
      </c>
      <c r="N36" s="1">
        <v>0.95826074310139797</v>
      </c>
      <c r="O36" s="1">
        <v>0.45803989154980801</v>
      </c>
      <c r="P36" s="1">
        <v>0.501655647292503</v>
      </c>
      <c r="Q36" s="1">
        <v>0.51488488899210305</v>
      </c>
      <c r="R36" s="1">
        <v>0.461032348500033</v>
      </c>
      <c r="S36" s="1">
        <v>0.34054575074729998</v>
      </c>
      <c r="T36" s="1">
        <f t="shared" si="4"/>
        <v>0.58980720271278231</v>
      </c>
    </row>
    <row r="37" spans="1:20" ht="30" customHeight="1">
      <c r="A37" t="str">
        <f t="shared" si="3"/>
        <v>greek</v>
      </c>
      <c r="B37">
        <f>_xlfn.LET(_xlpm.c,_xlfn.SINGLE(Table1[condition]),IF(RIGHT(_xlpm.c,2)="1g",1,0))</f>
        <v>1</v>
      </c>
      <c r="C37">
        <f>_xlfn.LET(_xlpm.c,_xlfn.SINGLE(Table1[condition]),_xlpm.k,CONCATENATE("*","-xsk","*"),IF(COUNTIF(_xlpm.c,_xlpm.k)&gt;0,1,0))</f>
        <v>0</v>
      </c>
      <c r="D37">
        <f>_xlfn.LET(_xlpm.c,_xlfn.SINGLE(Table1[condition]),_xlpm.k,CONCATENATE("*","-sk","*"),IF(COUNTIF(_xlpm.c,_xlpm.k)&gt;0,1,0))</f>
        <v>0</v>
      </c>
      <c r="E37">
        <f>IF(AND(Table1[[#This Row],[xsk]]=1,Table1[[#This Row],[sk]]=1),0,1)</f>
        <v>1</v>
      </c>
      <c r="F37" t="s">
        <v>67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f t="shared" si="4"/>
        <v>1</v>
      </c>
    </row>
    <row r="38" spans="1:20" ht="30" customHeight="1">
      <c r="A38" t="str">
        <f t="shared" si="3"/>
        <v>greek</v>
      </c>
      <c r="B38">
        <f>_xlfn.LET(_xlpm.c,_xlfn.SINGLE(Table1[condition]),IF(RIGHT(_xlpm.c,2)="1g",1,0))</f>
        <v>0</v>
      </c>
      <c r="C38">
        <f>_xlfn.LET(_xlpm.c,_xlfn.SINGLE(Table1[condition]),_xlpm.k,CONCATENATE("*","-xsk","*"),IF(COUNTIF(_xlpm.c,_xlpm.k)&gt;0,1,0))</f>
        <v>0</v>
      </c>
      <c r="D38">
        <f>_xlfn.LET(_xlpm.c,_xlfn.SINGLE(Table1[condition]),_xlpm.k,CONCATENATE("*","-sk","*"),IF(COUNTIF(_xlpm.c,_xlpm.k)&gt;0,1,0))</f>
        <v>0</v>
      </c>
      <c r="E38">
        <f>IF(AND(Table1[[#This Row],[xsk]]=1,Table1[[#This Row],[sk]]=1),0,1)</f>
        <v>1</v>
      </c>
      <c r="F38" t="s">
        <v>68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f t="shared" si="4"/>
        <v>1</v>
      </c>
    </row>
    <row r="39" spans="1:20" ht="30" customHeight="1">
      <c r="A39" t="str">
        <f t="shared" si="3"/>
        <v>greek</v>
      </c>
      <c r="B39">
        <f>_xlfn.LET(_xlpm.c,_xlfn.SINGLE(Table1[condition]),IF(RIGHT(_xlpm.c,2)="1g",1,0))</f>
        <v>0</v>
      </c>
      <c r="C39">
        <f>_xlfn.LET(_xlpm.c,_xlfn.SINGLE(Table1[condition]),_xlpm.k,CONCATENATE("*","-xsk","*"),IF(COUNTIF(_xlpm.c,_xlpm.k)&gt;0,1,0))</f>
        <v>0</v>
      </c>
      <c r="D39">
        <f>_xlfn.LET(_xlpm.c,_xlfn.SINGLE(Table1[condition]),_xlpm.k,CONCATENATE("*","-sk","*"),IF(COUNTIF(_xlpm.c,_xlpm.k)&gt;0,1,0))</f>
        <v>0</v>
      </c>
      <c r="E39">
        <f>IF(AND(Table1[[#This Row],[xsk]]=1,Table1[[#This Row],[sk]]=1),0,1)</f>
        <v>1</v>
      </c>
      <c r="F39" t="s">
        <v>69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f t="shared" si="4"/>
        <v>1</v>
      </c>
    </row>
    <row r="40" spans="1:20" ht="30" customHeight="1">
      <c r="A40" t="str">
        <f t="shared" si="1"/>
        <v>greek</v>
      </c>
      <c r="B40">
        <f>_xlfn.LET(_xlpm.c,_xlfn.SINGLE(Table1[condition]),IF(RIGHT(_xlpm.c,2)="1g",1,0))</f>
        <v>0</v>
      </c>
      <c r="C40">
        <f>_xlfn.LET(_xlpm.c,_xlfn.SINGLE(Table1[condition]),_xlpm.k,CONCATENATE("*","-xsk","*"),IF(COUNTIF(_xlpm.c,_xlpm.k)&gt;0,1,0))</f>
        <v>0</v>
      </c>
      <c r="D40">
        <f>_xlfn.LET(_xlpm.c,_xlfn.SINGLE(Table1[condition]),_xlpm.k,CONCATENATE("*","-sk","*"),IF(COUNTIF(_xlpm.c,_xlpm.k)&gt;0,1,0))</f>
        <v>1</v>
      </c>
      <c r="E40">
        <f>IF(AND(Table1[[#This Row],[xsk]]=1,Table1[[#This Row],[sk]]=1),0,1)</f>
        <v>1</v>
      </c>
      <c r="F40" t="s">
        <v>70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0.97008547008546997</v>
      </c>
      <c r="N40" s="1">
        <v>0.98989624020233402</v>
      </c>
      <c r="O40" s="1">
        <v>1</v>
      </c>
      <c r="P40" s="1">
        <v>1</v>
      </c>
      <c r="Q40" s="1">
        <v>0.99786780383795304</v>
      </c>
      <c r="R40" s="1">
        <v>1</v>
      </c>
      <c r="S40" s="1">
        <v>1</v>
      </c>
      <c r="T40" s="1">
        <f t="shared" si="2"/>
        <v>0.99675765493275059</v>
      </c>
    </row>
    <row r="41" spans="1:20" ht="30" customHeight="1">
      <c r="A41" t="str">
        <f t="shared" si="1"/>
        <v>greek</v>
      </c>
      <c r="B41">
        <f>_xlfn.LET(_xlpm.c,_xlfn.SINGLE(Table1[condition]),IF(RIGHT(_xlpm.c,2)="1g",1,0))</f>
        <v>0</v>
      </c>
      <c r="C41">
        <f>_xlfn.LET(_xlpm.c,_xlfn.SINGLE(Table1[condition]),_xlpm.k,CONCATENATE("*","-xsk","*"),IF(COUNTIF(_xlpm.c,_xlpm.k)&gt;0,1,0))</f>
        <v>0</v>
      </c>
      <c r="D41">
        <f>_xlfn.LET(_xlpm.c,_xlfn.SINGLE(Table1[condition]),_xlpm.k,CONCATENATE("*","-sk","*"),IF(COUNTIF(_xlpm.c,_xlpm.k)&gt;0,1,0))</f>
        <v>1</v>
      </c>
      <c r="E41">
        <f>IF(AND(Table1[[#This Row],[xsk]]=1,Table1[[#This Row],[sk]]=1),0,1)</f>
        <v>1</v>
      </c>
      <c r="F41" t="s">
        <v>71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f t="shared" si="2"/>
        <v>1</v>
      </c>
    </row>
    <row r="42" spans="1:20" ht="30" customHeight="1">
      <c r="A42" t="str">
        <f t="shared" si="1"/>
        <v>greek</v>
      </c>
      <c r="B42">
        <f>_xlfn.LET(_xlpm.c,_xlfn.SINGLE(Table1[condition]),IF(RIGHT(_xlpm.c,2)="1g",1,0))</f>
        <v>0</v>
      </c>
      <c r="C42">
        <f>_xlfn.LET(_xlpm.c,_xlfn.SINGLE(Table1[condition]),_xlpm.k,CONCATENATE("*","-xsk","*"),IF(COUNTIF(_xlpm.c,_xlpm.k)&gt;0,1,0))</f>
        <v>1</v>
      </c>
      <c r="D42">
        <f>_xlfn.LET(_xlpm.c,_xlfn.SINGLE(Table1[condition]),_xlpm.k,CONCATENATE("*","-sk","*"),IF(COUNTIF(_xlpm.c,_xlpm.k)&gt;0,1,0))</f>
        <v>0</v>
      </c>
      <c r="E42">
        <f>IF(AND(Table1[[#This Row],[xsk]]=1,Table1[[#This Row],[sk]]=1),0,1)</f>
        <v>1</v>
      </c>
      <c r="F42" t="s">
        <v>72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f t="shared" si="2"/>
        <v>1</v>
      </c>
    </row>
    <row r="43" spans="1:20" ht="30" customHeight="1">
      <c r="A43" t="str">
        <f t="shared" si="1"/>
        <v>greek</v>
      </c>
      <c r="B43">
        <f>_xlfn.LET(_xlpm.c,_xlfn.SINGLE(Table1[condition]),IF(RIGHT(_xlpm.c,2)="1g",1,0))</f>
        <v>0</v>
      </c>
      <c r="C43">
        <f>_xlfn.LET(_xlpm.c,_xlfn.SINGLE(Table1[condition]),_xlpm.k,CONCATENATE("*","-xsk","*"),IF(COUNTIF(_xlpm.c,_xlpm.k)&gt;0,1,0))</f>
        <v>1</v>
      </c>
      <c r="D43">
        <f>_xlfn.LET(_xlpm.c,_xlfn.SINGLE(Table1[condition]),_xlpm.k,CONCATENATE("*","-sk","*"),IF(COUNTIF(_xlpm.c,_xlpm.k)&gt;0,1,0))</f>
        <v>0</v>
      </c>
      <c r="E43">
        <f>IF(AND(Table1[[#This Row],[xsk]]=1,Table1[[#This Row],[sk]]=1),0,1)</f>
        <v>1</v>
      </c>
      <c r="F43" t="s">
        <v>73</v>
      </c>
      <c r="G43" s="1">
        <v>1</v>
      </c>
      <c r="H43" s="1">
        <v>0.99446244866502198</v>
      </c>
      <c r="I43" s="1">
        <v>1</v>
      </c>
      <c r="J43" s="1">
        <v>0.99932523258302397</v>
      </c>
      <c r="K43" s="1">
        <v>0.99672471516268502</v>
      </c>
      <c r="L43" s="1">
        <v>1</v>
      </c>
      <c r="M43" s="1">
        <v>0.97908009512358096</v>
      </c>
      <c r="N43" s="1">
        <v>0.99873256744779204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f t="shared" si="2"/>
        <v>0.99756346607554636</v>
      </c>
    </row>
    <row r="44" spans="1:20" ht="30" customHeight="1">
      <c r="A44" t="str">
        <f t="shared" si="1"/>
        <v>hebrew</v>
      </c>
      <c r="B44">
        <f>_xlfn.LET(_xlpm.c,_xlfn.SINGLE(Table1[condition]),IF(RIGHT(_xlpm.c,2)="1g",1,0))</f>
        <v>1</v>
      </c>
      <c r="C44">
        <f>_xlfn.LET(_xlpm.c,_xlfn.SINGLE(Table1[condition]),_xlpm.k,CONCATENATE("*","-xsk","*"),IF(COUNTIF(_xlpm.c,_xlpm.k)&gt;0,1,0))</f>
        <v>0</v>
      </c>
      <c r="D44">
        <f>_xlfn.LET(_xlpm.c,_xlfn.SINGLE(Table1[condition]),_xlpm.k,CONCATENATE("*","-sk","*"),IF(COUNTIF(_xlpm.c,_xlpm.k)&gt;0,1,0))</f>
        <v>0</v>
      </c>
      <c r="E44">
        <f>IF(AND(Table1[[#This Row],[xsk]]=1,Table1[[#This Row],[sk]]=1),0,1)</f>
        <v>1</v>
      </c>
      <c r="F44" t="s">
        <v>74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f t="shared" si="2"/>
        <v>1</v>
      </c>
    </row>
    <row r="45" spans="1:20" ht="30" customHeight="1">
      <c r="A45" t="str">
        <f t="shared" si="1"/>
        <v>hebrew</v>
      </c>
      <c r="B45">
        <f>_xlfn.LET(_xlpm.c,_xlfn.SINGLE(Table1[condition]),IF(RIGHT(_xlpm.c,2)="1g",1,0))</f>
        <v>0</v>
      </c>
      <c r="C45">
        <f>_xlfn.LET(_xlpm.c,_xlfn.SINGLE(Table1[condition]),_xlpm.k,CONCATENATE("*","-xsk","*"),IF(COUNTIF(_xlpm.c,_xlpm.k)&gt;0,1,0))</f>
        <v>0</v>
      </c>
      <c r="D45">
        <f>_xlfn.LET(_xlpm.c,_xlfn.SINGLE(Table1[condition]),_xlpm.k,CONCATENATE("*","-sk","*"),IF(COUNTIF(_xlpm.c,_xlpm.k)&gt;0,1,0))</f>
        <v>0</v>
      </c>
      <c r="E45">
        <f>IF(AND(Table1[[#This Row],[xsk]]=1,Table1[[#This Row],[sk]]=1),0,1)</f>
        <v>1</v>
      </c>
      <c r="F45" t="s">
        <v>75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0.99382087669409902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f t="shared" si="2"/>
        <v>0.99952468282262297</v>
      </c>
    </row>
    <row r="46" spans="1:20" ht="30" customHeight="1">
      <c r="A46" t="str">
        <f t="shared" si="1"/>
        <v>hebrew</v>
      </c>
      <c r="B46">
        <f>_xlfn.LET(_xlpm.c,_xlfn.SINGLE(Table1[condition]),IF(RIGHT(_xlpm.c,2)="1g",1,0))</f>
        <v>0</v>
      </c>
      <c r="C46">
        <f>_xlfn.LET(_xlpm.c,_xlfn.SINGLE(Table1[condition]),_xlpm.k,CONCATENATE("*","-xsk","*"),IF(COUNTIF(_xlpm.c,_xlpm.k)&gt;0,1,0))</f>
        <v>0</v>
      </c>
      <c r="D46">
        <f>_xlfn.LET(_xlpm.c,_xlfn.SINGLE(Table1[condition]),_xlpm.k,CONCATENATE("*","-sk","*"),IF(COUNTIF(_xlpm.c,_xlpm.k)&gt;0,1,0))</f>
        <v>0</v>
      </c>
      <c r="E46">
        <f>IF(AND(Table1[[#This Row],[xsk]]=1,Table1[[#This Row],[sk]]=1),0,1)</f>
        <v>1</v>
      </c>
      <c r="F46" t="s">
        <v>76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0.99667715396996504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f t="shared" si="2"/>
        <v>0.99974439645922808</v>
      </c>
    </row>
    <row r="47" spans="1:20" ht="30" customHeight="1">
      <c r="A47" t="str">
        <f t="shared" si="1"/>
        <v>hebrew</v>
      </c>
      <c r="B47">
        <f>_xlfn.LET(_xlpm.c,_xlfn.SINGLE(Table1[condition]),IF(RIGHT(_xlpm.c,2)="1g",1,0))</f>
        <v>0</v>
      </c>
      <c r="C47">
        <f>_xlfn.LET(_xlpm.c,_xlfn.SINGLE(Table1[condition]),_xlpm.k,CONCATENATE("*","-xsk","*"),IF(COUNTIF(_xlpm.c,_xlpm.k)&gt;0,1,0))</f>
        <v>0</v>
      </c>
      <c r="D47">
        <f>_xlfn.LET(_xlpm.c,_xlfn.SINGLE(Table1[condition]),_xlpm.k,CONCATENATE("*","-sk","*"),IF(COUNTIF(_xlpm.c,_xlpm.k)&gt;0,1,0))</f>
        <v>1</v>
      </c>
      <c r="E47">
        <f>IF(AND(Table1[[#This Row],[xsk]]=1,Table1[[#This Row],[sk]]=1),0,1)</f>
        <v>1</v>
      </c>
      <c r="F47" t="s">
        <v>77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0.95052990236519497</v>
      </c>
      <c r="Q47" s="1">
        <v>1</v>
      </c>
      <c r="R47" s="1">
        <v>1</v>
      </c>
      <c r="S47" s="1">
        <v>1</v>
      </c>
      <c r="T47" s="1">
        <f t="shared" si="2"/>
        <v>0.99619460787424585</v>
      </c>
    </row>
    <row r="48" spans="1:20" ht="30" customHeight="1">
      <c r="A48" t="str">
        <f t="shared" si="1"/>
        <v>hebrew</v>
      </c>
      <c r="B48">
        <f>_xlfn.LET(_xlpm.c,_xlfn.SINGLE(Table1[condition]),IF(RIGHT(_xlpm.c,2)="1g",1,0))</f>
        <v>0</v>
      </c>
      <c r="C48">
        <f>_xlfn.LET(_xlpm.c,_xlfn.SINGLE(Table1[condition]),_xlpm.k,CONCATENATE("*","-xsk","*"),IF(COUNTIF(_xlpm.c,_xlpm.k)&gt;0,1,0))</f>
        <v>0</v>
      </c>
      <c r="D48">
        <f>_xlfn.LET(_xlpm.c,_xlfn.SINGLE(Table1[condition]),_xlpm.k,CONCATENATE("*","-sk","*"),IF(COUNTIF(_xlpm.c,_xlpm.k)&gt;0,1,0))</f>
        <v>1</v>
      </c>
      <c r="E48">
        <f>IF(AND(Table1[[#This Row],[xsk]]=1,Table1[[#This Row],[sk]]=1),0,1)</f>
        <v>1</v>
      </c>
      <c r="F48" t="s">
        <v>78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0.99142514007941596</v>
      </c>
      <c r="P48" s="1">
        <v>1</v>
      </c>
      <c r="Q48" s="1">
        <v>1</v>
      </c>
      <c r="R48" s="1">
        <v>1</v>
      </c>
      <c r="S48" s="1">
        <v>0.83833528847221594</v>
      </c>
      <c r="T48" s="1">
        <f t="shared" si="2"/>
        <v>0.98690464835012548</v>
      </c>
    </row>
    <row r="49" spans="1:20" ht="30" customHeight="1">
      <c r="A49" t="str">
        <f t="shared" si="1"/>
        <v>hebrew</v>
      </c>
      <c r="B49">
        <f>_xlfn.LET(_xlpm.c,_xlfn.SINGLE(Table1[condition]),IF(RIGHT(_xlpm.c,2)="1g",1,0))</f>
        <v>0</v>
      </c>
      <c r="C49">
        <f>_xlfn.LET(_xlpm.c,_xlfn.SINGLE(Table1[condition]),_xlpm.k,CONCATENATE("*","-xsk","*"),IF(COUNTIF(_xlpm.c,_xlpm.k)&gt;0,1,0))</f>
        <v>1</v>
      </c>
      <c r="D49">
        <f>_xlfn.LET(_xlpm.c,_xlfn.SINGLE(Table1[condition]),_xlpm.k,CONCATENATE("*","-sk","*"),IF(COUNTIF(_xlpm.c,_xlpm.k)&gt;0,1,0))</f>
        <v>0</v>
      </c>
      <c r="E49">
        <f>IF(AND(Table1[[#This Row],[xsk]]=1,Table1[[#This Row],[sk]]=1),0,1)</f>
        <v>1</v>
      </c>
      <c r="F49" t="s">
        <v>79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f t="shared" si="2"/>
        <v>1</v>
      </c>
    </row>
    <row r="50" spans="1:20" ht="30" customHeight="1">
      <c r="A50" t="str">
        <f t="shared" si="1"/>
        <v>hebrew</v>
      </c>
      <c r="B50">
        <f>_xlfn.LET(_xlpm.c,_xlfn.SINGLE(Table1[condition]),IF(RIGHT(_xlpm.c,2)="1g",1,0))</f>
        <v>0</v>
      </c>
      <c r="C50">
        <f>_xlfn.LET(_xlpm.c,_xlfn.SINGLE(Table1[condition]),_xlpm.k,CONCATENATE("*","-xsk","*"),IF(COUNTIF(_xlpm.c,_xlpm.k)&gt;0,1,0))</f>
        <v>1</v>
      </c>
      <c r="D50">
        <f>_xlfn.LET(_xlpm.c,_xlfn.SINGLE(Table1[condition]),_xlpm.k,CONCATENATE("*","-sk","*"),IF(COUNTIF(_xlpm.c,_xlpm.k)&gt;0,1,0))</f>
        <v>0</v>
      </c>
      <c r="E50">
        <f>IF(AND(Table1[[#This Row],[xsk]]=1,Table1[[#This Row],[sk]]=1),0,1)</f>
        <v>1</v>
      </c>
      <c r="F50" t="s">
        <v>80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f t="shared" si="2"/>
        <v>1</v>
      </c>
    </row>
    <row r="51" spans="1:20" ht="30" customHeight="1">
      <c r="A51" t="str">
        <f t="shared" ref="A51:A64" si="5">_xlfn.LET(_xlpm.c,$F51,_xlfn.TEXTBEFORE(_xlpm.c,"-"))</f>
        <v>icelandic</v>
      </c>
      <c r="B51">
        <f>_xlfn.LET(_xlpm.c,_xlfn.SINGLE(Table1[condition]),IF(RIGHT(_xlpm.c,2)="1g",1,0))</f>
        <v>1</v>
      </c>
      <c r="C51">
        <f>_xlfn.LET(_xlpm.c,_xlfn.SINGLE(Table1[condition]),_xlpm.k,CONCATENATE("*","-xsk","*"),IF(COUNTIF(_xlpm.c,_xlpm.k)&gt;0,1,0))</f>
        <v>0</v>
      </c>
      <c r="D51">
        <f>_xlfn.LET(_xlpm.c,_xlfn.SINGLE(Table1[condition]),_xlpm.k,CONCATENATE("*","-sk","*"),IF(COUNTIF(_xlpm.c,_xlpm.k)&gt;0,1,0))</f>
        <v>0</v>
      </c>
      <c r="E51">
        <f>IF(AND(Table1[[#This Row],[xsk]]=1,Table1[[#This Row],[sk]]=1),0,1)</f>
        <v>1</v>
      </c>
      <c r="F51" t="s">
        <v>81</v>
      </c>
      <c r="G51" s="1">
        <v>0.84494375795000998</v>
      </c>
      <c r="H51" s="1">
        <v>1</v>
      </c>
      <c r="I51" s="1">
        <v>1</v>
      </c>
      <c r="J51" s="1">
        <v>0.52844225339754203</v>
      </c>
      <c r="K51" s="1">
        <v>0.89354390525167704</v>
      </c>
      <c r="L51" s="1">
        <v>0.390527834057943</v>
      </c>
      <c r="M51" s="1">
        <v>0.54894847885707898</v>
      </c>
      <c r="N51" s="1">
        <v>0.31492855867224601</v>
      </c>
      <c r="O51" s="1">
        <v>0.52490597447507703</v>
      </c>
      <c r="P51" s="1">
        <v>0.48397864105525101</v>
      </c>
      <c r="Q51" s="1">
        <v>0.58406940779087702</v>
      </c>
      <c r="R51" s="1">
        <v>0.55115582250269501</v>
      </c>
      <c r="S51" s="1">
        <v>0.49647329164376902</v>
      </c>
      <c r="T51" s="1">
        <f t="shared" ref="T51:T64" si="6">_xlfn.LET(_xlpm.d,$G51:$S51,AVERAGE(_xlpm.d))</f>
        <v>0.6278398404349359</v>
      </c>
    </row>
    <row r="52" spans="1:20" ht="30" customHeight="1">
      <c r="A52" t="str">
        <f t="shared" si="5"/>
        <v>icelandic</v>
      </c>
      <c r="B52">
        <f>_xlfn.LET(_xlpm.c,_xlfn.SINGLE(Table1[condition]),IF(RIGHT(_xlpm.c,2)="1g",1,0))</f>
        <v>0</v>
      </c>
      <c r="C52">
        <f>_xlfn.LET(_xlpm.c,_xlfn.SINGLE(Table1[condition]),_xlpm.k,CONCATENATE("*","-xsk","*"),IF(COUNTIF(_xlpm.c,_xlpm.k)&gt;0,1,0))</f>
        <v>0</v>
      </c>
      <c r="D52">
        <f>_xlfn.LET(_xlpm.c,_xlfn.SINGLE(Table1[condition]),_xlpm.k,CONCATENATE("*","-sk","*"),IF(COUNTIF(_xlpm.c,_xlpm.k)&gt;0,1,0))</f>
        <v>0</v>
      </c>
      <c r="E52">
        <f>IF(AND(Table1[[#This Row],[xsk]]=1,Table1[[#This Row],[sk]]=1),0,1)</f>
        <v>1</v>
      </c>
      <c r="F52" t="s">
        <v>82</v>
      </c>
      <c r="G52" s="1">
        <v>0.51673008282659405</v>
      </c>
      <c r="H52" s="1">
        <v>0.86639101532635199</v>
      </c>
      <c r="I52" s="1">
        <v>0.842329219213245</v>
      </c>
      <c r="J52" s="1">
        <v>0.38205268770693102</v>
      </c>
      <c r="K52" s="1">
        <v>0.54068241469816203</v>
      </c>
      <c r="L52" s="1">
        <v>0.50454583026495903</v>
      </c>
      <c r="M52" s="1">
        <v>0.29136471897990202</v>
      </c>
      <c r="N52" s="1">
        <v>1</v>
      </c>
      <c r="O52" s="1">
        <v>0.84465332947391603</v>
      </c>
      <c r="P52" s="1">
        <v>0</v>
      </c>
      <c r="Q52" s="1">
        <v>0</v>
      </c>
      <c r="R52" s="1">
        <v>0.39216149369336101</v>
      </c>
      <c r="S52" s="1">
        <v>0.741954662166738</v>
      </c>
      <c r="T52" s="1">
        <f t="shared" si="6"/>
        <v>0.53252811187308913</v>
      </c>
    </row>
    <row r="53" spans="1:20" ht="30" customHeight="1">
      <c r="A53" t="str">
        <f t="shared" si="5"/>
        <v>icelandic</v>
      </c>
      <c r="B53">
        <f>_xlfn.LET(_xlpm.c,_xlfn.SINGLE(Table1[condition]),IF(RIGHT(_xlpm.c,2)="1g",1,0))</f>
        <v>0</v>
      </c>
      <c r="C53">
        <f>_xlfn.LET(_xlpm.c,_xlfn.SINGLE(Table1[condition]),_xlpm.k,CONCATENATE("*","-xsk","*"),IF(COUNTIF(_xlpm.c,_xlpm.k)&gt;0,1,0))</f>
        <v>0</v>
      </c>
      <c r="D53">
        <f>_xlfn.LET(_xlpm.c,_xlfn.SINGLE(Table1[condition]),_xlpm.k,CONCATENATE("*","-sk","*"),IF(COUNTIF(_xlpm.c,_xlpm.k)&gt;0,1,0))</f>
        <v>0</v>
      </c>
      <c r="E53">
        <f>IF(AND(Table1[[#This Row],[xsk]]=1,Table1[[#This Row],[sk]]=1),0,1)</f>
        <v>1</v>
      </c>
      <c r="F53" t="s">
        <v>83</v>
      </c>
      <c r="G53" s="1">
        <v>1</v>
      </c>
      <c r="H53" s="1">
        <v>1</v>
      </c>
      <c r="I53" s="1">
        <v>0</v>
      </c>
      <c r="J53" s="1">
        <v>0.51750781502545795</v>
      </c>
      <c r="K53" s="1">
        <v>0.464101615137754</v>
      </c>
      <c r="L53" s="1"/>
      <c r="M53" s="1">
        <v>0.64888677868064903</v>
      </c>
      <c r="N53" s="1">
        <v>0.537781734555275</v>
      </c>
      <c r="O53" s="1">
        <v>0.70118168563498895</v>
      </c>
      <c r="P53" s="1">
        <v>0.46805191342453001</v>
      </c>
      <c r="Q53" s="1">
        <v>0.49242250247064201</v>
      </c>
      <c r="R53" s="1">
        <v>1</v>
      </c>
      <c r="S53" s="1">
        <v>0.743993839582068</v>
      </c>
      <c r="T53" s="1">
        <f t="shared" si="6"/>
        <v>0.6311606570426137</v>
      </c>
    </row>
    <row r="54" spans="1:20" ht="30" customHeight="1">
      <c r="A54" t="str">
        <f t="shared" si="5"/>
        <v>icelandic</v>
      </c>
      <c r="B54">
        <f>_xlfn.LET(_xlpm.c,_xlfn.SINGLE(Table1[condition]),IF(RIGHT(_xlpm.c,2)="1g",1,0))</f>
        <v>0</v>
      </c>
      <c r="C54">
        <f>_xlfn.LET(_xlpm.c,_xlfn.SINGLE(Table1[condition]),_xlpm.k,CONCATENATE("*","-xsk","*"),IF(COUNTIF(_xlpm.c,_xlpm.k)&gt;0,1,0))</f>
        <v>0</v>
      </c>
      <c r="D54">
        <f>_xlfn.LET(_xlpm.c,_xlfn.SINGLE(Table1[condition]),_xlpm.k,CONCATENATE("*","-sk","*"),IF(COUNTIF(_xlpm.c,_xlpm.k)&gt;0,1,0))</f>
        <v>1</v>
      </c>
      <c r="E54">
        <f>IF(AND(Table1[[#This Row],[xsk]]=1,Table1[[#This Row],[sk]]=1),0,1)</f>
        <v>1</v>
      </c>
      <c r="F54" t="s">
        <v>84</v>
      </c>
      <c r="G54" s="1">
        <v>0.57701820531234704</v>
      </c>
      <c r="H54" s="1">
        <v>0.57142857142857095</v>
      </c>
      <c r="I54" s="1">
        <v>0.48362732287950799</v>
      </c>
      <c r="J54" s="1">
        <v>1</v>
      </c>
      <c r="K54" s="1">
        <v>0.48253686317573802</v>
      </c>
      <c r="L54" s="1">
        <v>0.43251639140168502</v>
      </c>
      <c r="M54" s="1">
        <v>0.76396691483273604</v>
      </c>
      <c r="N54" s="1">
        <v>0.76036248160575304</v>
      </c>
      <c r="O54" s="1">
        <v>1</v>
      </c>
      <c r="P54" s="1">
        <v>0.36464705132437297</v>
      </c>
      <c r="Q54" s="1">
        <v>1</v>
      </c>
      <c r="R54" s="1">
        <v>0.86100174808611996</v>
      </c>
      <c r="S54" s="1">
        <v>0.48761617033479299</v>
      </c>
      <c r="T54" s="1">
        <f t="shared" si="6"/>
        <v>0.67574782464474026</v>
      </c>
    </row>
    <row r="55" spans="1:20" ht="30" customHeight="1">
      <c r="A55" t="str">
        <f t="shared" si="5"/>
        <v>icelandic</v>
      </c>
      <c r="B55">
        <f>_xlfn.LET(_xlpm.c,_xlfn.SINGLE(Table1[condition]),IF(RIGHT(_xlpm.c,2)="1g",1,0))</f>
        <v>0</v>
      </c>
      <c r="C55">
        <f>_xlfn.LET(_xlpm.c,_xlfn.SINGLE(Table1[condition]),_xlpm.k,CONCATENATE("*","-xsk","*"),IF(COUNTIF(_xlpm.c,_xlpm.k)&gt;0,1,0))</f>
        <v>0</v>
      </c>
      <c r="D55">
        <f>_xlfn.LET(_xlpm.c,_xlfn.SINGLE(Table1[condition]),_xlpm.k,CONCATENATE("*","-sk","*"),IF(COUNTIF(_xlpm.c,_xlpm.k)&gt;0,1,0))</f>
        <v>1</v>
      </c>
      <c r="E55">
        <f>IF(AND(Table1[[#This Row],[xsk]]=1,Table1[[#This Row],[sk]]=1),0,1)</f>
        <v>1</v>
      </c>
      <c r="F55" t="s">
        <v>85</v>
      </c>
      <c r="G55" s="1">
        <v>1</v>
      </c>
      <c r="H55" s="1">
        <v>0.49193338482966698</v>
      </c>
      <c r="I55" s="1">
        <v>0.604103994918049</v>
      </c>
      <c r="J55" s="1">
        <v>0.73205080756887697</v>
      </c>
      <c r="K55" s="1">
        <v>0.48999599679679601</v>
      </c>
      <c r="L55" s="1">
        <v>0.87921561087422795</v>
      </c>
      <c r="M55" s="1">
        <v>0.74282821454187897</v>
      </c>
      <c r="N55" s="1">
        <v>0.51154461283471497</v>
      </c>
      <c r="O55" s="1">
        <v>1</v>
      </c>
      <c r="P55" s="1">
        <v>0.51925930159213896</v>
      </c>
      <c r="Q55" s="1">
        <v>1</v>
      </c>
      <c r="R55" s="1">
        <v>1</v>
      </c>
      <c r="S55" s="1">
        <v>0.456217450289992</v>
      </c>
      <c r="T55" s="1">
        <f t="shared" si="6"/>
        <v>0.72516533648048787</v>
      </c>
    </row>
    <row r="56" spans="1:20" ht="30" customHeight="1">
      <c r="A56" t="str">
        <f t="shared" si="5"/>
        <v>icelandic</v>
      </c>
      <c r="B56">
        <f>_xlfn.LET(_xlpm.c,_xlfn.SINGLE(Table1[condition]),IF(RIGHT(_xlpm.c,2)="1g",1,0))</f>
        <v>0</v>
      </c>
      <c r="C56">
        <f>_xlfn.LET(_xlpm.c,_xlfn.SINGLE(Table1[condition]),_xlpm.k,CONCATENATE("*","-xsk","*"),IF(COUNTIF(_xlpm.c,_xlpm.k)&gt;0,1,0))</f>
        <v>1</v>
      </c>
      <c r="D56">
        <f>_xlfn.LET(_xlpm.c,_xlfn.SINGLE(Table1[condition]),_xlpm.k,CONCATENATE("*","-sk","*"),IF(COUNTIF(_xlpm.c,_xlpm.k)&gt;0,1,0))</f>
        <v>0</v>
      </c>
      <c r="E56">
        <f>IF(AND(Table1[[#This Row],[xsk]]=1,Table1[[#This Row],[sk]]=1),0,1)</f>
        <v>1</v>
      </c>
      <c r="F56" t="s">
        <v>86</v>
      </c>
      <c r="G56" s="1">
        <v>1</v>
      </c>
      <c r="H56" s="1">
        <v>1</v>
      </c>
      <c r="I56" s="1">
        <v>1</v>
      </c>
      <c r="J56" s="1">
        <v>0.62830211146245396</v>
      </c>
      <c r="K56" s="1">
        <v>1</v>
      </c>
      <c r="L56" s="1">
        <v>1</v>
      </c>
      <c r="M56" s="1">
        <v>0.64460605646494396</v>
      </c>
      <c r="N56" s="1">
        <v>0.834710743801652</v>
      </c>
      <c r="O56" s="1">
        <v>0</v>
      </c>
      <c r="P56" s="1">
        <v>1</v>
      </c>
      <c r="Q56" s="1">
        <v>0.78145695364238399</v>
      </c>
      <c r="R56" s="1">
        <v>0.76133095513419002</v>
      </c>
      <c r="S56" s="1">
        <v>0.71324667966969002</v>
      </c>
      <c r="T56" s="1">
        <f t="shared" si="6"/>
        <v>0.79720411539810088</v>
      </c>
    </row>
    <row r="57" spans="1:20" ht="30" customHeight="1">
      <c r="A57" t="str">
        <f t="shared" si="5"/>
        <v>icelandic</v>
      </c>
      <c r="B57">
        <f>_xlfn.LET(_xlpm.c,_xlfn.SINGLE(Table1[condition]),IF(RIGHT(_xlpm.c,2)="1g",1,0))</f>
        <v>0</v>
      </c>
      <c r="C57">
        <f>_xlfn.LET(_xlpm.c,_xlfn.SINGLE(Table1[condition]),_xlpm.k,CONCATENATE("*","-xsk","*"),IF(COUNTIF(_xlpm.c,_xlpm.k)&gt;0,1,0))</f>
        <v>1</v>
      </c>
      <c r="D57">
        <f>_xlfn.LET(_xlpm.c,_xlfn.SINGLE(Table1[condition]),_xlpm.k,CONCATENATE("*","-sk","*"),IF(COUNTIF(_xlpm.c,_xlpm.k)&gt;0,1,0))</f>
        <v>0</v>
      </c>
      <c r="E57">
        <f>IF(AND(Table1[[#This Row],[xsk]]=1,Table1[[#This Row],[sk]]=1),0,1)</f>
        <v>1</v>
      </c>
      <c r="F57" t="s">
        <v>87</v>
      </c>
      <c r="G57" s="1">
        <v>1</v>
      </c>
      <c r="H57" s="1">
        <v>1</v>
      </c>
      <c r="I57" s="1">
        <v>0.87421956675454304</v>
      </c>
      <c r="J57" s="1">
        <v>0.51925930159213896</v>
      </c>
      <c r="K57" s="1">
        <v>0.73513272625808301</v>
      </c>
      <c r="L57" s="1">
        <v>1</v>
      </c>
      <c r="M57" s="1">
        <v>1</v>
      </c>
      <c r="N57" s="1">
        <v>0.45476087046441099</v>
      </c>
      <c r="O57" s="1">
        <v>1</v>
      </c>
      <c r="P57" s="1">
        <v>1</v>
      </c>
      <c r="Q57" s="1">
        <v>0.55052433887199403</v>
      </c>
      <c r="R57" s="1">
        <v>0.34044821171294398</v>
      </c>
      <c r="S57" s="1">
        <v>0.81375639770902197</v>
      </c>
      <c r="T57" s="1">
        <f t="shared" si="6"/>
        <v>0.79139241641254898</v>
      </c>
    </row>
    <row r="58" spans="1:20" ht="30" customHeight="1">
      <c r="A58" t="str">
        <f t="shared" si="5"/>
        <v>russian</v>
      </c>
      <c r="B58">
        <f>_xlfn.LET(_xlpm.c,_xlfn.SINGLE(Table1[condition]),IF(RIGHT(_xlpm.c,2)="1g",1,0))</f>
        <v>1</v>
      </c>
      <c r="C58">
        <f>_xlfn.LET(_xlpm.c,_xlfn.SINGLE(Table1[condition]),_xlpm.k,CONCATENATE("*","-xsk","*"),IF(COUNTIF(_xlpm.c,_xlpm.k)&gt;0,1,0))</f>
        <v>0</v>
      </c>
      <c r="D58">
        <f>_xlfn.LET(_xlpm.c,_xlfn.SINGLE(Table1[condition]),_xlpm.k,CONCATENATE("*","-sk","*"),IF(COUNTIF(_xlpm.c,_xlpm.k)&gt;0,1,0))</f>
        <v>0</v>
      </c>
      <c r="E58">
        <f>IF(AND(Table1[[#This Row],[xsk]]=1,Table1[[#This Row],[sk]]=1),0,1)</f>
        <v>1</v>
      </c>
      <c r="F58" t="s">
        <v>31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f t="shared" si="6"/>
        <v>1</v>
      </c>
    </row>
    <row r="59" spans="1:20" ht="30" customHeight="1">
      <c r="A59" t="str">
        <f t="shared" si="5"/>
        <v>russian</v>
      </c>
      <c r="B59">
        <f>_xlfn.LET(_xlpm.c,_xlfn.SINGLE(Table1[condition]),IF(RIGHT(_xlpm.c,2)="1g",1,0))</f>
        <v>0</v>
      </c>
      <c r="C59">
        <f>_xlfn.LET(_xlpm.c,_xlfn.SINGLE(Table1[condition]),_xlpm.k,CONCATENATE("*","-xsk","*"),IF(COUNTIF(_xlpm.c,_xlpm.k)&gt;0,1,0))</f>
        <v>0</v>
      </c>
      <c r="D59">
        <f>_xlfn.LET(_xlpm.c,_xlfn.SINGLE(Table1[condition]),_xlpm.k,CONCATENATE("*","-sk","*"),IF(COUNTIF(_xlpm.c,_xlpm.k)&gt;0,1,0))</f>
        <v>0</v>
      </c>
      <c r="E59">
        <f>IF(AND(Table1[[#This Row],[xsk]]=1,Table1[[#This Row],[sk]]=1),0,1)</f>
        <v>1</v>
      </c>
      <c r="F59" t="s">
        <v>32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f t="shared" si="6"/>
        <v>1</v>
      </c>
    </row>
    <row r="60" spans="1:20" ht="30" customHeight="1">
      <c r="A60" t="str">
        <f t="shared" si="5"/>
        <v>russian</v>
      </c>
      <c r="B60">
        <f>_xlfn.LET(_xlpm.c,_xlfn.SINGLE(Table1[condition]),IF(RIGHT(_xlpm.c,2)="1g",1,0))</f>
        <v>0</v>
      </c>
      <c r="C60">
        <f>_xlfn.LET(_xlpm.c,_xlfn.SINGLE(Table1[condition]),_xlpm.k,CONCATENATE("*","-xsk","*"),IF(COUNTIF(_xlpm.c,_xlpm.k)&gt;0,1,0))</f>
        <v>0</v>
      </c>
      <c r="D60">
        <f>_xlfn.LET(_xlpm.c,_xlfn.SINGLE(Table1[condition]),_xlpm.k,CONCATENATE("*","-sk","*"),IF(COUNTIF(_xlpm.c,_xlpm.k)&gt;0,1,0))</f>
        <v>0</v>
      </c>
      <c r="E60">
        <f>IF(AND(Table1[[#This Row],[xsk]]=1,Table1[[#This Row],[sk]]=1),0,1)</f>
        <v>1</v>
      </c>
      <c r="F60" t="s">
        <v>33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0.99795063894259395</v>
      </c>
      <c r="S60" s="1">
        <v>1</v>
      </c>
      <c r="T60" s="1">
        <f t="shared" si="6"/>
        <v>0.99984235684173806</v>
      </c>
    </row>
    <row r="61" spans="1:20" ht="30" customHeight="1">
      <c r="A61" t="str">
        <f t="shared" si="5"/>
        <v>russian</v>
      </c>
      <c r="B61">
        <f>_xlfn.LET(_xlpm.c,_xlfn.SINGLE(Table1[condition]),IF(RIGHT(_xlpm.c,2)="1g",1,0))</f>
        <v>0</v>
      </c>
      <c r="C61">
        <f>_xlfn.LET(_xlpm.c,_xlfn.SINGLE(Table1[condition]),_xlpm.k,CONCATENATE("*","-xsk","*"),IF(COUNTIF(_xlpm.c,_xlpm.k)&gt;0,1,0))</f>
        <v>0</v>
      </c>
      <c r="D61">
        <f>_xlfn.LET(_xlpm.c,_xlfn.SINGLE(Table1[condition]),_xlpm.k,CONCATENATE("*","-sk","*"),IF(COUNTIF(_xlpm.c,_xlpm.k)&gt;0,1,0))</f>
        <v>1</v>
      </c>
      <c r="E61">
        <f>IF(AND(Table1[[#This Row],[xsk]]=1,Table1[[#This Row],[sk]]=1),0,1)</f>
        <v>1</v>
      </c>
      <c r="F61" t="s">
        <v>34</v>
      </c>
      <c r="G61" s="1">
        <v>1</v>
      </c>
      <c r="H61" s="1">
        <v>1</v>
      </c>
      <c r="I61" s="1">
        <v>0.99777748506978503</v>
      </c>
      <c r="J61" s="1">
        <v>0.99205547892475199</v>
      </c>
      <c r="K61" s="1">
        <v>1</v>
      </c>
      <c r="L61" s="1">
        <v>1</v>
      </c>
      <c r="M61" s="1">
        <v>0.97305693448466801</v>
      </c>
      <c r="N61" s="1">
        <v>1</v>
      </c>
      <c r="O61" s="1">
        <v>0.95511380655683797</v>
      </c>
      <c r="P61" s="1">
        <v>1</v>
      </c>
      <c r="Q61" s="1">
        <v>0.99912663222518405</v>
      </c>
      <c r="R61" s="1">
        <v>0.99786319908224896</v>
      </c>
      <c r="S61" s="1">
        <v>1</v>
      </c>
      <c r="T61" s="1">
        <f t="shared" si="6"/>
        <v>0.99346104125719037</v>
      </c>
    </row>
    <row r="62" spans="1:20" ht="30" customHeight="1">
      <c r="A62" t="str">
        <f t="shared" si="5"/>
        <v>russian</v>
      </c>
      <c r="B62">
        <f>_xlfn.LET(_xlpm.c,_xlfn.SINGLE(Table1[condition]),IF(RIGHT(_xlpm.c,2)="1g",1,0))</f>
        <v>0</v>
      </c>
      <c r="C62">
        <f>_xlfn.LET(_xlpm.c,_xlfn.SINGLE(Table1[condition]),_xlpm.k,CONCATENATE("*","-xsk","*"),IF(COUNTIF(_xlpm.c,_xlpm.k)&gt;0,1,0))</f>
        <v>0</v>
      </c>
      <c r="D62">
        <f>_xlfn.LET(_xlpm.c,_xlfn.SINGLE(Table1[condition]),_xlpm.k,CONCATENATE("*","-sk","*"),IF(COUNTIF(_xlpm.c,_xlpm.k)&gt;0,1,0))</f>
        <v>1</v>
      </c>
      <c r="E62">
        <f>IF(AND(Table1[[#This Row],[xsk]]=1,Table1[[#This Row],[sk]]=1),0,1)</f>
        <v>1</v>
      </c>
      <c r="F62" t="s">
        <v>35</v>
      </c>
      <c r="G62" s="1">
        <v>0.99836596217197404</v>
      </c>
      <c r="H62" s="1">
        <v>1</v>
      </c>
      <c r="I62" s="1">
        <v>0.99147543809474104</v>
      </c>
      <c r="J62" s="1">
        <v>0.93870782320022905</v>
      </c>
      <c r="K62" s="1">
        <v>1</v>
      </c>
      <c r="L62" s="1">
        <v>0.95483224125872002</v>
      </c>
      <c r="M62" s="1">
        <v>0.99770105222764505</v>
      </c>
      <c r="N62" s="1">
        <v>0.99137610486453698</v>
      </c>
      <c r="O62" s="1">
        <v>0.97140260303025605</v>
      </c>
      <c r="P62" s="1">
        <v>0.95922579492623505</v>
      </c>
      <c r="Q62" s="1">
        <v>0.92935158472979695</v>
      </c>
      <c r="R62" s="1">
        <v>0.96372042726820295</v>
      </c>
      <c r="S62" s="1">
        <v>0.99388318181450597</v>
      </c>
      <c r="T62" s="1">
        <f t="shared" si="6"/>
        <v>0.97615709335283429</v>
      </c>
    </row>
    <row r="63" spans="1:20" ht="30" customHeight="1">
      <c r="A63" t="str">
        <f t="shared" si="5"/>
        <v>russian</v>
      </c>
      <c r="B63">
        <f>_xlfn.LET(_xlpm.c,_xlfn.SINGLE(Table1[condition]),IF(RIGHT(_xlpm.c,2)="1g",1,0))</f>
        <v>0</v>
      </c>
      <c r="C63">
        <f>_xlfn.LET(_xlpm.c,_xlfn.SINGLE(Table1[condition]),_xlpm.k,CONCATENATE("*","-xsk","*"),IF(COUNTIF(_xlpm.c,_xlpm.k)&gt;0,1,0))</f>
        <v>1</v>
      </c>
      <c r="D63">
        <f>_xlfn.LET(_xlpm.c,_xlfn.SINGLE(Table1[condition]),_xlpm.k,CONCATENATE("*","-sk","*"),IF(COUNTIF(_xlpm.c,_xlpm.k)&gt;0,1,0))</f>
        <v>0</v>
      </c>
      <c r="E63">
        <f>IF(AND(Table1[[#This Row],[xsk]]=1,Table1[[#This Row],[sk]]=1),0,1)</f>
        <v>1</v>
      </c>
      <c r="F63" t="s">
        <v>88</v>
      </c>
      <c r="G63" s="1">
        <v>0.97758914003094399</v>
      </c>
      <c r="H63" s="1">
        <v>0.99364232688687903</v>
      </c>
      <c r="I63" s="1">
        <v>1</v>
      </c>
      <c r="J63" s="1">
        <v>1</v>
      </c>
      <c r="K63" s="1">
        <v>0.98420866533414197</v>
      </c>
      <c r="L63" s="1">
        <v>0.938682825799247</v>
      </c>
      <c r="M63" s="1">
        <v>0.95208969621990003</v>
      </c>
      <c r="N63" s="1">
        <v>0.99733318161387696</v>
      </c>
      <c r="O63" s="1">
        <v>0.96282654523311295</v>
      </c>
      <c r="P63" s="1">
        <v>0.99878047873639997</v>
      </c>
      <c r="Q63" s="1">
        <v>0.99904214119974699</v>
      </c>
      <c r="R63" s="1">
        <v>0.97399265676916702</v>
      </c>
      <c r="S63" s="1">
        <v>1</v>
      </c>
      <c r="T63" s="1">
        <f t="shared" si="6"/>
        <v>0.98293751214026281</v>
      </c>
    </row>
    <row r="64" spans="1:20" ht="30" customHeight="1">
      <c r="A64" t="str">
        <f t="shared" si="5"/>
        <v>russian</v>
      </c>
      <c r="B64">
        <f>_xlfn.LET(_xlpm.c,_xlfn.SINGLE(Table1[condition]),IF(RIGHT(_xlpm.c,2)="1g",1,0))</f>
        <v>0</v>
      </c>
      <c r="C64">
        <f>_xlfn.LET(_xlpm.c,_xlfn.SINGLE(Table1[condition]),_xlpm.k,CONCATENATE("*","-xsk","*"),IF(COUNTIF(_xlpm.c,_xlpm.k)&gt;0,1,0))</f>
        <v>1</v>
      </c>
      <c r="D64">
        <f>_xlfn.LET(_xlpm.c,_xlfn.SINGLE(Table1[condition]),_xlpm.k,CONCATENATE("*","-sk","*"),IF(COUNTIF(_xlpm.c,_xlpm.k)&gt;0,1,0))</f>
        <v>0</v>
      </c>
      <c r="E64">
        <f>IF(AND(Table1[[#This Row],[xsk]]=1,Table1[[#This Row],[sk]]=1),0,1)</f>
        <v>1</v>
      </c>
      <c r="F64" t="s">
        <v>89</v>
      </c>
      <c r="G64" s="1">
        <v>0.94481929006800103</v>
      </c>
      <c r="H64" s="1">
        <v>0.96115506735419998</v>
      </c>
      <c r="I64" s="1">
        <v>0.95285096689549098</v>
      </c>
      <c r="J64" s="1">
        <v>0.96324408779446902</v>
      </c>
      <c r="K64" s="1">
        <v>0.94352876315255996</v>
      </c>
      <c r="L64" s="1">
        <v>0.94438983064195603</v>
      </c>
      <c r="M64" s="1">
        <v>1</v>
      </c>
      <c r="N64" s="1">
        <v>1</v>
      </c>
      <c r="O64" s="1">
        <v>0.94569194145616797</v>
      </c>
      <c r="P64" s="1">
        <v>0.95578253243174804</v>
      </c>
      <c r="Q64" s="1">
        <v>0.91168387373740001</v>
      </c>
      <c r="R64" s="1">
        <v>0.87005902667232704</v>
      </c>
      <c r="S64" s="1">
        <v>0.94887525562372199</v>
      </c>
      <c r="T64" s="1">
        <f t="shared" si="6"/>
        <v>0.94939081814061876</v>
      </c>
    </row>
    <row r="65" spans="1:20" ht="30" customHeight="1">
      <c r="A65" t="str">
        <f t="shared" si="1"/>
        <v>spanish</v>
      </c>
      <c r="B65">
        <f>_xlfn.LET(_xlpm.c,_xlfn.SINGLE(Table1[condition]),IF(RIGHT(_xlpm.c,2)="1g",1,0))</f>
        <v>1</v>
      </c>
      <c r="C65">
        <f>_xlfn.LET(_xlpm.c,_xlfn.SINGLE(Table1[condition]),_xlpm.k,CONCATENATE("*","-xsk","*"),IF(COUNTIF(_xlpm.c,_xlpm.k)&gt;0,1,0))</f>
        <v>0</v>
      </c>
      <c r="D65">
        <f>_xlfn.LET(_xlpm.c,_xlfn.SINGLE(Table1[condition]),_xlpm.k,CONCATENATE("*","-sk","*"),IF(COUNTIF(_xlpm.c,_xlpm.k)&gt;0,1,0))</f>
        <v>0</v>
      </c>
      <c r="E65">
        <f>IF(AND(Table1[[#This Row],[xsk]]=1,Table1[[#This Row],[sk]]=1),0,1)</f>
        <v>1</v>
      </c>
      <c r="F65" t="s">
        <v>104</v>
      </c>
      <c r="G65" s="1">
        <v>0.93272719780496205</v>
      </c>
      <c r="H65" s="1">
        <v>0.74446861502471495</v>
      </c>
      <c r="I65" s="1">
        <v>0.45857546554209799</v>
      </c>
      <c r="J65" s="1">
        <v>0.71197989937059103</v>
      </c>
      <c r="K65" s="1">
        <v>0.37388512440078098</v>
      </c>
      <c r="L65" s="1">
        <v>0</v>
      </c>
      <c r="M65" s="1">
        <v>0</v>
      </c>
      <c r="N65" s="1">
        <v>0</v>
      </c>
      <c r="O65" s="1">
        <v>0.49704142011834301</v>
      </c>
      <c r="P65" s="1">
        <v>0</v>
      </c>
      <c r="Q65" s="1">
        <v>0</v>
      </c>
      <c r="R65" s="1">
        <v>0</v>
      </c>
      <c r="S65" s="1">
        <v>0</v>
      </c>
      <c r="T65" s="1">
        <f t="shared" si="2"/>
        <v>0.28605213248165307</v>
      </c>
    </row>
    <row r="66" spans="1:20" ht="30" customHeight="1">
      <c r="A66" t="str">
        <f t="shared" si="1"/>
        <v>spanish</v>
      </c>
      <c r="B66">
        <f>_xlfn.LET(_xlpm.c,_xlfn.SINGLE(Table1[condition]),IF(RIGHT(_xlpm.c,2)="1g",1,0))</f>
        <v>0</v>
      </c>
      <c r="C66">
        <f>_xlfn.LET(_xlpm.c,_xlfn.SINGLE(Table1[condition]),_xlpm.k,CONCATENATE("*","-xsk","*"),IF(COUNTIF(_xlpm.c,_xlpm.k)&gt;0,1,0))</f>
        <v>0</v>
      </c>
      <c r="D66">
        <f>_xlfn.LET(_xlpm.c,_xlfn.SINGLE(Table1[condition]),_xlpm.k,CONCATENATE("*","-sk","*"),IF(COUNTIF(_xlpm.c,_xlpm.k)&gt;0,1,0))</f>
        <v>0</v>
      </c>
      <c r="E66">
        <f>IF(AND(Table1[[#This Row],[xsk]]=1,Table1[[#This Row],[sk]]=1),0,1)</f>
        <v>1</v>
      </c>
      <c r="F66" t="s">
        <v>105</v>
      </c>
      <c r="G66" s="1">
        <v>0.73765163714236104</v>
      </c>
      <c r="H66" s="1">
        <v>0.45615908984348702</v>
      </c>
      <c r="I66" s="1">
        <v>0.29005439233501401</v>
      </c>
      <c r="J66" s="1">
        <v>0.51262553829428803</v>
      </c>
      <c r="K66" s="1">
        <v>0.43799758680531398</v>
      </c>
      <c r="L66" s="1">
        <v>0</v>
      </c>
      <c r="M66" s="1">
        <v>0.50954546243714205</v>
      </c>
      <c r="N66" s="1">
        <v>0.27925399873190299</v>
      </c>
      <c r="O66" s="1">
        <v>0.34016509466071299</v>
      </c>
      <c r="P66" s="1">
        <v>0.29487750441008598</v>
      </c>
      <c r="Q66" s="1">
        <v>1</v>
      </c>
      <c r="R66" s="1">
        <v>0.30617780226241698</v>
      </c>
      <c r="S66" s="1">
        <v>0</v>
      </c>
      <c r="T66" s="1">
        <f t="shared" si="2"/>
        <v>0.39726985437867118</v>
      </c>
    </row>
    <row r="67" spans="1:20" ht="30" customHeight="1">
      <c r="A67" t="str">
        <f t="shared" si="1"/>
        <v>spanish</v>
      </c>
      <c r="B67">
        <f>_xlfn.LET(_xlpm.c,_xlfn.SINGLE(Table1[condition]),IF(RIGHT(_xlpm.c,2)="1g",1,0))</f>
        <v>0</v>
      </c>
      <c r="C67">
        <f>_xlfn.LET(_xlpm.c,_xlfn.SINGLE(Table1[condition]),_xlpm.k,CONCATENATE("*","-xsk","*"),IF(COUNTIF(_xlpm.c,_xlpm.k)&gt;0,1,0))</f>
        <v>0</v>
      </c>
      <c r="D67">
        <f>_xlfn.LET(_xlpm.c,_xlfn.SINGLE(Table1[condition]),_xlpm.k,CONCATENATE("*","-sk","*"),IF(COUNTIF(_xlpm.c,_xlpm.k)&gt;0,1,0))</f>
        <v>0</v>
      </c>
      <c r="E67">
        <f>IF(AND(Table1[[#This Row],[xsk]]=1,Table1[[#This Row],[sk]]=1),0,1)</f>
        <v>1</v>
      </c>
      <c r="F67" t="s">
        <v>106</v>
      </c>
      <c r="G67" s="1">
        <v>0</v>
      </c>
      <c r="H67" s="1">
        <v>0.28991788130812801</v>
      </c>
      <c r="I67" s="1">
        <v>0.38595282133533498</v>
      </c>
      <c r="J67" s="1">
        <v>0.47178094882404797</v>
      </c>
      <c r="K67" s="1">
        <v>0.73205080756887697</v>
      </c>
      <c r="L67" s="1">
        <v>0.49212880042330198</v>
      </c>
      <c r="M67" s="1">
        <v>0.47088058877040501</v>
      </c>
      <c r="N67" s="1">
        <v>0.46163642835812302</v>
      </c>
      <c r="O67" s="1">
        <v>0.40487871301404599</v>
      </c>
      <c r="P67" s="1">
        <v>0</v>
      </c>
      <c r="Q67" s="1">
        <v>0.53322668070185597</v>
      </c>
      <c r="R67" s="1">
        <v>0.27326630399237301</v>
      </c>
      <c r="S67" s="1">
        <v>0.38718776620735601</v>
      </c>
      <c r="T67" s="1">
        <f t="shared" si="2"/>
        <v>0.37714674926952685</v>
      </c>
    </row>
    <row r="68" spans="1:20" ht="30" customHeight="1">
      <c r="A68" t="str">
        <f t="shared" si="1"/>
        <v>spanish</v>
      </c>
      <c r="B68">
        <f>_xlfn.LET(_xlpm.c,_xlfn.SINGLE(Table1[condition]),IF(RIGHT(_xlpm.c,2)="1g",1,0))</f>
        <v>0</v>
      </c>
      <c r="C68">
        <f>_xlfn.LET(_xlpm.c,_xlfn.SINGLE(Table1[condition]),_xlpm.k,CONCATENATE("*","-xsk","*"),IF(COUNTIF(_xlpm.c,_xlpm.k)&gt;0,1,0))</f>
        <v>0</v>
      </c>
      <c r="D68">
        <f>_xlfn.LET(_xlpm.c,_xlfn.SINGLE(Table1[condition]),_xlpm.k,CONCATENATE("*","-sk","*"),IF(COUNTIF(_xlpm.c,_xlpm.k)&gt;0,1,0))</f>
        <v>1</v>
      </c>
      <c r="E68">
        <f>IF(AND(Table1[[#This Row],[xsk]]=1,Table1[[#This Row],[sk]]=1),0,1)</f>
        <v>1</v>
      </c>
      <c r="F68" t="s">
        <v>107</v>
      </c>
      <c r="G68" s="1">
        <v>0.51547485223431699</v>
      </c>
      <c r="H68" s="1">
        <v>0.66584665515825203</v>
      </c>
      <c r="I68" s="1">
        <v>0.51379096658019296</v>
      </c>
      <c r="J68" s="1">
        <v>0.43071995215652498</v>
      </c>
      <c r="K68" s="1">
        <v>1</v>
      </c>
      <c r="L68" s="1">
        <v>0.293614483885694</v>
      </c>
      <c r="M68" s="1">
        <v>1</v>
      </c>
      <c r="N68" s="1">
        <v>1</v>
      </c>
      <c r="O68" s="1">
        <v>1</v>
      </c>
      <c r="P68" s="1">
        <v>0.73205080756887697</v>
      </c>
      <c r="Q68" s="1">
        <v>0.45297759021626099</v>
      </c>
      <c r="R68" s="1">
        <v>1</v>
      </c>
      <c r="S68" s="1">
        <v>0.33312408431662599</v>
      </c>
      <c r="T68" s="1">
        <f t="shared" si="2"/>
        <v>0.68750764554744193</v>
      </c>
    </row>
    <row r="69" spans="1:20" ht="30" customHeight="1">
      <c r="A69" t="str">
        <f t="shared" si="1"/>
        <v>spanish</v>
      </c>
      <c r="B69">
        <f>_xlfn.LET(_xlpm.c,_xlfn.SINGLE(Table1[condition]),IF(RIGHT(_xlpm.c,2)="1g",1,0))</f>
        <v>0</v>
      </c>
      <c r="C69">
        <f>_xlfn.LET(_xlpm.c,_xlfn.SINGLE(Table1[condition]),_xlpm.k,CONCATENATE("*","-xsk","*"),IF(COUNTIF(_xlpm.c,_xlpm.k)&gt;0,1,0))</f>
        <v>0</v>
      </c>
      <c r="D69">
        <f>_xlfn.LET(_xlpm.c,_xlfn.SINGLE(Table1[condition]),_xlpm.k,CONCATENATE("*","-sk","*"),IF(COUNTIF(_xlpm.c,_xlpm.k)&gt;0,1,0))</f>
        <v>1</v>
      </c>
      <c r="E69">
        <f>IF(AND(Table1[[#This Row],[xsk]]=1,Table1[[#This Row],[sk]]=1),0,1)</f>
        <v>1</v>
      </c>
      <c r="F69" t="s">
        <v>108</v>
      </c>
      <c r="G69" s="1">
        <v>0.84092171793369797</v>
      </c>
      <c r="H69" s="1">
        <v>0.38126370343264998</v>
      </c>
      <c r="I69" s="1">
        <v>0.42569699386162402</v>
      </c>
      <c r="J69" s="1">
        <v>0.54859212927038103</v>
      </c>
      <c r="K69" s="1">
        <v>0.53713128972503799</v>
      </c>
      <c r="L69" s="1">
        <v>0.48594395660922401</v>
      </c>
      <c r="M69" s="1">
        <v>0.37675784386332101</v>
      </c>
      <c r="N69" s="1">
        <v>0.38778926063299302</v>
      </c>
      <c r="O69" s="1">
        <v>0.472135954999579</v>
      </c>
      <c r="P69" s="1">
        <v>0.47599880734230998</v>
      </c>
      <c r="Q69" s="1">
        <v>0.53168006940159895</v>
      </c>
      <c r="R69" s="1">
        <v>1</v>
      </c>
      <c r="S69" s="1">
        <v>0.33915345282772102</v>
      </c>
      <c r="T69" s="1">
        <f t="shared" si="2"/>
        <v>0.52331270614616443</v>
      </c>
    </row>
    <row r="70" spans="1:20" ht="30" customHeight="1">
      <c r="A70" t="str">
        <f t="shared" si="1"/>
        <v>spanish</v>
      </c>
      <c r="B70">
        <f>_xlfn.LET(_xlpm.c,_xlfn.SINGLE(Table1[condition]),IF(RIGHT(_xlpm.c,2)="1g",1,0))</f>
        <v>0</v>
      </c>
      <c r="C70">
        <f>_xlfn.LET(_xlpm.c,_xlfn.SINGLE(Table1[condition]),_xlpm.k,CONCATENATE("*","-xsk","*"),IF(COUNTIF(_xlpm.c,_xlpm.k)&gt;0,1,0))</f>
        <v>1</v>
      </c>
      <c r="D70">
        <f>_xlfn.LET(_xlpm.c,_xlfn.SINGLE(Table1[condition]),_xlpm.k,CONCATENATE("*","-sk","*"),IF(COUNTIF(_xlpm.c,_xlpm.k)&gt;0,1,0))</f>
        <v>0</v>
      </c>
      <c r="E70">
        <f>IF(AND(Table1[[#This Row],[xsk]]=1,Table1[[#This Row],[sk]]=1),0,1)</f>
        <v>1</v>
      </c>
      <c r="F70" t="s">
        <v>109</v>
      </c>
      <c r="G70" s="1">
        <v>1</v>
      </c>
      <c r="H70" s="1">
        <v>0.76330483027934104</v>
      </c>
      <c r="I70" s="1">
        <v>1</v>
      </c>
      <c r="J70" s="1">
        <v>1</v>
      </c>
      <c r="K70" s="1">
        <v>1</v>
      </c>
      <c r="L70" s="1">
        <v>0.89897948556635598</v>
      </c>
      <c r="M70" s="1">
        <v>1</v>
      </c>
      <c r="N70" s="1">
        <v>1</v>
      </c>
      <c r="O70" s="1"/>
      <c r="P70" s="1">
        <v>0.29242281967962602</v>
      </c>
      <c r="Q70" s="1">
        <v>1</v>
      </c>
      <c r="R70" s="1">
        <v>0.33638458283718298</v>
      </c>
      <c r="S70" s="1">
        <v>0</v>
      </c>
      <c r="T70" s="1">
        <f t="shared" si="2"/>
        <v>0.7742576431968754</v>
      </c>
    </row>
    <row r="71" spans="1:20" ht="30" customHeight="1">
      <c r="A71" t="str">
        <f t="shared" ref="A71:A85" si="7">_xlfn.LET(_xlpm.c,$F71,_xlfn.TEXTBEFORE(_xlpm.c,"-"))</f>
        <v>spanish</v>
      </c>
      <c r="B71">
        <f>_xlfn.LET(_xlpm.c,_xlfn.SINGLE(Table1[condition]),IF(RIGHT(_xlpm.c,2)="1g",1,0))</f>
        <v>0</v>
      </c>
      <c r="C71">
        <f>_xlfn.LET(_xlpm.c,_xlfn.SINGLE(Table1[condition]),_xlpm.k,CONCATENATE("*","-xsk","*"),IF(COUNTIF(_xlpm.c,_xlpm.k)&gt;0,1,0))</f>
        <v>1</v>
      </c>
      <c r="D71">
        <f>_xlfn.LET(_xlpm.c,_xlfn.SINGLE(Table1[condition]),_xlpm.k,CONCATENATE("*","-sk","*"),IF(COUNTIF(_xlpm.c,_xlpm.k)&gt;0,1,0))</f>
        <v>0</v>
      </c>
      <c r="E71">
        <f>IF(AND(Table1[[#This Row],[xsk]]=1,Table1[[#This Row],[sk]]=1),0,1)</f>
        <v>1</v>
      </c>
      <c r="F71" t="s">
        <v>110</v>
      </c>
      <c r="G71" s="1">
        <v>0.88325111674037105</v>
      </c>
      <c r="H71" s="1"/>
      <c r="I71" s="1">
        <v>0.85445102663249595</v>
      </c>
      <c r="J71" s="1">
        <v>0.77485177344558598</v>
      </c>
      <c r="K71" s="1">
        <v>1</v>
      </c>
      <c r="L71" s="1">
        <v>0.50373155111154699</v>
      </c>
      <c r="M71" s="1">
        <v>1</v>
      </c>
      <c r="N71" s="1">
        <v>1</v>
      </c>
      <c r="O71" s="1">
        <v>0.50994721796992604</v>
      </c>
      <c r="P71" s="1">
        <v>0.46958483853979999</v>
      </c>
      <c r="Q71" s="1">
        <v>0.38876620396108102</v>
      </c>
      <c r="R71" s="1">
        <v>0.48223566912279497</v>
      </c>
      <c r="S71" s="1">
        <v>0.24319102727788</v>
      </c>
      <c r="T71" s="1">
        <f t="shared" si="0"/>
        <v>0.67583420206679012</v>
      </c>
    </row>
    <row r="72" spans="1:20" ht="30" customHeight="1">
      <c r="A72" t="str">
        <f t="shared" si="7"/>
        <v>swahili</v>
      </c>
      <c r="B72">
        <f>_xlfn.LET(_xlpm.c,_xlfn.SINGLE(Table1[condition]),IF(RIGHT(_xlpm.c,2)="1g",1,0))</f>
        <v>1</v>
      </c>
      <c r="C72">
        <f>_xlfn.LET(_xlpm.c,_xlfn.SINGLE(Table1[condition]),_xlpm.k,CONCATENATE("*","-xsk","*"),IF(COUNTIF(_xlpm.c,_xlpm.k)&gt;0,1,0))</f>
        <v>0</v>
      </c>
      <c r="D72">
        <f>_xlfn.LET(_xlpm.c,_xlfn.SINGLE(Table1[condition]),_xlpm.k,CONCATENATE("*","-sk","*"),IF(COUNTIF(_xlpm.c,_xlpm.k)&gt;0,1,0))</f>
        <v>0</v>
      </c>
      <c r="E72">
        <f>IF(AND(Table1[[#This Row],[xsk]]=1,Table1[[#This Row],[sk]]=1),0,1)</f>
        <v>1</v>
      </c>
      <c r="F72" t="s">
        <v>111</v>
      </c>
      <c r="G72" s="1">
        <v>0.84846110915585105</v>
      </c>
      <c r="H72" s="1">
        <v>1</v>
      </c>
      <c r="I72" s="1">
        <v>0.82362631867032698</v>
      </c>
      <c r="J72" s="1">
        <v>0.76704788096716603</v>
      </c>
      <c r="K72" s="1">
        <v>0.430968592272784</v>
      </c>
      <c r="L72" s="1">
        <v>0.66462787983724203</v>
      </c>
      <c r="M72" s="1">
        <v>0.74698795180722799</v>
      </c>
      <c r="N72" s="1">
        <v>0.64185289196469797</v>
      </c>
      <c r="O72" s="1">
        <v>0.572215277536953</v>
      </c>
      <c r="P72" s="1">
        <v>0.37039296866565702</v>
      </c>
      <c r="Q72" s="1">
        <v>0.56652225123151401</v>
      </c>
      <c r="R72" s="1">
        <v>0.29587440939686799</v>
      </c>
      <c r="S72" s="1">
        <v>0</v>
      </c>
      <c r="T72" s="1">
        <f t="shared" si="0"/>
        <v>0.59450596396202215</v>
      </c>
    </row>
    <row r="73" spans="1:20" ht="30" customHeight="1">
      <c r="A73" t="str">
        <f t="shared" si="7"/>
        <v>swahili</v>
      </c>
      <c r="B73">
        <f>_xlfn.LET(_xlpm.c,_xlfn.SINGLE(Table1[condition]),IF(RIGHT(_xlpm.c,2)="1g",1,0))</f>
        <v>0</v>
      </c>
      <c r="C73">
        <f>_xlfn.LET(_xlpm.c,_xlfn.SINGLE(Table1[condition]),_xlpm.k,CONCATENATE("*","-xsk","*"),IF(COUNTIF(_xlpm.c,_xlpm.k)&gt;0,1,0))</f>
        <v>0</v>
      </c>
      <c r="D73">
        <f>_xlfn.LET(_xlpm.c,_xlfn.SINGLE(Table1[condition]),_xlpm.k,CONCATENATE("*","-sk","*"),IF(COUNTIF(_xlpm.c,_xlpm.k)&gt;0,1,0))</f>
        <v>0</v>
      </c>
      <c r="E73">
        <f>IF(AND(Table1[[#This Row],[xsk]]=1,Table1[[#This Row],[sk]]=1),0,1)</f>
        <v>1</v>
      </c>
      <c r="F73" t="s">
        <v>112</v>
      </c>
      <c r="G73" s="1">
        <v>0.74647574527240501</v>
      </c>
      <c r="H73" s="1">
        <v>0.55368825932713095</v>
      </c>
      <c r="I73" s="1">
        <v>0.72805158384833502</v>
      </c>
      <c r="J73" s="1">
        <v>0.59048392738440303</v>
      </c>
      <c r="K73" s="1">
        <v>0.50165557575861497</v>
      </c>
      <c r="L73" s="1">
        <v>0.53992923083796096</v>
      </c>
      <c r="M73" s="1">
        <v>0.571367773068721</v>
      </c>
      <c r="N73" s="1">
        <v>0.33885875697015799</v>
      </c>
      <c r="O73" s="1">
        <v>0.21165373208527899</v>
      </c>
      <c r="P73" s="1">
        <v>0.766906692048412</v>
      </c>
      <c r="Q73" s="1">
        <v>0.65624572822263405</v>
      </c>
      <c r="R73" s="1">
        <v>0.56856709354394797</v>
      </c>
      <c r="S73" s="1">
        <v>0.52549356572431305</v>
      </c>
      <c r="T73" s="1">
        <f t="shared" si="0"/>
        <v>0.56149058954556275</v>
      </c>
    </row>
    <row r="74" spans="1:20" ht="30" customHeight="1">
      <c r="A74" t="str">
        <f t="shared" si="7"/>
        <v>swahili</v>
      </c>
      <c r="B74">
        <f>_xlfn.LET(_xlpm.c,_xlfn.SINGLE(Table1[condition]),IF(RIGHT(_xlpm.c,2)="1g",1,0))</f>
        <v>0</v>
      </c>
      <c r="C74">
        <f>_xlfn.LET(_xlpm.c,_xlfn.SINGLE(Table1[condition]),_xlpm.k,CONCATENATE("*","-xsk","*"),IF(COUNTIF(_xlpm.c,_xlpm.k)&gt;0,1,0))</f>
        <v>0</v>
      </c>
      <c r="D74">
        <f>_xlfn.LET(_xlpm.c,_xlfn.SINGLE(Table1[condition]),_xlpm.k,CONCATENATE("*","-sk","*"),IF(COUNTIF(_xlpm.c,_xlpm.k)&gt;0,1,0))</f>
        <v>0</v>
      </c>
      <c r="E74">
        <f>IF(AND(Table1[[#This Row],[xsk]]=1,Table1[[#This Row],[sk]]=1),0,1)</f>
        <v>1</v>
      </c>
      <c r="F74" t="s">
        <v>113</v>
      </c>
      <c r="G74" s="1">
        <v>0.41029422592859799</v>
      </c>
      <c r="H74" s="1">
        <v>0.55311121768783</v>
      </c>
      <c r="I74" s="1">
        <v>0.32732257007679699</v>
      </c>
      <c r="J74" s="1">
        <v>0.69184797962414801</v>
      </c>
      <c r="K74" s="1">
        <v>0.4373508356686</v>
      </c>
      <c r="L74" s="1">
        <v>0.50517598343685299</v>
      </c>
      <c r="M74" s="1">
        <v>0.68776373195826301</v>
      </c>
      <c r="N74" s="1">
        <v>0.60784778564203901</v>
      </c>
      <c r="O74" s="1">
        <v>0.51215493918338295</v>
      </c>
      <c r="P74" s="1">
        <v>0.34839890822278802</v>
      </c>
      <c r="Q74" s="1">
        <v>0.42447984950054601</v>
      </c>
      <c r="R74" s="1">
        <v>0.53962778485880503</v>
      </c>
      <c r="S74" s="1">
        <v>0.37690559753514702</v>
      </c>
      <c r="T74" s="1">
        <f t="shared" si="0"/>
        <v>0.49402164687106137</v>
      </c>
    </row>
    <row r="75" spans="1:20" ht="30" customHeight="1">
      <c r="A75" t="str">
        <f t="shared" si="7"/>
        <v>swahili</v>
      </c>
      <c r="B75">
        <f>_xlfn.LET(_xlpm.c,_xlfn.SINGLE(Table1[condition]),IF(RIGHT(_xlpm.c,2)="1g",1,0))</f>
        <v>0</v>
      </c>
      <c r="C75">
        <f>_xlfn.LET(_xlpm.c,_xlfn.SINGLE(Table1[condition]),_xlpm.k,CONCATENATE("*","-xsk","*"),IF(COUNTIF(_xlpm.c,_xlpm.k)&gt;0,1,0))</f>
        <v>0</v>
      </c>
      <c r="D75">
        <f>_xlfn.LET(_xlpm.c,_xlfn.SINGLE(Table1[condition]),_xlpm.k,CONCATENATE("*","-sk","*"),IF(COUNTIF(_xlpm.c,_xlpm.k)&gt;0,1,0))</f>
        <v>1</v>
      </c>
      <c r="E75">
        <f>IF(AND(Table1[[#This Row],[xsk]]=1,Table1[[#This Row],[sk]]=1),0,1)</f>
        <v>1</v>
      </c>
      <c r="F75" t="s">
        <v>114</v>
      </c>
      <c r="G75" s="1">
        <v>0.81724683898668204</v>
      </c>
      <c r="H75" s="1">
        <v>0</v>
      </c>
      <c r="I75" s="1">
        <v>0.55200418245684801</v>
      </c>
      <c r="J75" s="1">
        <v>0.49593278707469601</v>
      </c>
      <c r="K75" s="1">
        <v>0.40390022447429103</v>
      </c>
      <c r="L75" s="1">
        <v>0.53476491253650404</v>
      </c>
      <c r="M75" s="1">
        <v>0.51975408216218</v>
      </c>
      <c r="N75" s="1">
        <v>0.41418874762963798</v>
      </c>
      <c r="O75" s="1">
        <v>0.45027472364830701</v>
      </c>
      <c r="P75" s="1">
        <v>0</v>
      </c>
      <c r="Q75" s="1">
        <v>0.59944081072502298</v>
      </c>
      <c r="R75" s="1">
        <v>0.6</v>
      </c>
      <c r="S75" s="1">
        <v>0.48977133243184101</v>
      </c>
      <c r="T75" s="1">
        <f t="shared" si="0"/>
        <v>0.45209835708661611</v>
      </c>
    </row>
    <row r="76" spans="1:20" ht="30" customHeight="1">
      <c r="A76" t="str">
        <f t="shared" si="7"/>
        <v>swahili</v>
      </c>
      <c r="B76">
        <f>_xlfn.LET(_xlpm.c,_xlfn.SINGLE(Table1[condition]),IF(RIGHT(_xlpm.c,2)="1g",1,0))</f>
        <v>0</v>
      </c>
      <c r="C76">
        <f>_xlfn.LET(_xlpm.c,_xlfn.SINGLE(Table1[condition]),_xlpm.k,CONCATENATE("*","-xsk","*"),IF(COUNTIF(_xlpm.c,_xlpm.k)&gt;0,1,0))</f>
        <v>0</v>
      </c>
      <c r="D76">
        <f>_xlfn.LET(_xlpm.c,_xlfn.SINGLE(Table1[condition]),_xlpm.k,CONCATENATE("*","-sk","*"),IF(COUNTIF(_xlpm.c,_xlpm.k)&gt;0,1,0))</f>
        <v>1</v>
      </c>
      <c r="E76">
        <f>IF(AND(Table1[[#This Row],[xsk]]=1,Table1[[#This Row],[sk]]=1),0,1)</f>
        <v>1</v>
      </c>
      <c r="F76" t="s">
        <v>115</v>
      </c>
      <c r="G76" s="1">
        <v>0.76697901001169699</v>
      </c>
      <c r="H76" s="1">
        <v>0.59503516666698897</v>
      </c>
      <c r="I76" s="1">
        <v>0.76705968328278495</v>
      </c>
      <c r="J76" s="1">
        <v>0.59488761711801696</v>
      </c>
      <c r="K76" s="1">
        <v>0.65333173614338003</v>
      </c>
      <c r="L76" s="1">
        <v>0.44053737777699498</v>
      </c>
      <c r="M76" s="1">
        <v>0.36472714205635498</v>
      </c>
      <c r="N76" s="1">
        <v>0.46733693068249499</v>
      </c>
      <c r="O76" s="1">
        <v>0.30903654208985398</v>
      </c>
      <c r="P76" s="1">
        <v>0.41048532859718301</v>
      </c>
      <c r="Q76" s="1">
        <v>0.48726890391127697</v>
      </c>
      <c r="R76" s="1">
        <v>0.48283150676052999</v>
      </c>
      <c r="S76" s="1">
        <v>0.69388158814044498</v>
      </c>
      <c r="T76" s="1">
        <f t="shared" si="0"/>
        <v>0.54103065640292325</v>
      </c>
    </row>
    <row r="77" spans="1:20" ht="30" customHeight="1">
      <c r="A77" t="str">
        <f t="shared" si="7"/>
        <v>swahili</v>
      </c>
      <c r="B77">
        <f>_xlfn.LET(_xlpm.c,_xlfn.SINGLE(Table1[condition]),IF(RIGHT(_xlpm.c,2)="1g",1,0))</f>
        <v>0</v>
      </c>
      <c r="C77">
        <f>_xlfn.LET(_xlpm.c,_xlfn.SINGLE(Table1[condition]),_xlpm.k,CONCATENATE("*","-xsk","*"),IF(COUNTIF(_xlpm.c,_xlpm.k)&gt;0,1,0))</f>
        <v>1</v>
      </c>
      <c r="D77">
        <f>_xlfn.LET(_xlpm.c,_xlfn.SINGLE(Table1[condition]),_xlpm.k,CONCATENATE("*","-sk","*"),IF(COUNTIF(_xlpm.c,_xlpm.k)&gt;0,1,0))</f>
        <v>0</v>
      </c>
      <c r="E77">
        <f>IF(AND(Table1[[#This Row],[xsk]]=1,Table1[[#This Row],[sk]]=1),0,1)</f>
        <v>1</v>
      </c>
      <c r="F77" t="s">
        <v>116</v>
      </c>
      <c r="G77" s="1">
        <v>0.58356668206698303</v>
      </c>
      <c r="H77" s="1">
        <v>0.58252216561319703</v>
      </c>
      <c r="I77" s="1">
        <v>0.75885058564552199</v>
      </c>
      <c r="J77" s="1">
        <v>0.787903100372358</v>
      </c>
      <c r="K77" s="1">
        <v>0.48451960053811599</v>
      </c>
      <c r="L77" s="1">
        <v>0.349612306837217</v>
      </c>
      <c r="M77" s="1">
        <v>0.625481862236416</v>
      </c>
      <c r="N77" s="1">
        <v>0.67236978087967003</v>
      </c>
      <c r="O77" s="1">
        <v>0</v>
      </c>
      <c r="P77" s="1">
        <v>0.53678571979018697</v>
      </c>
      <c r="Q77" s="1">
        <v>0.44718115336805497</v>
      </c>
      <c r="R77" s="1">
        <v>0.36525292288800298</v>
      </c>
      <c r="S77" s="1">
        <v>0.59357577591437305</v>
      </c>
      <c r="T77" s="1">
        <f t="shared" si="0"/>
        <v>0.5221247427807767</v>
      </c>
    </row>
    <row r="78" spans="1:20" ht="30" customHeight="1">
      <c r="A78" t="str">
        <f t="shared" si="7"/>
        <v>swahili</v>
      </c>
      <c r="B78">
        <f>_xlfn.LET(_xlpm.c,_xlfn.SINGLE(Table1[condition]),IF(RIGHT(_xlpm.c,2)="1g",1,0))</f>
        <v>0</v>
      </c>
      <c r="C78">
        <f>_xlfn.LET(_xlpm.c,_xlfn.SINGLE(Table1[condition]),_xlpm.k,CONCATENATE("*","-xsk","*"),IF(COUNTIF(_xlpm.c,_xlpm.k)&gt;0,1,0))</f>
        <v>1</v>
      </c>
      <c r="D78">
        <f>_xlfn.LET(_xlpm.c,_xlfn.SINGLE(Table1[condition]),_xlpm.k,CONCATENATE("*","-sk","*"),IF(COUNTIF(_xlpm.c,_xlpm.k)&gt;0,1,0))</f>
        <v>0</v>
      </c>
      <c r="E78">
        <f>IF(AND(Table1[[#This Row],[xsk]]=1,Table1[[#This Row],[sk]]=1),0,1)</f>
        <v>1</v>
      </c>
      <c r="F78" t="s">
        <v>117</v>
      </c>
      <c r="G78" s="1">
        <v>0.67273627710596895</v>
      </c>
      <c r="H78" s="1">
        <v>0.83775358314731196</v>
      </c>
      <c r="I78" s="1">
        <v>0.79106625497443195</v>
      </c>
      <c r="J78" s="1">
        <v>0.60793186031761703</v>
      </c>
      <c r="K78" s="1">
        <v>0.51443600885215002</v>
      </c>
      <c r="L78" s="1">
        <v>0.74469695379132905</v>
      </c>
      <c r="M78" s="1">
        <v>0.50678052932374695</v>
      </c>
      <c r="N78" s="1">
        <v>0</v>
      </c>
      <c r="O78" s="1">
        <v>0.45162579610481501</v>
      </c>
      <c r="P78" s="1">
        <v>0.43629348281715902</v>
      </c>
      <c r="Q78" s="1">
        <v>0.53987088168810105</v>
      </c>
      <c r="R78" s="1">
        <v>0.41657724385745898</v>
      </c>
      <c r="S78" s="1">
        <v>0.79201584727535301</v>
      </c>
      <c r="T78" s="1">
        <f t="shared" si="0"/>
        <v>0.56244497840426477</v>
      </c>
    </row>
    <row r="79" spans="1:20" ht="30" customHeight="1">
      <c r="A79" t="str">
        <f t="shared" si="7"/>
        <v>turkish</v>
      </c>
      <c r="B79">
        <f>_xlfn.LET(_xlpm.c,_xlfn.SINGLE(Table1[condition]),IF(RIGHT(_xlpm.c,2)="1g",1,0))</f>
        <v>1</v>
      </c>
      <c r="C79">
        <f>_xlfn.LET(_xlpm.c,_xlfn.SINGLE(Table1[condition]),_xlpm.k,CONCATENATE("*","-xsk","*"),IF(COUNTIF(_xlpm.c,_xlpm.k)&gt;0,1,0))</f>
        <v>0</v>
      </c>
      <c r="D79">
        <f>_xlfn.LET(_xlpm.c,_xlfn.SINGLE(Table1[condition]),_xlpm.k,CONCATENATE("*","-sk","*"),IF(COUNTIF(_xlpm.c,_xlpm.k)&gt;0,1,0))</f>
        <v>0</v>
      </c>
      <c r="E79">
        <f>IF(AND(Table1[[#This Row],[xsk]]=1,Table1[[#This Row],[sk]]=1),0,1)</f>
        <v>1</v>
      </c>
      <c r="F79" t="s">
        <v>90</v>
      </c>
      <c r="G79" s="1">
        <v>1</v>
      </c>
      <c r="H79" s="1">
        <v>0.77043008117455702</v>
      </c>
      <c r="I79" s="1">
        <v>0.69237362963339599</v>
      </c>
      <c r="J79" s="1">
        <v>1</v>
      </c>
      <c r="K79" s="1">
        <v>0.75954312755924902</v>
      </c>
      <c r="L79" s="1">
        <v>0.66141158499095398</v>
      </c>
      <c r="M79" s="1">
        <v>0.50938897502174596</v>
      </c>
      <c r="N79" s="1">
        <v>0.54393967347337502</v>
      </c>
      <c r="O79" s="1">
        <v>0.61371722462217204</v>
      </c>
      <c r="P79" s="1">
        <v>0.63972761897316099</v>
      </c>
      <c r="Q79" s="1">
        <v>0.61128763865418501</v>
      </c>
      <c r="R79" s="1">
        <v>1</v>
      </c>
      <c r="S79" s="1">
        <v>0.53168006940159895</v>
      </c>
      <c r="T79" s="1">
        <f t="shared" si="0"/>
        <v>0.71796150950033799</v>
      </c>
    </row>
    <row r="80" spans="1:20" ht="30" customHeight="1">
      <c r="A80" t="str">
        <f t="shared" si="7"/>
        <v>turkish</v>
      </c>
      <c r="B80">
        <f>_xlfn.LET(_xlpm.c,_xlfn.SINGLE(Table1[condition]),IF(RIGHT(_xlpm.c,2)="1g",1,0))</f>
        <v>0</v>
      </c>
      <c r="C80">
        <f>_xlfn.LET(_xlpm.c,_xlfn.SINGLE(Table1[condition]),_xlpm.k,CONCATENATE("*","-xsk","*"),IF(COUNTIF(_xlpm.c,_xlpm.k)&gt;0,1,0))</f>
        <v>0</v>
      </c>
      <c r="D80">
        <f>_xlfn.LET(_xlpm.c,_xlfn.SINGLE(Table1[condition]),_xlpm.k,CONCATENATE("*","-sk","*"),IF(COUNTIF(_xlpm.c,_xlpm.k)&gt;0,1,0))</f>
        <v>0</v>
      </c>
      <c r="E80">
        <f>IF(AND(Table1[[#This Row],[xsk]]=1,Table1[[#This Row],[sk]]=1),0,1)</f>
        <v>1</v>
      </c>
      <c r="F80" t="s">
        <v>91</v>
      </c>
      <c r="G80" s="1">
        <v>0.81388396240056105</v>
      </c>
      <c r="H80" s="1">
        <v>0.76573932255354604</v>
      </c>
      <c r="I80" s="1">
        <v>0.64779403982032402</v>
      </c>
      <c r="J80" s="1">
        <v>1</v>
      </c>
      <c r="K80" s="1">
        <v>0.44595640916752899</v>
      </c>
      <c r="L80" s="1">
        <v>0.76330483027934104</v>
      </c>
      <c r="M80" s="1">
        <v>0.45700141096059299</v>
      </c>
      <c r="N80" s="1">
        <v>1</v>
      </c>
      <c r="O80" s="1">
        <v>0.80425163336096195</v>
      </c>
      <c r="P80" s="1">
        <v>0.472135954999579</v>
      </c>
      <c r="Q80" s="1">
        <v>0.33785961077296001</v>
      </c>
      <c r="R80" s="1">
        <v>1</v>
      </c>
      <c r="S80" s="1">
        <v>0.37041603401659501</v>
      </c>
      <c r="T80" s="1">
        <f t="shared" si="0"/>
        <v>0.68294947756399915</v>
      </c>
    </row>
    <row r="81" spans="1:20" ht="30" customHeight="1">
      <c r="A81" t="str">
        <f t="shared" si="7"/>
        <v>turkish</v>
      </c>
      <c r="B81">
        <f>_xlfn.LET(_xlpm.c,_xlfn.SINGLE(Table1[condition]),IF(RIGHT(_xlpm.c,2)="1g",1,0))</f>
        <v>0</v>
      </c>
      <c r="C81">
        <f>_xlfn.LET(_xlpm.c,_xlfn.SINGLE(Table1[condition]),_xlpm.k,CONCATENATE("*","-xsk","*"),IF(COUNTIF(_xlpm.c,_xlpm.k)&gt;0,1,0))</f>
        <v>0</v>
      </c>
      <c r="D81">
        <f>_xlfn.LET(_xlpm.c,_xlfn.SINGLE(Table1[condition]),_xlpm.k,CONCATENATE("*","-sk","*"),IF(COUNTIF(_xlpm.c,_xlpm.k)&gt;0,1,0))</f>
        <v>0</v>
      </c>
      <c r="E81">
        <f>IF(AND(Table1[[#This Row],[xsk]]=1,Table1[[#This Row],[sk]]=1),0,1)</f>
        <v>1</v>
      </c>
      <c r="F81" t="s">
        <v>92</v>
      </c>
      <c r="G81" s="1">
        <v>0.87582805489234905</v>
      </c>
      <c r="H81" s="1">
        <v>1</v>
      </c>
      <c r="I81" s="1">
        <v>0.81891712637224701</v>
      </c>
      <c r="J81" s="1">
        <v>0.52645522997101102</v>
      </c>
      <c r="K81" s="1">
        <v>1</v>
      </c>
      <c r="L81" s="1">
        <v>0</v>
      </c>
      <c r="M81" s="1">
        <v>0.38294677749566702</v>
      </c>
      <c r="N81" s="1">
        <v>0.741954662166738</v>
      </c>
      <c r="O81" s="1">
        <v>0.47877538267962699</v>
      </c>
      <c r="P81" s="1">
        <v>0.48912529307605701</v>
      </c>
      <c r="Q81" s="1">
        <v>1</v>
      </c>
      <c r="R81" s="1">
        <v>1</v>
      </c>
      <c r="S81" s="1">
        <v>0.48446778450024103</v>
      </c>
      <c r="T81" s="1">
        <f t="shared" si="0"/>
        <v>0.67680540855030291</v>
      </c>
    </row>
    <row r="82" spans="1:20" ht="30" customHeight="1">
      <c r="A82" t="str">
        <f t="shared" si="7"/>
        <v>turkish</v>
      </c>
      <c r="B82">
        <f>_xlfn.LET(_xlpm.c,_xlfn.SINGLE(Table1[condition]),IF(RIGHT(_xlpm.c,2)="1g",1,0))</f>
        <v>0</v>
      </c>
      <c r="C82">
        <f>_xlfn.LET(_xlpm.c,_xlfn.SINGLE(Table1[condition]),_xlpm.k,CONCATENATE("*","-xsk","*"),IF(COUNTIF(_xlpm.c,_xlpm.k)&gt;0,1,0))</f>
        <v>0</v>
      </c>
      <c r="D82">
        <f>_xlfn.LET(_xlpm.c,_xlfn.SINGLE(Table1[condition]),_xlpm.k,CONCATENATE("*","-sk","*"),IF(COUNTIF(_xlpm.c,_xlpm.k)&gt;0,1,0))</f>
        <v>1</v>
      </c>
      <c r="E82">
        <f>IF(AND(Table1[[#This Row],[xsk]]=1,Table1[[#This Row],[sk]]=1),0,1)</f>
        <v>1</v>
      </c>
      <c r="F82" t="s">
        <v>93</v>
      </c>
      <c r="G82" s="1">
        <v>0.54228783956272297</v>
      </c>
      <c r="H82" s="1">
        <v>0.58600654185337597</v>
      </c>
      <c r="I82" s="1">
        <v>0.71680059956648701</v>
      </c>
      <c r="J82" s="1">
        <v>0.67475867453989402</v>
      </c>
      <c r="K82" s="1">
        <v>0.52030369513807495</v>
      </c>
      <c r="L82" s="1">
        <v>0.55864613759100901</v>
      </c>
      <c r="M82" s="1">
        <v>0.97777777777777697</v>
      </c>
      <c r="N82" s="1">
        <v>1</v>
      </c>
      <c r="O82" s="1">
        <v>0.551755836814665</v>
      </c>
      <c r="P82" s="1">
        <v>0.53324558035355896</v>
      </c>
      <c r="Q82" s="1">
        <v>0.71684707783368595</v>
      </c>
      <c r="R82" s="1">
        <v>1</v>
      </c>
      <c r="S82" s="1">
        <v>0.50615856965468398</v>
      </c>
      <c r="T82" s="1">
        <f t="shared" si="0"/>
        <v>0.68342987159122559</v>
      </c>
    </row>
    <row r="83" spans="1:20" ht="30" customHeight="1">
      <c r="A83" t="str">
        <f t="shared" si="7"/>
        <v>turkish</v>
      </c>
      <c r="B83">
        <f>_xlfn.LET(_xlpm.c,_xlfn.SINGLE(Table1[condition]),IF(RIGHT(_xlpm.c,2)="1g",1,0))</f>
        <v>0</v>
      </c>
      <c r="C83">
        <f>_xlfn.LET(_xlpm.c,_xlfn.SINGLE(Table1[condition]),_xlpm.k,CONCATENATE("*","-xsk","*"),IF(COUNTIF(_xlpm.c,_xlpm.k)&gt;0,1,0))</f>
        <v>0</v>
      </c>
      <c r="D83">
        <f>_xlfn.LET(_xlpm.c,_xlfn.SINGLE(Table1[condition]),_xlpm.k,CONCATENATE("*","-sk","*"),IF(COUNTIF(_xlpm.c,_xlpm.k)&gt;0,1,0))</f>
        <v>1</v>
      </c>
      <c r="E83">
        <f>IF(AND(Table1[[#This Row],[xsk]]=1,Table1[[#This Row],[sk]]=1),0,1)</f>
        <v>1</v>
      </c>
      <c r="F83" t="s">
        <v>94</v>
      </c>
      <c r="G83" s="1">
        <v>1</v>
      </c>
      <c r="H83" s="1">
        <v>0.89897948556635598</v>
      </c>
      <c r="I83" s="1">
        <v>0.47550526393055298</v>
      </c>
      <c r="J83" s="1">
        <v>0.46153846153846101</v>
      </c>
      <c r="K83" s="1">
        <v>1</v>
      </c>
      <c r="L83" s="1">
        <v>0.35747015632115903</v>
      </c>
      <c r="M83" s="1">
        <v>1</v>
      </c>
      <c r="N83" s="1">
        <v>1</v>
      </c>
      <c r="O83" s="1">
        <v>0.73205080756887697</v>
      </c>
      <c r="P83" s="1">
        <v>1</v>
      </c>
      <c r="Q83" s="1">
        <v>1</v>
      </c>
      <c r="R83" s="1">
        <v>0.44175116965346301</v>
      </c>
      <c r="S83" s="1">
        <v>0.48285658241324902</v>
      </c>
      <c r="T83" s="1">
        <f t="shared" si="0"/>
        <v>0.75770399438400904</v>
      </c>
    </row>
    <row r="84" spans="1:20" ht="30" customHeight="1">
      <c r="A84" t="str">
        <f t="shared" si="7"/>
        <v>turkish</v>
      </c>
      <c r="B84">
        <f>_xlfn.LET(_xlpm.c,_xlfn.SINGLE(Table1[condition]),IF(RIGHT(_xlpm.c,2)="1g",1,0))</f>
        <v>0</v>
      </c>
      <c r="C84">
        <f>_xlfn.LET(_xlpm.c,_xlfn.SINGLE(Table1[condition]),_xlpm.k,CONCATENATE("*","-xsk","*"),IF(COUNTIF(_xlpm.c,_xlpm.k)&gt;0,1,0))</f>
        <v>1</v>
      </c>
      <c r="D84">
        <f>_xlfn.LET(_xlpm.c,_xlfn.SINGLE(Table1[condition]),_xlpm.k,CONCATENATE("*","-sk","*"),IF(COUNTIF(_xlpm.c,_xlpm.k)&gt;0,1,0))</f>
        <v>0</v>
      </c>
      <c r="E84">
        <f>IF(AND(Table1[[#This Row],[xsk]]=1,Table1[[#This Row],[sk]]=1),0,1)</f>
        <v>1</v>
      </c>
      <c r="F84" t="s">
        <v>95</v>
      </c>
      <c r="G84" s="1">
        <v>0.85065379526144103</v>
      </c>
      <c r="H84" s="1">
        <v>0.74500840046716699</v>
      </c>
      <c r="I84" s="1">
        <v>0.54255264404655801</v>
      </c>
      <c r="J84" s="1">
        <v>0.63737392625272504</v>
      </c>
      <c r="K84" s="1">
        <v>0.48628458361672799</v>
      </c>
      <c r="L84" s="1">
        <v>0.53048675466099804</v>
      </c>
      <c r="M84" s="1">
        <v>0.47574954018050403</v>
      </c>
      <c r="N84" s="1">
        <v>1</v>
      </c>
      <c r="O84" s="1">
        <v>0.741954662166738</v>
      </c>
      <c r="P84" s="1">
        <v>1</v>
      </c>
      <c r="Q84" s="1">
        <v>0.38077136870685901</v>
      </c>
      <c r="R84" s="1">
        <v>0.33850460857165998</v>
      </c>
      <c r="S84" s="1">
        <v>0.53218407883725605</v>
      </c>
      <c r="T84" s="1">
        <f t="shared" si="0"/>
        <v>0.63550187405912573</v>
      </c>
    </row>
    <row r="85" spans="1:20" ht="30" customHeight="1">
      <c r="A85" t="str">
        <f t="shared" si="7"/>
        <v>turkish</v>
      </c>
      <c r="B85">
        <f>_xlfn.LET(_xlpm.c,_xlfn.SINGLE(Table1[condition]),IF(RIGHT(_xlpm.c,2)="1g",1,0))</f>
        <v>0</v>
      </c>
      <c r="C85">
        <f>_xlfn.LET(_xlpm.c,_xlfn.SINGLE(Table1[condition]),_xlpm.k,CONCATENATE("*","-xsk","*"),IF(COUNTIF(_xlpm.c,_xlpm.k)&gt;0,1,0))</f>
        <v>1</v>
      </c>
      <c r="D85">
        <f>_xlfn.LET(_xlpm.c,_xlfn.SINGLE(Table1[condition]),_xlpm.k,CONCATENATE("*","-sk","*"),IF(COUNTIF(_xlpm.c,_xlpm.k)&gt;0,1,0))</f>
        <v>0</v>
      </c>
      <c r="E85">
        <f>IF(AND(Table1[[#This Row],[xsk]]=1,Table1[[#This Row],[sk]]=1),0,1)</f>
        <v>1</v>
      </c>
      <c r="F85" t="s">
        <v>96</v>
      </c>
      <c r="G85" s="1">
        <v>1</v>
      </c>
      <c r="H85" s="1">
        <v>0.74710649932525497</v>
      </c>
      <c r="I85" s="1">
        <v>0.66804694469425496</v>
      </c>
      <c r="J85" s="1">
        <v>1</v>
      </c>
      <c r="K85" s="1">
        <v>0.733968609414135</v>
      </c>
      <c r="L85" s="1">
        <v>0.50853308366234395</v>
      </c>
      <c r="M85" s="1">
        <v>0.428502337308309</v>
      </c>
      <c r="N85" s="1">
        <v>0.36351540146037198</v>
      </c>
      <c r="O85" s="1">
        <v>0.49778756730213702</v>
      </c>
      <c r="P85" s="1">
        <v>1</v>
      </c>
      <c r="Q85" s="1">
        <v>0.50242724166506902</v>
      </c>
      <c r="R85" s="1">
        <v>0.51925930159213896</v>
      </c>
      <c r="S85" s="1">
        <v>0.49778756730213702</v>
      </c>
      <c r="T85" s="1">
        <f t="shared" si="0"/>
        <v>0.65130265797893483</v>
      </c>
    </row>
    <row r="87" spans="1:20" ht="30" customHeight="1">
      <c r="F87" t="s">
        <v>118</v>
      </c>
    </row>
    <row r="88" spans="1:20" ht="30" customHeight="1">
      <c r="F88" t="s">
        <v>37</v>
      </c>
      <c r="G88" s="2">
        <f>_xlfn.LET(_xlpm.d,G$2:G$85,AVERAGE(_xlpm.d))</f>
        <v>0.78076338973303572</v>
      </c>
      <c r="H88" s="2">
        <f t="shared" ref="H88:T88" si="8">_xlfn.LET(_xlpm.d,H$2:H$85,AVERAGE(_xlpm.d))</f>
        <v>0.72791066513800473</v>
      </c>
      <c r="I88" s="2">
        <f t="shared" si="8"/>
        <v>0.71552559446977615</v>
      </c>
      <c r="J88" s="2">
        <f t="shared" si="8"/>
        <v>0.7136689930660739</v>
      </c>
      <c r="K88" s="2">
        <f t="shared" si="8"/>
        <v>0.69747465297905265</v>
      </c>
      <c r="L88" s="2">
        <f t="shared" si="8"/>
        <v>0.64873160221384785</v>
      </c>
      <c r="M88" s="2">
        <f t="shared" si="8"/>
        <v>0.65861771559103366</v>
      </c>
      <c r="N88" s="2">
        <f t="shared" si="8"/>
        <v>0.68272390264836258</v>
      </c>
      <c r="O88" s="2">
        <f t="shared" si="8"/>
        <v>0.66328095501575501</v>
      </c>
      <c r="P88" s="2">
        <f t="shared" si="8"/>
        <v>0.64380936327333027</v>
      </c>
      <c r="Q88" s="2">
        <f t="shared" si="8"/>
        <v>0.63229379747857783</v>
      </c>
      <c r="R88" s="2">
        <f t="shared" si="8"/>
        <v>0.64158176841958758</v>
      </c>
      <c r="S88" s="2">
        <f t="shared" si="8"/>
        <v>0.60314223131316824</v>
      </c>
      <c r="T88" s="2">
        <f t="shared" si="8"/>
        <v>0.67407699078412076</v>
      </c>
    </row>
    <row r="89" spans="1:20" ht="30" customHeight="1">
      <c r="F89" t="s">
        <v>38</v>
      </c>
      <c r="G89" s="2" cm="1">
        <f t="array" ref="G89">_xlfn.LET(_xlpm.d,G$2:G$85,_xlpm.f,$A$2:$A$85,_xlpm.k,$F89,AVERAGE(_xlfn._xlws.FILTER(_xlpm.d,_xlpm.f=_xlpm.k)))</f>
        <v>0.999696032577716</v>
      </c>
      <c r="H89" s="2" cm="1">
        <f t="array" ref="H89">_xlfn.LET(_xlpm.d,H$2:H$85,_xlpm.f,$A$2:$A$85,_xlpm.k,$F89,AVERAGE(_xlfn._xlws.FILTER(_xlpm.d,_xlpm.f=_xlpm.k)))</f>
        <v>0.99939333972600763</v>
      </c>
      <c r="I89" s="2" cm="1">
        <f t="array" ref="I89">_xlfn.LET(_xlpm.d,I$2:I$85,_xlpm.f,$A$2:$A$85,_xlpm.k,$F89,AVERAGE(_xlfn._xlws.FILTER(_xlpm.d,_xlpm.f=_xlpm.k)))</f>
        <v>0.99971770347482547</v>
      </c>
      <c r="J89" s="2" cm="1">
        <f t="array" ref="J89">_xlfn.LET(_xlpm.d,J$2:J$85,_xlpm.f,$A$2:$A$85,_xlpm.k,$F89,AVERAGE(_xlfn._xlws.FILTER(_xlpm.d,_xlpm.f=_xlpm.k)))</f>
        <v>0.99968943365511886</v>
      </c>
      <c r="K89" s="2" cm="1">
        <f t="array" ref="K89">_xlfn.LET(_xlpm.d,K$2:K$85,_xlpm.f,$A$2:$A$85,_xlpm.k,$F89,AVERAGE(_xlfn._xlws.FILTER(_xlpm.d,_xlpm.f=_xlpm.k)))</f>
        <v>1</v>
      </c>
      <c r="L89" s="2" cm="1">
        <f t="array" ref="L89">_xlfn.LET(_xlpm.d,L$2:L$85,_xlpm.f,$A$2:$A$85,_xlpm.k,$F89,AVERAGE(_xlfn._xlws.FILTER(_xlpm.d,_xlpm.f=_xlpm.k)))</f>
        <v>0.99983291379385852</v>
      </c>
      <c r="M89" s="2" cm="1">
        <f t="array" ref="M89">_xlfn.LET(_xlpm.d,M$2:M$85,_xlpm.f,$A$2:$A$85,_xlpm.k,$F89,AVERAGE(_xlfn._xlws.FILTER(_xlpm.d,_xlpm.f=_xlpm.k)))</f>
        <v>0.99967721229926532</v>
      </c>
      <c r="N89" s="2" cm="1">
        <f t="array" ref="N89">_xlfn.LET(_xlpm.d,N$2:N$85,_xlpm.f,$A$2:$A$85,_xlpm.k,$F89,AVERAGE(_xlfn._xlws.FILTER(_xlpm.d,_xlpm.f=_xlpm.k)))</f>
        <v>0.9992105411983635</v>
      </c>
      <c r="O89" s="2" cm="1">
        <f t="array" ref="O89">_xlfn.LET(_xlpm.d,O$2:O$85,_xlpm.f,$A$2:$A$85,_xlpm.k,$F89,AVERAGE(_xlfn._xlws.FILTER(_xlpm.d,_xlpm.f=_xlpm.k)))</f>
        <v>0.99882514816060863</v>
      </c>
      <c r="P89" s="2" cm="1">
        <f t="array" ref="P89">_xlfn.LET(_xlpm.d,P$2:P$85,_xlpm.f,$A$2:$A$85,_xlpm.k,$F89,AVERAGE(_xlfn._xlws.FILTER(_xlpm.d,_xlpm.f=_xlpm.k)))</f>
        <v>0.99917884630746023</v>
      </c>
      <c r="Q89" s="2" cm="1">
        <f t="array" ref="Q89">_xlfn.LET(_xlpm.d,Q$2:Q$85,_xlpm.f,$A$2:$A$85,_xlpm.k,$F89,AVERAGE(_xlfn._xlws.FILTER(_xlpm.d,_xlpm.f=_xlpm.k)))</f>
        <v>0.9993001220787564</v>
      </c>
      <c r="R89" s="2" cm="1">
        <f t="array" ref="R89">_xlfn.LET(_xlpm.d,R$2:R$85,_xlpm.f,$A$2:$A$85,_xlpm.k,$F89,AVERAGE(_xlfn._xlws.FILTER(_xlpm.d,_xlpm.f=_xlpm.k)))</f>
        <v>0.99980850214536576</v>
      </c>
      <c r="S89" s="2" cm="1">
        <f t="array" ref="S89">_xlfn.LET(_xlpm.d,S$2:S$85,_xlpm.f,$A$2:$A$85,_xlpm.k,$F89,AVERAGE(_xlfn._xlws.FILTER(_xlpm.d,_xlpm.f=_xlpm.k)))</f>
        <v>0.98607488697146051</v>
      </c>
      <c r="T89" s="2" cm="1">
        <f t="array" ref="T89">_xlfn.LET(_xlpm.d,T$2:T$85,_xlpm.f,$A$2:$A$85,_xlpm.k,$F89,AVERAGE(_xlfn._xlws.FILTER(_xlpm.d,_xlpm.f=_xlpm.k)))</f>
        <v>0.99849266787606206</v>
      </c>
    </row>
    <row r="90" spans="1:20" ht="30" customHeight="1">
      <c r="F90" t="s">
        <v>40</v>
      </c>
      <c r="G90" s="2" cm="1">
        <f t="array" ref="G90">_xlfn.LET(_xlpm.d,G$2:G$85,_xlpm.f,$A$2:$A$85,_xlpm.k,$F90,AVERAGE(_xlfn._xlws.FILTER(_xlpm.d,_xlpm.f=_xlpm.k)))</f>
        <v>0.4187788316054003</v>
      </c>
      <c r="H90" s="2" cm="1">
        <f t="array" ref="H90">_xlfn.LET(_xlpm.d,H$2:H$85,_xlpm.f,$A$2:$A$85,_xlpm.k,$F90,AVERAGE(_xlfn._xlws.FILTER(_xlpm.d,_xlpm.f=_xlpm.k)))</f>
        <v>0.29958786747823385</v>
      </c>
      <c r="I90" s="2" cm="1">
        <f t="array" ref="I90">_xlfn.LET(_xlpm.d,I$2:I$85,_xlpm.f,$A$2:$A$85,_xlpm.k,$F90,AVERAGE(_xlfn._xlws.FILTER(_xlpm.d,_xlpm.f=_xlpm.k)))</f>
        <v>0.37493011121447689</v>
      </c>
      <c r="J90" s="2" cm="1">
        <f t="array" ref="J90">_xlfn.LET(_xlpm.d,J$2:J$85,_xlpm.f,$A$2:$A$85,_xlpm.k,$F90,AVERAGE(_xlfn._xlws.FILTER(_xlpm.d,_xlpm.f=_xlpm.k)))</f>
        <v>0.33861170416629288</v>
      </c>
      <c r="K90" s="2" cm="1">
        <f t="array" ref="K90">_xlfn.LET(_xlpm.d,K$2:K$85,_xlpm.f,$A$2:$A$85,_xlpm.k,$F90,AVERAGE(_xlfn._xlws.FILTER(_xlpm.d,_xlpm.f=_xlpm.k)))</f>
        <v>0.3220864948943678</v>
      </c>
      <c r="L90" s="2" cm="1">
        <f t="array" ref="L90">_xlfn.LET(_xlpm.d,L$2:L$85,_xlpm.f,$A$2:$A$85,_xlpm.k,$F90,AVERAGE(_xlfn._xlws.FILTER(_xlpm.d,_xlpm.f=_xlpm.k)))</f>
        <v>0.21693552480615974</v>
      </c>
      <c r="M90" s="2" cm="1">
        <f t="array" ref="M90">_xlfn.LET(_xlpm.d,M$2:M$85,_xlpm.f,$A$2:$A$85,_xlpm.k,$F90,AVERAGE(_xlfn._xlws.FILTER(_xlpm.d,_xlpm.f=_xlpm.k)))</f>
        <v>0.26473860490317269</v>
      </c>
      <c r="N90" s="2" cm="1">
        <f t="array" ref="N90">_xlfn.LET(_xlpm.d,N$2:N$85,_xlpm.f,$A$2:$A$85,_xlpm.k,$F90,AVERAGE(_xlfn._xlws.FILTER(_xlpm.d,_xlpm.f=_xlpm.k)))</f>
        <v>0.31984404605864014</v>
      </c>
      <c r="O90" s="2" cm="1">
        <f t="array" ref="O90">_xlfn.LET(_xlpm.d,O$2:O$85,_xlpm.f,$A$2:$A$85,_xlpm.k,$F90,AVERAGE(_xlfn._xlws.FILTER(_xlpm.d,_xlpm.f=_xlpm.k)))</f>
        <v>0.11307883067497349</v>
      </c>
      <c r="P90" s="2" cm="1">
        <f t="array" ref="P90">_xlfn.LET(_xlpm.d,P$2:P$85,_xlpm.f,$A$2:$A$85,_xlpm.k,$F90,AVERAGE(_xlfn._xlws.FILTER(_xlpm.d,_xlpm.f=_xlpm.k)))</f>
        <v>0.25871842756185653</v>
      </c>
      <c r="Q90" s="2" cm="1">
        <f t="array" ref="Q90">_xlfn.LET(_xlpm.d,Q$2:Q$85,_xlpm.f,$A$2:$A$85,_xlpm.k,$F90,AVERAGE(_xlfn._xlws.FILTER(_xlpm.d,_xlpm.f=_xlpm.k)))</f>
        <v>8.3333333333333329E-2</v>
      </c>
      <c r="R90" s="2" cm="1">
        <f t="array" ref="R90">_xlfn.LET(_xlpm.d,R$2:R$85,_xlpm.f,$A$2:$A$85,_xlpm.k,$F90,AVERAGE(_xlfn._xlws.FILTER(_xlpm.d,_xlpm.f=_xlpm.k)))</f>
        <v>0.20093381708575428</v>
      </c>
      <c r="S90" s="2" cm="1">
        <f t="array" ref="S90">_xlfn.LET(_xlpm.d,S$2:S$85,_xlpm.f,$A$2:$A$85,_xlpm.k,$F90,AVERAGE(_xlfn._xlws.FILTER(_xlpm.d,_xlpm.f=_xlpm.k)))</f>
        <v>0.24049306613164473</v>
      </c>
      <c r="T90" s="2" cm="1">
        <f t="array" ref="T90">_xlfn.LET(_xlpm.d,T$2:T$85,_xlpm.f,$A$2:$A$85,_xlpm.k,$F90,AVERAGE(_xlfn._xlws.FILTER(_xlpm.d,_xlpm.f=_xlpm.k)))</f>
        <v>0.27097683329564354</v>
      </c>
    </row>
    <row r="91" spans="1:20" ht="30" customHeight="1">
      <c r="F91" t="s">
        <v>41</v>
      </c>
      <c r="G91" s="2" cm="1">
        <f t="array" ref="G91">_xlfn.LET(_xlpm.d,G$2:G$85,_xlpm.f,$A$2:$A$85,_xlpm.k,$F91,AVERAGE(_xlfn._xlws.FILTER(_xlpm.d,_xlpm.f=_xlpm.k)))</f>
        <v>0.47908962181357179</v>
      </c>
      <c r="H91" s="2" cm="1">
        <f t="array" ref="H91">_xlfn.LET(_xlpm.d,H$2:H$85,_xlpm.f,$A$2:$A$85,_xlpm.k,$F91,AVERAGE(_xlfn._xlws.FILTER(_xlpm.d,_xlpm.f=_xlpm.k)))</f>
        <v>0.40002609578361364</v>
      </c>
      <c r="I91" s="2" cm="1">
        <f t="array" ref="I91">_xlfn.LET(_xlpm.d,I$2:I$85,_xlpm.f,$A$2:$A$85,_xlpm.k,$F91,AVERAGE(_xlfn._xlws.FILTER(_xlpm.d,_xlpm.f=_xlpm.k)))</f>
        <v>0.30088362011974018</v>
      </c>
      <c r="J91" s="2" cm="1">
        <f t="array" ref="J91">_xlfn.LET(_xlpm.d,J$2:J$85,_xlpm.f,$A$2:$A$85,_xlpm.k,$F91,AVERAGE(_xlfn._xlws.FILTER(_xlpm.d,_xlpm.f=_xlpm.k)))</f>
        <v>0.31419728994996915</v>
      </c>
      <c r="K91" s="2" cm="1">
        <f t="array" ref="K91">_xlfn.LET(_xlpm.d,K$2:K$85,_xlpm.f,$A$2:$A$85,_xlpm.k,$F91,AVERAGE(_xlfn._xlws.FILTER(_xlpm.d,_xlpm.f=_xlpm.k)))</f>
        <v>0.27951521714418343</v>
      </c>
      <c r="L91" s="2" cm="1">
        <f t="array" ref="L91">_xlfn.LET(_xlpm.d,L$2:L$85,_xlpm.f,$A$2:$A$85,_xlpm.k,$F91,AVERAGE(_xlfn._xlws.FILTER(_xlpm.d,_xlpm.f=_xlpm.k)))</f>
        <v>0.17777525957809398</v>
      </c>
      <c r="M91" s="2" cm="1">
        <f t="array" ref="M91">_xlfn.LET(_xlpm.d,M$2:M$85,_xlpm.f,$A$2:$A$85,_xlpm.k,$F91,AVERAGE(_xlfn._xlws.FILTER(_xlpm.d,_xlpm.f=_xlpm.k)))</f>
        <v>9.0286555876259292E-2</v>
      </c>
      <c r="N91" s="2" cm="1">
        <f t="array" ref="N91">_xlfn.LET(_xlpm.d,N$2:N$85,_xlpm.f,$A$2:$A$85,_xlpm.k,$F91,AVERAGE(_xlfn._xlws.FILTER(_xlpm.d,_xlpm.f=_xlpm.k)))</f>
        <v>0.21636088960735475</v>
      </c>
      <c r="O91" s="2" cm="1">
        <f t="array" ref="O91">_xlfn.LET(_xlpm.d,O$2:O$85,_xlpm.f,$A$2:$A$85,_xlpm.k,$F91,AVERAGE(_xlfn._xlws.FILTER(_xlpm.d,_xlpm.f=_xlpm.k)))</f>
        <v>0.31704491924452533</v>
      </c>
      <c r="P91" s="2" cm="1">
        <f t="array" ref="P91">_xlfn.LET(_xlpm.d,P$2:P$85,_xlpm.f,$A$2:$A$85,_xlpm.k,$F91,AVERAGE(_xlfn._xlws.FILTER(_xlpm.d,_xlpm.f=_xlpm.k)))</f>
        <v>0.31208560155137244</v>
      </c>
      <c r="Q91" s="2" cm="1">
        <f t="array" ref="Q91">_xlfn.LET(_xlpm.d,Q$2:Q$85,_xlpm.f,$A$2:$A$85,_xlpm.k,$F91,AVERAGE(_xlfn._xlws.FILTER(_xlpm.d,_xlpm.f=_xlpm.k)))</f>
        <v>0.24331402557257084</v>
      </c>
      <c r="R91" s="2" cm="1">
        <f t="array" ref="R91">_xlfn.LET(_xlpm.d,R$2:R$85,_xlpm.f,$A$2:$A$85,_xlpm.k,$F91,AVERAGE(_xlfn._xlws.FILTER(_xlpm.d,_xlpm.f=_xlpm.k)))</f>
        <v>0.21608445047889649</v>
      </c>
      <c r="S91" s="2" cm="1">
        <f t="array" ref="S91">_xlfn.LET(_xlpm.d,S$2:S$85,_xlpm.f,$A$2:$A$85,_xlpm.k,$F91,AVERAGE(_xlfn._xlws.FILTER(_xlpm.d,_xlpm.f=_xlpm.k)))</f>
        <v>0.18257999267457015</v>
      </c>
      <c r="T91" s="2" cm="1">
        <f t="array" ref="T91">_xlfn.LET(_xlpm.d,T$2:T$85,_xlpm.f,$A$2:$A$85,_xlpm.k,$F91,AVERAGE(_xlfn._xlws.FILTER(_xlpm.d,_xlpm.f=_xlpm.k)))</f>
        <v>0.27061099716769738</v>
      </c>
    </row>
    <row r="92" spans="1:20" ht="30" customHeight="1">
      <c r="F92" t="s">
        <v>97</v>
      </c>
      <c r="G92" s="2" cm="1">
        <f t="array" ref="G92">_xlfn.LET(_xlpm.d,G$2:G$85,_xlpm.f,$A$2:$A$85,_xlpm.k,$F92,AVERAGE(_xlfn._xlws.FILTER(_xlpm.d,_xlpm.f=_xlpm.k)))</f>
        <v>0.63669661782212494</v>
      </c>
      <c r="H92" s="2" cm="1">
        <f t="array" ref="H92">_xlfn.LET(_xlpm.d,H$2:H$85,_xlpm.f,$A$2:$A$85,_xlpm.k,$F92,AVERAGE(_xlfn._xlws.FILTER(_xlpm.d,_xlpm.f=_xlpm.k)))</f>
        <v>0.69772199580932681</v>
      </c>
      <c r="I92" s="2" cm="1">
        <f t="array" ref="I92">_xlfn.LET(_xlpm.d,I$2:I$85,_xlpm.f,$A$2:$A$85,_xlpm.k,$F92,AVERAGE(_xlfn._xlws.FILTER(_xlpm.d,_xlpm.f=_xlpm.k)))</f>
        <v>0.55813997823405981</v>
      </c>
      <c r="J92" s="2" cm="1">
        <f t="array" ref="J92">_xlfn.LET(_xlpm.d,J$2:J$85,_xlpm.f,$A$2:$A$85,_xlpm.k,$F92,AVERAGE(_xlfn._xlws.FILTER(_xlpm.d,_xlpm.f=_xlpm.k)))</f>
        <v>0.60540464705461028</v>
      </c>
      <c r="K92" s="2" cm="1">
        <f t="array" ref="K92">_xlfn.LET(_xlpm.d,K$2:K$85,_xlpm.f,$A$2:$A$85,_xlpm.k,$F92,AVERAGE(_xlfn._xlws.FILTER(_xlpm.d,_xlpm.f=_xlpm.k)))</f>
        <v>0.5057566841401292</v>
      </c>
      <c r="L92" s="2" cm="1">
        <f t="array" ref="L92">_xlfn.LET(_xlpm.d,L$2:L$85,_xlpm.f,$A$2:$A$85,_xlpm.k,$F92,AVERAGE(_xlfn._xlws.FILTER(_xlpm.d,_xlpm.f=_xlpm.k)))</f>
        <v>0.3964774073630154</v>
      </c>
      <c r="M92" s="2" cm="1">
        <f t="array" ref="M92">_xlfn.LET(_xlpm.d,M$2:M$85,_xlpm.f,$A$2:$A$85,_xlpm.k,$F92,AVERAGE(_xlfn._xlws.FILTER(_xlpm.d,_xlpm.f=_xlpm.k)))</f>
        <v>0.5326714162140096</v>
      </c>
      <c r="N92" s="2" cm="1">
        <f t="array" ref="N92">_xlfn.LET(_xlpm.d,N$2:N$85,_xlpm.f,$A$2:$A$85,_xlpm.k,$F92,AVERAGE(_xlfn._xlws.FILTER(_xlpm.d,_xlpm.f=_xlpm.k)))</f>
        <v>0.52982035738952138</v>
      </c>
      <c r="O92" s="2" cm="1">
        <f t="array" ref="O92">_xlfn.LET(_xlpm.d,O$2:O$85,_xlpm.f,$A$2:$A$85,_xlpm.k,$F92,AVERAGE(_xlfn._xlws.FILTER(_xlpm.d,_xlpm.f=_xlpm.k)))</f>
        <v>0.61436161477241591</v>
      </c>
      <c r="P92" s="2" cm="1">
        <f t="array" ref="P92">_xlfn.LET(_xlpm.d,P$2:P$85,_xlpm.f,$A$2:$A$85,_xlpm.k,$F92,AVERAGE(_xlfn._xlws.FILTER(_xlpm.d,_xlpm.f=_xlpm.k)))</f>
        <v>0.50320150612916958</v>
      </c>
      <c r="Q92" s="2" cm="1">
        <f t="array" ref="Q92">_xlfn.LET(_xlpm.d,Q$2:Q$85,_xlpm.f,$A$2:$A$85,_xlpm.k,$F92,AVERAGE(_xlfn._xlws.FILTER(_xlpm.d,_xlpm.f=_xlpm.k)))</f>
        <v>0.37155405861240282</v>
      </c>
      <c r="R92" s="2" cm="1">
        <f t="array" ref="R92">_xlfn.LET(_xlpm.d,R$2:R$85,_xlpm.f,$A$2:$A$85,_xlpm.k,$F92,AVERAGE(_xlfn._xlws.FILTER(_xlpm.d,_xlpm.f=_xlpm.k)))</f>
        <v>0.42515404087252601</v>
      </c>
      <c r="S92" s="2" cm="1">
        <f t="array" ref="S92">_xlfn.LET(_xlpm.d,S$2:S$85,_xlpm.f,$A$2:$A$85,_xlpm.k,$F92,AVERAGE(_xlfn._xlws.FILTER(_xlpm.d,_xlpm.f=_xlpm.k)))</f>
        <v>0.56128302237782146</v>
      </c>
      <c r="T92" s="2" cm="1">
        <f t="array" ref="T92">_xlfn.LET(_xlpm.d,T$2:T$85,_xlpm.f,$A$2:$A$85,_xlpm.k,$F92,AVERAGE(_xlfn._xlws.FILTER(_xlpm.d,_xlpm.f=_xlpm.k)))</f>
        <v>0.53561931720162015</v>
      </c>
    </row>
    <row r="93" spans="1:20" ht="30" customHeight="1">
      <c r="F93" t="s">
        <v>39</v>
      </c>
      <c r="G93" s="2" cm="1">
        <f t="array" ref="G93">_xlfn.LET(_xlpm.d,G$2:G$85,_xlpm.f,$A$2:$A$85,_xlpm.k,$F93,AVERAGE(_xlfn._xlws.FILTER(_xlpm.d,_xlpm.f=_xlpm.k)))</f>
        <v>0.73519864428320936</v>
      </c>
      <c r="H93" s="2" cm="1">
        <f t="array" ref="H93">_xlfn.LET(_xlpm.d,H$2:H$85,_xlpm.f,$A$2:$A$85,_xlpm.k,$F93,AVERAGE(_xlfn._xlws.FILTER(_xlpm.d,_xlpm.f=_xlpm.k)))</f>
        <v>0.5463036859934477</v>
      </c>
      <c r="I93" s="2" cm="1">
        <f t="array" ref="I93">_xlfn.LET(_xlpm.d,I$2:I$85,_xlpm.f,$A$2:$A$85,_xlpm.k,$F93,AVERAGE(_xlfn._xlws.FILTER(_xlpm.d,_xlpm.f=_xlpm.k)))</f>
        <v>0.78336756528978546</v>
      </c>
      <c r="J93" s="2" cm="1">
        <f t="array" ref="J93">_xlfn.LET(_xlpm.d,J$2:J$85,_xlpm.f,$A$2:$A$85,_xlpm.k,$F93,AVERAGE(_xlfn._xlws.FILTER(_xlpm.d,_xlpm.f=_xlpm.k)))</f>
        <v>0.66503065828435182</v>
      </c>
      <c r="K93" s="2" cm="1">
        <f t="array" ref="K93">_xlfn.LET(_xlpm.d,K$2:K$85,_xlpm.f,$A$2:$A$85,_xlpm.k,$F93,AVERAGE(_xlfn._xlws.FILTER(_xlpm.d,_xlpm.f=_xlpm.k)))</f>
        <v>0.63960492097624555</v>
      </c>
      <c r="L93" s="2" cm="1">
        <f t="array" ref="L93">_xlfn.LET(_xlpm.d,L$2:L$85,_xlpm.f,$A$2:$A$85,_xlpm.k,$F93,AVERAGE(_xlfn._xlws.FILTER(_xlpm.d,_xlpm.f=_xlpm.k)))</f>
        <v>0.73341156832623733</v>
      </c>
      <c r="M93" s="2" cm="1">
        <f t="array" ref="M93">_xlfn.LET(_xlpm.d,M$2:M$85,_xlpm.f,$A$2:$A$85,_xlpm.k,$F93,AVERAGE(_xlfn._xlws.FILTER(_xlpm.d,_xlpm.f=_xlpm.k)))</f>
        <v>0.51348061099759845</v>
      </c>
      <c r="N93" s="2" cm="1">
        <f t="array" ref="N93">_xlfn.LET(_xlpm.d,N$2:N$85,_xlpm.f,$A$2:$A$85,_xlpm.k,$F93,AVERAGE(_xlfn._xlws.FILTER(_xlpm.d,_xlpm.f=_xlpm.k)))</f>
        <v>0.65566964819520768</v>
      </c>
      <c r="O93" s="2" cm="1">
        <f t="array" ref="O93">_xlfn.LET(_xlpm.d,O$2:O$85,_xlpm.f,$A$2:$A$85,_xlpm.k,$F93,AVERAGE(_xlfn._xlws.FILTER(_xlpm.d,_xlpm.f=_xlpm.k)))</f>
        <v>0.5234671682243468</v>
      </c>
      <c r="P93" s="2" cm="1">
        <f t="array" ref="P93">_xlfn.LET(_xlpm.d,P$2:P$85,_xlpm.f,$A$2:$A$85,_xlpm.k,$F93,AVERAGE(_xlfn._xlws.FILTER(_xlpm.d,_xlpm.f=_xlpm.k)))</f>
        <v>0.6019881382084219</v>
      </c>
      <c r="Q93" s="2" cm="1">
        <f t="array" ref="Q93">_xlfn.LET(_xlpm.d,Q$2:Q$85,_xlpm.f,$A$2:$A$85,_xlpm.k,$F93,AVERAGE(_xlfn._xlws.FILTER(_xlpm.d,_xlpm.f=_xlpm.k)))</f>
        <v>0.43775260838843083</v>
      </c>
      <c r="R93" s="2" cm="1">
        <f t="array" ref="R93">_xlfn.LET(_xlpm.d,R$2:R$85,_xlpm.f,$A$2:$A$85,_xlpm.k,$F93,AVERAGE(_xlfn._xlws.FILTER(_xlpm.d,_xlpm.f=_xlpm.k)))</f>
        <v>0.38301189263975749</v>
      </c>
      <c r="S93" s="2" cm="1">
        <f t="array" ref="S93">_xlfn.LET(_xlpm.d,S$2:S$85,_xlpm.f,$A$2:$A$85,_xlpm.k,$F93,AVERAGE(_xlfn._xlws.FILTER(_xlpm.d,_xlpm.f=_xlpm.k)))</f>
        <v>0.49381824459061857</v>
      </c>
      <c r="T93" s="2" cm="1">
        <f t="array" ref="T93">_xlfn.LET(_xlpm.d,T$2:T$85,_xlpm.f,$A$2:$A$85,_xlpm.k,$F93,AVERAGE(_xlfn._xlws.FILTER(_xlpm.d,_xlpm.f=_xlpm.k)))</f>
        <v>0.59689989639671592</v>
      </c>
    </row>
    <row r="94" spans="1:20" ht="30" customHeight="1">
      <c r="F94" t="s">
        <v>98</v>
      </c>
      <c r="G94" s="2" cm="1">
        <f t="array" ref="G94">_xlfn.LET(_xlpm.d,G$2:G$85,_xlpm.f,$A$2:$A$85,_xlpm.k,$F94,AVERAGE(_xlfn._xlws.FILTER(_xlpm.d,_xlpm.f=_xlpm.k)))</f>
        <v>1</v>
      </c>
      <c r="H94" s="2" cm="1">
        <f t="array" ref="H94">_xlfn.LET(_xlpm.d,H$2:H$85,_xlpm.f,$A$2:$A$85,_xlpm.k,$F94,AVERAGE(_xlfn._xlws.FILTER(_xlpm.d,_xlpm.f=_xlpm.k)))</f>
        <v>0.99920892123786031</v>
      </c>
      <c r="I94" s="2" cm="1">
        <f t="array" ref="I94">_xlfn.LET(_xlpm.d,I$2:I$85,_xlpm.f,$A$2:$A$85,_xlpm.k,$F94,AVERAGE(_xlfn._xlws.FILTER(_xlpm.d,_xlpm.f=_xlpm.k)))</f>
        <v>1</v>
      </c>
      <c r="J94" s="2" cm="1">
        <f t="array" ref="J94">_xlfn.LET(_xlpm.d,J$2:J$85,_xlpm.f,$A$2:$A$85,_xlpm.k,$F94,AVERAGE(_xlfn._xlws.FILTER(_xlpm.d,_xlpm.f=_xlpm.k)))</f>
        <v>0.99990360465471773</v>
      </c>
      <c r="K94" s="2" cm="1">
        <f t="array" ref="K94">_xlfn.LET(_xlpm.d,K$2:K$85,_xlpm.f,$A$2:$A$85,_xlpm.k,$F94,AVERAGE(_xlfn._xlws.FILTER(_xlpm.d,_xlpm.f=_xlpm.k)))</f>
        <v>0.99953210216609789</v>
      </c>
      <c r="L94" s="2" cm="1">
        <f t="array" ref="L94">_xlfn.LET(_xlpm.d,L$2:L$85,_xlpm.f,$A$2:$A$85,_xlpm.k,$F94,AVERAGE(_xlfn._xlws.FILTER(_xlpm.d,_xlpm.f=_xlpm.k)))</f>
        <v>1</v>
      </c>
      <c r="M94" s="2" cm="1">
        <f t="array" ref="M94">_xlfn.LET(_xlpm.d,M$2:M$85,_xlpm.f,$A$2:$A$85,_xlpm.k,$F94,AVERAGE(_xlfn._xlws.FILTER(_xlpm.d,_xlpm.f=_xlpm.k)))</f>
        <v>0.99273793788700726</v>
      </c>
      <c r="N94" s="2" cm="1">
        <f t="array" ref="N94">_xlfn.LET(_xlpm.d,N$2:N$85,_xlpm.f,$A$2:$A$85,_xlpm.k,$F94,AVERAGE(_xlfn._xlws.FILTER(_xlpm.d,_xlpm.f=_xlpm.k)))</f>
        <v>0.99837554395001804</v>
      </c>
      <c r="O94" s="2" cm="1">
        <f t="array" ref="O94">_xlfn.LET(_xlpm.d,O$2:O$85,_xlpm.f,$A$2:$A$85,_xlpm.k,$F94,AVERAGE(_xlfn._xlws.FILTER(_xlpm.d,_xlpm.f=_xlpm.k)))</f>
        <v>1</v>
      </c>
      <c r="P94" s="2" cm="1">
        <f t="array" ref="P94">_xlfn.LET(_xlpm.d,P$2:P$85,_xlpm.f,$A$2:$A$85,_xlpm.k,$F94,AVERAGE(_xlfn._xlws.FILTER(_xlpm.d,_xlpm.f=_xlpm.k)))</f>
        <v>1</v>
      </c>
      <c r="Q94" s="2" cm="1">
        <f t="array" ref="Q94">_xlfn.LET(_xlpm.d,Q$2:Q$85,_xlpm.f,$A$2:$A$85,_xlpm.k,$F94,AVERAGE(_xlfn._xlws.FILTER(_xlpm.d,_xlpm.f=_xlpm.k)))</f>
        <v>0.99969540054827899</v>
      </c>
      <c r="R94" s="2" cm="1">
        <f t="array" ref="R94">_xlfn.LET(_xlpm.d,R$2:R$85,_xlpm.f,$A$2:$A$85,_xlpm.k,$F94,AVERAGE(_xlfn._xlws.FILTER(_xlpm.d,_xlpm.f=_xlpm.k)))</f>
        <v>1</v>
      </c>
      <c r="S94" s="2" cm="1">
        <f t="array" ref="S94">_xlfn.LET(_xlpm.d,S$2:S$85,_xlpm.f,$A$2:$A$85,_xlpm.k,$F94,AVERAGE(_xlfn._xlws.FILTER(_xlpm.d,_xlpm.f=_xlpm.k)))</f>
        <v>1</v>
      </c>
      <c r="T94" s="2" cm="1">
        <f t="array" ref="T94">_xlfn.LET(_xlpm.d,T$2:T$85,_xlpm.f,$A$2:$A$85,_xlpm.k,$F94,AVERAGE(_xlfn._xlws.FILTER(_xlpm.d,_xlpm.f=_xlpm.k)))</f>
        <v>0.9991887315726139</v>
      </c>
    </row>
    <row r="95" spans="1:20" ht="30" customHeight="1">
      <c r="F95" t="s">
        <v>99</v>
      </c>
      <c r="G95" s="2" cm="1">
        <f t="array" ref="G95">_xlfn.LET(_xlpm.d,G$2:G$85,_xlpm.f,$A$2:$A$85,_xlpm.k,$F95,AVERAGE(_xlfn._xlws.FILTER(_xlpm.d,_xlpm.f=_xlpm.k)))</f>
        <v>1</v>
      </c>
      <c r="H95" s="2" cm="1">
        <f t="array" ref="H95">_xlfn.LET(_xlpm.d,H$2:H$85,_xlpm.f,$A$2:$A$85,_xlpm.k,$F95,AVERAGE(_xlfn._xlws.FILTER(_xlpm.d,_xlpm.f=_xlpm.k)))</f>
        <v>1</v>
      </c>
      <c r="I95" s="2" cm="1">
        <f t="array" ref="I95">_xlfn.LET(_xlpm.d,I$2:I$85,_xlpm.f,$A$2:$A$85,_xlpm.k,$F95,AVERAGE(_xlfn._xlws.FILTER(_xlpm.d,_xlpm.f=_xlpm.k)))</f>
        <v>1</v>
      </c>
      <c r="J95" s="2" cm="1">
        <f t="array" ref="J95">_xlfn.LET(_xlpm.d,J$2:J$85,_xlpm.f,$A$2:$A$85,_xlpm.k,$F95,AVERAGE(_xlfn._xlws.FILTER(_xlpm.d,_xlpm.f=_xlpm.k)))</f>
        <v>1</v>
      </c>
      <c r="K95" s="2" cm="1">
        <f t="array" ref="K95">_xlfn.LET(_xlpm.d,K$2:K$85,_xlpm.f,$A$2:$A$85,_xlpm.k,$F95,AVERAGE(_xlfn._xlws.FILTER(_xlpm.d,_xlpm.f=_xlpm.k)))</f>
        <v>1</v>
      </c>
      <c r="L95" s="2" cm="1">
        <f t="array" ref="L95">_xlfn.LET(_xlpm.d,L$2:L$85,_xlpm.f,$A$2:$A$85,_xlpm.k,$F95,AVERAGE(_xlfn._xlws.FILTER(_xlpm.d,_xlpm.f=_xlpm.k)))</f>
        <v>1</v>
      </c>
      <c r="M95" s="2" cm="1">
        <f t="array" ref="M95">_xlfn.LET(_xlpm.d,M$2:M$85,_xlpm.f,$A$2:$A$85,_xlpm.k,$F95,AVERAGE(_xlfn._xlws.FILTER(_xlpm.d,_xlpm.f=_xlpm.k)))</f>
        <v>1</v>
      </c>
      <c r="N95" s="2" cm="1">
        <f t="array" ref="N95">_xlfn.LET(_xlpm.d,N$2:N$85,_xlpm.f,$A$2:$A$85,_xlpm.k,$F95,AVERAGE(_xlfn._xlws.FILTER(_xlpm.d,_xlpm.f=_xlpm.k)))</f>
        <v>0.99864257580915194</v>
      </c>
      <c r="O95" s="2" cm="1">
        <f t="array" ref="O95">_xlfn.LET(_xlpm.d,O$2:O$85,_xlpm.f,$A$2:$A$85,_xlpm.k,$F95,AVERAGE(_xlfn._xlws.FILTER(_xlpm.d,_xlpm.f=_xlpm.k)))</f>
        <v>0.9987750200113451</v>
      </c>
      <c r="P95" s="2" cm="1">
        <f t="array" ref="P95">_xlfn.LET(_xlpm.d,P$2:P$85,_xlpm.f,$A$2:$A$85,_xlpm.k,$F95,AVERAGE(_xlfn._xlws.FILTER(_xlpm.d,_xlpm.f=_xlpm.k)))</f>
        <v>0.99293284319502795</v>
      </c>
      <c r="Q95" s="2" cm="1">
        <f t="array" ref="Q95">_xlfn.LET(_xlpm.d,Q$2:Q$85,_xlpm.f,$A$2:$A$85,_xlpm.k,$F95,AVERAGE(_xlfn._xlws.FILTER(_xlpm.d,_xlpm.f=_xlpm.k)))</f>
        <v>1</v>
      </c>
      <c r="R95" s="2" cm="1">
        <f t="array" ref="R95">_xlfn.LET(_xlpm.d,R$2:R$85,_xlpm.f,$A$2:$A$85,_xlpm.k,$F95,AVERAGE(_xlfn._xlws.FILTER(_xlpm.d,_xlpm.f=_xlpm.k)))</f>
        <v>1</v>
      </c>
      <c r="S95" s="2" cm="1">
        <f t="array" ref="S95">_xlfn.LET(_xlpm.d,S$2:S$85,_xlpm.f,$A$2:$A$85,_xlpm.k,$F95,AVERAGE(_xlfn._xlws.FILTER(_xlpm.d,_xlpm.f=_xlpm.k)))</f>
        <v>0.97690504121031652</v>
      </c>
      <c r="T95" s="2" cm="1">
        <f t="array" ref="T95">_xlfn.LET(_xlpm.d,T$2:T$85,_xlpm.f,$A$2:$A$85,_xlpm.k,$F95,AVERAGE(_xlfn._xlws.FILTER(_xlpm.d,_xlpm.f=_xlpm.k)))</f>
        <v>0.99748119078660324</v>
      </c>
    </row>
    <row r="96" spans="1:20" ht="30" customHeight="1">
      <c r="F96" t="s">
        <v>100</v>
      </c>
      <c r="G96" s="2" cm="1">
        <f t="array" ref="G96">_xlfn.LET(_xlpm.d,G$2:G$85,_xlpm.f,$A$2:$A$85,_xlpm.k,$F96,AVERAGE(_xlfn._xlws.FILTER(_xlpm.d,_xlpm.f=_xlpm.k)))</f>
        <v>0.84838457801270728</v>
      </c>
      <c r="H96" s="2" cm="1">
        <f t="array" ref="H96">_xlfn.LET(_xlpm.d,H$2:H$85,_xlpm.f,$A$2:$A$85,_xlpm.k,$F96,AVERAGE(_xlfn._xlws.FILTER(_xlpm.d,_xlpm.f=_xlpm.k)))</f>
        <v>0.84710756736922721</v>
      </c>
      <c r="I96" s="2" cm="1">
        <f t="array" ref="I96">_xlfn.LET(_xlpm.d,I$2:I$85,_xlpm.f,$A$2:$A$85,_xlpm.k,$F96,AVERAGE(_xlfn._xlws.FILTER(_xlpm.d,_xlpm.f=_xlpm.k)))</f>
        <v>0.68632572910933498</v>
      </c>
      <c r="J96" s="2" cm="1">
        <f t="array" ref="J96">_xlfn.LET(_xlpm.d,J$2:J$85,_xlpm.f,$A$2:$A$85,_xlpm.k,$F96,AVERAGE(_xlfn._xlws.FILTER(_xlpm.d,_xlpm.f=_xlpm.k)))</f>
        <v>0.61537356810762867</v>
      </c>
      <c r="K96" s="2" cm="1">
        <f t="array" ref="K96">_xlfn.LET(_xlpm.d,K$2:K$85,_xlpm.f,$A$2:$A$85,_xlpm.k,$F96,AVERAGE(_xlfn._xlws.FILTER(_xlpm.d,_xlpm.f=_xlpm.k)))</f>
        <v>0.65799907447402994</v>
      </c>
      <c r="L96" s="2" cm="1">
        <f t="array" ref="L96">_xlfn.LET(_xlpm.d,L$2:L$85,_xlpm.f,$A$2:$A$85,_xlpm.k,$F96,AVERAGE(_xlfn._xlws.FILTER(_xlpm.d,_xlpm.f=_xlpm.k)))</f>
        <v>0.70113427776646908</v>
      </c>
      <c r="M96" s="2" cm="1">
        <f t="array" ref="M96">_xlfn.LET(_xlpm.d,M$2:M$85,_xlpm.f,$A$2:$A$85,_xlpm.k,$F96,AVERAGE(_xlfn._xlws.FILTER(_xlpm.d,_xlpm.f=_xlpm.k)))</f>
        <v>0.66294302319388421</v>
      </c>
      <c r="N96" s="2" cm="1">
        <f t="array" ref="N96">_xlfn.LET(_xlpm.d,N$2:N$85,_xlpm.f,$A$2:$A$85,_xlpm.k,$F96,AVERAGE(_xlfn._xlws.FILTER(_xlpm.d,_xlpm.f=_xlpm.k)))</f>
        <v>0.63058414313343591</v>
      </c>
      <c r="O96" s="2" cm="1">
        <f t="array" ref="O96">_xlfn.LET(_xlpm.d,O$2:O$85,_xlpm.f,$A$2:$A$85,_xlpm.k,$F96,AVERAGE(_xlfn._xlws.FILTER(_xlpm.d,_xlpm.f=_xlpm.k)))</f>
        <v>0.72439156994056886</v>
      </c>
      <c r="P96" s="2" cm="1">
        <f t="array" ref="P96">_xlfn.LET(_xlpm.d,P$2:P$85,_xlpm.f,$A$2:$A$85,_xlpm.k,$F96,AVERAGE(_xlfn._xlws.FILTER(_xlpm.d,_xlpm.f=_xlpm.k)))</f>
        <v>0.54799098677089897</v>
      </c>
      <c r="Q96" s="2" cm="1">
        <f t="array" ref="Q96">_xlfn.LET(_xlpm.d,Q$2:Q$85,_xlpm.f,$A$2:$A$85,_xlpm.k,$F96,AVERAGE(_xlfn._xlws.FILTER(_xlpm.d,_xlpm.f=_xlpm.k)))</f>
        <v>0.62978188611084251</v>
      </c>
      <c r="R96" s="2" cm="1">
        <f t="array" ref="R96">_xlfn.LET(_xlpm.d,R$2:R$85,_xlpm.f,$A$2:$A$85,_xlpm.k,$F96,AVERAGE(_xlfn._xlws.FILTER(_xlpm.d,_xlpm.f=_xlpm.k)))</f>
        <v>0.70087117587561576</v>
      </c>
      <c r="S96" s="2" cm="1">
        <f t="array" ref="S96">_xlfn.LET(_xlpm.d,S$2:S$85,_xlpm.f,$A$2:$A$85,_xlpm.k,$F96,AVERAGE(_xlfn._xlws.FILTER(_xlpm.d,_xlpm.f=_xlpm.k)))</f>
        <v>0.63617978448515322</v>
      </c>
      <c r="T96" s="2" cm="1">
        <f t="array" ref="T96">_xlfn.LET(_xlpm.d,T$2:T$85,_xlpm.f,$A$2:$A$85,_xlpm.k,$F96,AVERAGE(_xlfn._xlws.FILTER(_xlpm.d,_xlpm.f=_xlpm.k)))</f>
        <v>0.68300547175521675</v>
      </c>
    </row>
    <row r="97" spans="6:20" ht="30" customHeight="1">
      <c r="F97" t="s">
        <v>42</v>
      </c>
      <c r="G97" s="2" cm="1">
        <f t="array" ref="G97">_xlfn.LET(_xlpm.d,G$2:G$85,_xlpm.f,$A$2:$A$85,_xlpm.k,$F97,AVERAGE(_xlfn._xlws.FILTER(_xlpm.d,_xlpm.f=_xlpm.k)))</f>
        <v>0.98868205603870274</v>
      </c>
      <c r="H97" s="2" cm="1">
        <f t="array" ref="H97">_xlfn.LET(_xlpm.d,H$2:H$85,_xlpm.f,$A$2:$A$85,_xlpm.k,$F97,AVERAGE(_xlfn._xlws.FILTER(_xlpm.d,_xlpm.f=_xlpm.k)))</f>
        <v>0.9935424848915827</v>
      </c>
      <c r="I97" s="2" cm="1">
        <f t="array" ref="I97">_xlfn.LET(_xlpm.d,I$2:I$85,_xlpm.f,$A$2:$A$85,_xlpm.k,$F97,AVERAGE(_xlfn._xlws.FILTER(_xlpm.d,_xlpm.f=_xlpm.k)))</f>
        <v>0.99172912715143091</v>
      </c>
      <c r="J97" s="2" cm="1">
        <f t="array" ref="J97">_xlfn.LET(_xlpm.d,J$2:J$85,_xlpm.f,$A$2:$A$85,_xlpm.k,$F97,AVERAGE(_xlfn._xlws.FILTER(_xlpm.d,_xlpm.f=_xlpm.k)))</f>
        <v>0.98485819855992141</v>
      </c>
      <c r="K97" s="2" cm="1">
        <f t="array" ref="K97">_xlfn.LET(_xlpm.d,K$2:K$85,_xlpm.f,$A$2:$A$85,_xlpm.k,$F97,AVERAGE(_xlfn._xlws.FILTER(_xlpm.d,_xlpm.f=_xlpm.k)))</f>
        <v>0.9896767754981004</v>
      </c>
      <c r="L97" s="2" cm="1">
        <f t="array" ref="L97">_xlfn.LET(_xlpm.d,L$2:L$85,_xlpm.f,$A$2:$A$85,_xlpm.k,$F97,AVERAGE(_xlfn._xlws.FILTER(_xlpm.d,_xlpm.f=_xlpm.k)))</f>
        <v>0.9768435568142747</v>
      </c>
      <c r="M97" s="2" cm="1">
        <f t="array" ref="M97">_xlfn.LET(_xlpm.d,M$2:M$85,_xlpm.f,$A$2:$A$85,_xlpm.k,$F97,AVERAGE(_xlfn._xlws.FILTER(_xlpm.d,_xlpm.f=_xlpm.k)))</f>
        <v>0.9889782404188876</v>
      </c>
      <c r="N97" s="2" cm="1">
        <f t="array" ref="N97">_xlfn.LET(_xlpm.d,N$2:N$85,_xlpm.f,$A$2:$A$85,_xlpm.k,$F97,AVERAGE(_xlfn._xlws.FILTER(_xlpm.d,_xlpm.f=_xlpm.k)))</f>
        <v>0.9983870409254878</v>
      </c>
      <c r="O97" s="2" cm="1">
        <f t="array" ref="O97">_xlfn.LET(_xlpm.d,O$2:O$85,_xlpm.f,$A$2:$A$85,_xlpm.k,$F97,AVERAGE(_xlfn._xlws.FILTER(_xlpm.d,_xlpm.f=_xlpm.k)))</f>
        <v>0.97643355661091069</v>
      </c>
      <c r="P97" s="2" cm="1">
        <f t="array" ref="P97">_xlfn.LET(_xlpm.d,P$2:P$85,_xlpm.f,$A$2:$A$85,_xlpm.k,$F97,AVERAGE(_xlfn._xlws.FILTER(_xlpm.d,_xlpm.f=_xlpm.k)))</f>
        <v>0.98768411515634036</v>
      </c>
      <c r="Q97" s="2" cm="1">
        <f t="array" ref="Q97">_xlfn.LET(_xlpm.d,Q$2:Q$85,_xlpm.f,$A$2:$A$85,_xlpm.k,$F97,AVERAGE(_xlfn._xlws.FILTER(_xlpm.d,_xlpm.f=_xlpm.k)))</f>
        <v>0.97702917598458972</v>
      </c>
      <c r="R97" s="2" cm="1">
        <f t="array" ref="R97">_xlfn.LET(_xlpm.d,R$2:R$85,_xlpm.f,$A$2:$A$85,_xlpm.k,$F97,AVERAGE(_xlfn._xlws.FILTER(_xlpm.d,_xlpm.f=_xlpm.k)))</f>
        <v>0.97194084981922002</v>
      </c>
      <c r="S97" s="2" cm="1">
        <f t="array" ref="S97">_xlfn.LET(_xlpm.d,S$2:S$85,_xlpm.f,$A$2:$A$85,_xlpm.k,$F97,AVERAGE(_xlfn._xlws.FILTER(_xlpm.d,_xlpm.f=_xlpm.k)))</f>
        <v>0.9918226339197469</v>
      </c>
      <c r="T97" s="2" cm="1">
        <f t="array" ref="T97">_xlfn.LET(_xlpm.d,T$2:T$85,_xlpm.f,$A$2:$A$85,_xlpm.k,$F97,AVERAGE(_xlfn._xlws.FILTER(_xlpm.d,_xlpm.f=_xlpm.k)))</f>
        <v>0.98596983167609198</v>
      </c>
    </row>
    <row r="98" spans="6:20" ht="30" customHeight="1">
      <c r="F98" t="s">
        <v>102</v>
      </c>
      <c r="G98" s="2" cm="1">
        <f t="array" ref="G98">_xlfn.LET(_xlpm.d,G$2:G$85,_xlpm.f,$A$2:$A$85,_xlpm.k,$F98,AVERAGE(_xlfn._xlws.FILTER(_xlpm.d,_xlpm.f=_xlpm.k)))</f>
        <v>0.70143236026510125</v>
      </c>
      <c r="H98" s="2" cm="1">
        <f t="array" ref="H98">_xlfn.LET(_xlpm.d,H$2:H$85,_xlpm.f,$A$2:$A$85,_xlpm.k,$F98,AVERAGE(_xlfn._xlws.FILTER(_xlpm.d,_xlpm.f=_xlpm.k)))</f>
        <v>0.5501601291744288</v>
      </c>
      <c r="I98" s="2" cm="1">
        <f t="array" ref="I98">_xlfn.LET(_xlpm.d,I$2:I$85,_xlpm.f,$A$2:$A$85,_xlpm.k,$F98,AVERAGE(_xlfn._xlws.FILTER(_xlpm.d,_xlpm.f=_xlpm.k)))</f>
        <v>0.56121738089810858</v>
      </c>
      <c r="J98" s="2" cm="1">
        <f t="array" ref="J98">_xlfn.LET(_xlpm.d,J$2:J$85,_xlpm.f,$A$2:$A$85,_xlpm.k,$F98,AVERAGE(_xlfn._xlws.FILTER(_xlpm.d,_xlpm.f=_xlpm.k)))</f>
        <v>0.63579289162305985</v>
      </c>
      <c r="K98" s="2" cm="1">
        <f t="array" ref="K98">_xlfn.LET(_xlpm.d,K$2:K$85,_xlpm.f,$A$2:$A$85,_xlpm.k,$F98,AVERAGE(_xlfn._xlws.FILTER(_xlpm.d,_xlpm.f=_xlpm.k)))</f>
        <v>0.72586640121428714</v>
      </c>
      <c r="L98" s="2" cm="1">
        <f t="array" ref="L98">_xlfn.LET(_xlpm.d,L$2:L$85,_xlpm.f,$A$2:$A$85,_xlpm.k,$F98,AVERAGE(_xlfn._xlws.FILTER(_xlpm.d,_xlpm.f=_xlpm.k)))</f>
        <v>0.38205689679944616</v>
      </c>
      <c r="M98" s="2" cm="1">
        <f t="array" ref="M98">_xlfn.LET(_xlpm.d,M$2:M$85,_xlpm.f,$A$2:$A$85,_xlpm.k,$F98,AVERAGE(_xlfn._xlws.FILTER(_xlpm.d,_xlpm.f=_xlpm.k)))</f>
        <v>0.62245484215298119</v>
      </c>
      <c r="N98" s="2" cm="1">
        <f t="array" ref="N98">_xlfn.LET(_xlpm.d,N$2:N$85,_xlpm.f,$A$2:$A$85,_xlpm.k,$F98,AVERAGE(_xlfn._xlws.FILTER(_xlpm.d,_xlpm.f=_xlpm.k)))</f>
        <v>0.58981138396043131</v>
      </c>
      <c r="O98" s="2" cm="1">
        <f t="array" ref="O98">_xlfn.LET(_xlpm.d,O$2:O$85,_xlpm.f,$A$2:$A$85,_xlpm.k,$F98,AVERAGE(_xlfn._xlws.FILTER(_xlpm.d,_xlpm.f=_xlpm.k)))</f>
        <v>0.53736140012710121</v>
      </c>
      <c r="P98" s="2" cm="1">
        <f t="array" ref="P98">_xlfn.LET(_xlpm.d,P$2:P$85,_xlpm.f,$A$2:$A$85,_xlpm.k,$F98,AVERAGE(_xlfn._xlws.FILTER(_xlpm.d,_xlpm.f=_xlpm.k)))</f>
        <v>0.32356211107724275</v>
      </c>
      <c r="Q98" s="2" cm="1">
        <f t="array" ref="Q98">_xlfn.LET(_xlpm.d,Q$2:Q$85,_xlpm.f,$A$2:$A$85,_xlpm.k,$F98,AVERAGE(_xlfn._xlws.FILTER(_xlpm.d,_xlpm.f=_xlpm.k)))</f>
        <v>0.55809293489725664</v>
      </c>
      <c r="R98" s="2" cm="1">
        <f t="array" ref="R98">_xlfn.LET(_xlpm.d,R$2:R$85,_xlpm.f,$A$2:$A$85,_xlpm.k,$F98,AVERAGE(_xlfn._xlws.FILTER(_xlpm.d,_xlpm.f=_xlpm.k)))</f>
        <v>0.4854377654592526</v>
      </c>
      <c r="S98" s="2" cm="1">
        <f t="array" ref="S98">_xlfn.LET(_xlpm.d,S$2:S$85,_xlpm.f,$A$2:$A$85,_xlpm.k,$F98,AVERAGE(_xlfn._xlws.FILTER(_xlpm.d,_xlpm.f=_xlpm.k)))</f>
        <v>0.18609376151851187</v>
      </c>
      <c r="T98" s="2" cm="1">
        <f t="array" ref="T98">_xlfn.LET(_xlpm.d,T$2:T$85,_xlpm.f,$A$2:$A$85,_xlpm.k,$F98,AVERAGE(_xlfn._xlws.FILTER(_xlpm.d,_xlpm.f=_xlpm.k)))</f>
        <v>0.53162584758387466</v>
      </c>
    </row>
    <row r="99" spans="6:20" ht="30" customHeight="1">
      <c r="F99" t="s">
        <v>103</v>
      </c>
      <c r="G99" s="2" cm="1">
        <f t="array" ref="G99">_xlfn.LET(_xlpm.d,G$2:G$85,_xlpm.f,$A$2:$A$85,_xlpm.k,$F99,AVERAGE(_xlfn._xlws.FILTER(_xlpm.d,_xlpm.f=_xlpm.k)))</f>
        <v>0.6922514126468835</v>
      </c>
      <c r="H99" s="2" cm="1">
        <f t="array" ref="H99">_xlfn.LET(_xlpm.d,H$2:H$85,_xlpm.f,$A$2:$A$85,_xlpm.k,$F99,AVERAGE(_xlfn._xlws.FILTER(_xlpm.d,_xlpm.f=_xlpm.k)))</f>
        <v>0.5888729132060655</v>
      </c>
      <c r="I99" s="2" cm="1">
        <f t="array" ref="I99">_xlfn.LET(_xlpm.d,I$2:I$85,_xlpm.f,$A$2:$A$85,_xlpm.k,$F99,AVERAGE(_xlfn._xlws.FILTER(_xlpm.d,_xlpm.f=_xlpm.k)))</f>
        <v>0.67828302556500653</v>
      </c>
      <c r="J99" s="2" cm="1">
        <f t="array" ref="J99">_xlfn.LET(_xlpm.d,J$2:J$85,_xlpm.f,$A$2:$A$85,_xlpm.k,$F99,AVERAGE(_xlfn._xlws.FILTER(_xlpm.d,_xlpm.f=_xlpm.k)))</f>
        <v>0.648005021836915</v>
      </c>
      <c r="K99" s="2" cm="1">
        <f t="array" ref="K99">_xlfn.LET(_xlpm.d,K$2:K$85,_xlpm.f,$A$2:$A$85,_xlpm.k,$F99,AVERAGE(_xlfn._xlws.FILTER(_xlpm.d,_xlpm.f=_xlpm.k)))</f>
        <v>0.48945179624399088</v>
      </c>
      <c r="L99" s="2" cm="1">
        <f t="array" ref="L99">_xlfn.LET(_xlpm.d,L$2:L$85,_xlpm.f,$A$2:$A$85,_xlpm.k,$F99,AVERAGE(_xlfn._xlws.FILTER(_xlpm.d,_xlpm.f=_xlpm.k)))</f>
        <v>0.5399063778648715</v>
      </c>
      <c r="M99" s="2" cm="1">
        <f t="array" ref="M99">_xlfn.LET(_xlpm.d,M$2:M$85,_xlpm.f,$A$2:$A$85,_xlpm.k,$F99,AVERAGE(_xlfn._xlws.FILTER(_xlpm.d,_xlpm.f=_xlpm.k)))</f>
        <v>0.57469472465898708</v>
      </c>
      <c r="N99" s="2" cm="1">
        <f t="array" ref="N99">_xlfn.LET(_xlpm.d,N$2:N$85,_xlpm.f,$A$2:$A$85,_xlpm.k,$F99,AVERAGE(_xlfn._xlws.FILTER(_xlpm.d,_xlpm.f=_xlpm.k)))</f>
        <v>0.44892212768124257</v>
      </c>
      <c r="O99" s="2" cm="1">
        <f t="array" ref="O99">_xlfn.LET(_xlpm.d,O$2:O$85,_xlpm.f,$A$2:$A$85,_xlpm.k,$F99,AVERAGE(_xlfn._xlws.FILTER(_xlpm.d,_xlpm.f=_xlpm.k)))</f>
        <v>0.35813728723551297</v>
      </c>
      <c r="P99" s="2" cm="1">
        <f t="array" ref="P99">_xlfn.LET(_xlpm.d,P$2:P$85,_xlpm.f,$A$2:$A$85,_xlpm.k,$F99,AVERAGE(_xlfn._xlws.FILTER(_xlpm.d,_xlpm.f=_xlpm.k)))</f>
        <v>0.40989472859162662</v>
      </c>
      <c r="Q99" s="2" cm="1">
        <f t="array" ref="Q99">_xlfn.LET(_xlpm.d,Q$2:Q$85,_xlpm.f,$A$2:$A$85,_xlpm.k,$F99,AVERAGE(_xlfn._xlws.FILTER(_xlpm.d,_xlpm.f=_xlpm.k)))</f>
        <v>0.53157279694959281</v>
      </c>
      <c r="R99" s="2" cm="1">
        <f t="array" ref="R99">_xlfn.LET(_xlpm.d,R$2:R$85,_xlpm.f,$A$2:$A$85,_xlpm.k,$F99,AVERAGE(_xlfn._xlws.FILTER(_xlpm.d,_xlpm.f=_xlpm.k)))</f>
        <v>0.46696156590080179</v>
      </c>
      <c r="S99" s="2" cm="1">
        <f t="array" ref="S99">_xlfn.LET(_xlpm.d,S$2:S$85,_xlpm.f,$A$2:$A$85,_xlpm.k,$F99,AVERAGE(_xlfn._xlws.FILTER(_xlpm.d,_xlpm.f=_xlpm.k)))</f>
        <v>0.49594910100306749</v>
      </c>
      <c r="T99" s="2" cm="1">
        <f t="array" ref="T99">_xlfn.LET(_xlpm.d,T$2:T$85,_xlpm.f,$A$2:$A$85,_xlpm.k,$F99,AVERAGE(_xlfn._xlws.FILTER(_xlpm.d,_xlpm.f=_xlpm.k)))</f>
        <v>0.53253099072188959</v>
      </c>
    </row>
    <row r="100" spans="6:20" ht="30" customHeight="1">
      <c r="F100" t="s">
        <v>101</v>
      </c>
      <c r="G100" s="2" cm="1">
        <f t="array" ref="G100">_xlfn.LET(_xlpm.d,G$2:G$85,_xlpm.f,$A$2:$A$85,_xlpm.k,$F100,AVERAGE(_xlfn._xlws.FILTER(_xlpm.d,_xlpm.f=_xlpm.k)))</f>
        <v>0.86895052173101062</v>
      </c>
      <c r="H100" s="2" cm="1">
        <f t="array" ref="H100">_xlfn.LET(_xlpm.d,H$2:H$85,_xlpm.f,$A$2:$A$85,_xlpm.k,$F100,AVERAGE(_xlfn._xlws.FILTER(_xlpm.d,_xlpm.f=_xlpm.k)))</f>
        <v>0.78761004727717954</v>
      </c>
      <c r="I100" s="2" cm="1">
        <f t="array" ref="I100">_xlfn.LET(_xlpm.d,I$2:I$85,_xlpm.f,$A$2:$A$85,_xlpm.k,$F100,AVERAGE(_xlfn._xlws.FILTER(_xlpm.d,_xlpm.f=_xlpm.k)))</f>
        <v>0.65171289258054566</v>
      </c>
      <c r="J100" s="2" cm="1">
        <f t="array" ref="J100">_xlfn.LET(_xlpm.d,J$2:J$85,_xlpm.f,$A$2:$A$85,_xlpm.k,$F100,AVERAGE(_xlfn._xlws.FILTER(_xlpm.d,_xlpm.f=_xlpm.k)))</f>
        <v>0.75716089890029881</v>
      </c>
      <c r="K100" s="2" cm="1">
        <f t="array" ref="K100">_xlfn.LET(_xlpm.d,K$2:K$85,_xlpm.f,$A$2:$A$85,_xlpm.k,$F100,AVERAGE(_xlfn._xlws.FILTER(_xlpm.d,_xlpm.f=_xlpm.k)))</f>
        <v>0.7065794892708166</v>
      </c>
      <c r="L100" s="2" cm="1">
        <f t="array" ref="L100">_xlfn.LET(_xlpm.d,L$2:L$85,_xlpm.f,$A$2:$A$85,_xlpm.k,$F100,AVERAGE(_xlfn._xlws.FILTER(_xlpm.d,_xlpm.f=_xlpm.k)))</f>
        <v>0.48283607821511504</v>
      </c>
      <c r="M100" s="2" cm="1">
        <f t="array" ref="M100">_xlfn.LET(_xlpm.d,M$2:M$85,_xlpm.f,$A$2:$A$85,_xlpm.k,$F100,AVERAGE(_xlfn._xlws.FILTER(_xlpm.d,_xlpm.f=_xlpm.k)))</f>
        <v>0.60448097410637092</v>
      </c>
      <c r="N100" s="2" cm="1">
        <f t="array" ref="N100">_xlfn.LET(_xlpm.d,N$2:N$85,_xlpm.f,$A$2:$A$85,_xlpm.k,$F100,AVERAGE(_xlfn._xlws.FILTER(_xlpm.d,_xlpm.f=_xlpm.k)))</f>
        <v>0.80705853387149784</v>
      </c>
      <c r="O100" s="2" cm="1">
        <f t="array" ref="O100">_xlfn.LET(_xlpm.d,O$2:O$85,_xlpm.f,$A$2:$A$85,_xlpm.k,$F100,AVERAGE(_xlfn._xlws.FILTER(_xlpm.d,_xlpm.f=_xlpm.k)))</f>
        <v>0.63147044493073978</v>
      </c>
      <c r="P100" s="2" cm="1">
        <f t="array" ref="P100">_xlfn.LET(_xlpm.d,P$2:P$85,_xlpm.f,$A$2:$A$85,_xlpm.k,$F100,AVERAGE(_xlfn._xlws.FILTER(_xlpm.d,_xlpm.f=_xlpm.k)))</f>
        <v>0.73346206391462232</v>
      </c>
      <c r="Q100" s="2" cm="1">
        <f t="array" ref="Q100">_xlfn.LET(_xlpm.d,Q$2:Q$85,_xlpm.f,$A$2:$A$85,_xlpm.k,$F100,AVERAGE(_xlfn._xlws.FILTER(_xlpm.d,_xlpm.f=_xlpm.k)))</f>
        <v>0.64988470537610854</v>
      </c>
      <c r="R100" s="2" cm="1">
        <f t="array" ref="R100">_xlfn.LET(_xlpm.d,R$2:R$85,_xlpm.f,$A$2:$A$85,_xlpm.k,$F100,AVERAGE(_xlfn._xlws.FILTER(_xlpm.d,_xlpm.f=_xlpm.k)))</f>
        <v>0.75707358283103743</v>
      </c>
      <c r="S100" s="2" cm="1">
        <f t="array" ref="S100">_xlfn.LET(_xlpm.d,S$2:S$85,_xlpm.f,$A$2:$A$85,_xlpm.k,$F100,AVERAGE(_xlfn._xlws.FILTER(_xlpm.d,_xlpm.f=_xlpm.k)))</f>
        <v>0.48650724087510872</v>
      </c>
      <c r="T100" s="2" cm="1">
        <f t="array" ref="T100">_xlfn.LET(_xlpm.d,T$2:T$85,_xlpm.f,$A$2:$A$85,_xlpm.k,$F100,AVERAGE(_xlfn._xlws.FILTER(_xlpm.d,_xlpm.f=_xlpm.k)))</f>
        <v>0.68652211337541935</v>
      </c>
    </row>
    <row r="102" spans="6:20" ht="30" customHeight="1">
      <c r="F102" t="s">
        <v>44</v>
      </c>
    </row>
    <row r="103" spans="6:20" ht="30" customHeight="1">
      <c r="F103" t="s">
        <v>37</v>
      </c>
      <c r="G103" s="2" cm="1">
        <f t="array" ref="G103">_xlfn.LET(_xlpm.d,G$2:G$85,_xlpm.g,$B$2:$B$85,AVERAGE(_xlfn._xlws.FILTER(_xlpm.d,(_xlpm.g=0))))</f>
        <v>0.75955399279103131</v>
      </c>
      <c r="H103" s="2" cm="1">
        <f t="array" ref="H103">_xlfn.LET(_xlpm.d,H$2:H$85,_xlpm.g,$B$2:$B$85,AVERAGE(_xlfn._xlws.FILTER(_xlpm.d,(_xlpm.g=0))))</f>
        <v>0.70568150326455525</v>
      </c>
      <c r="I103" s="2" cm="1">
        <f t="array" ref="I103">_xlfn.LET(_xlpm.d,I$2:I$85,_xlpm.g,$B$2:$B$85,AVERAGE(_xlfn._xlws.FILTER(_xlpm.d,(_xlpm.g=0))))</f>
        <v>0.69632972536771309</v>
      </c>
      <c r="J103" s="2" cm="1">
        <f t="array" ref="J103">_xlfn.LET(_xlpm.d,J$2:J$85,_xlpm.g,$B$2:$B$85,AVERAGE(_xlfn._xlws.FILTER(_xlpm.d,(_xlpm.g=0))))</f>
        <v>0.7090406928659152</v>
      </c>
      <c r="K103" s="2" cm="1">
        <f t="array" ref="K103">_xlfn.LET(_xlpm.d,K$2:K$85,_xlpm.g,$B$2:$B$85,AVERAGE(_xlfn._xlws.FILTER(_xlpm.d,(_xlpm.g=0))))</f>
        <v>0.68873999606810099</v>
      </c>
      <c r="L103" s="2" cm="1">
        <f t="array" ref="L103">_xlfn.LET(_xlpm.d,L$2:L$85,_xlpm.g,$B$2:$B$85,AVERAGE(_xlfn._xlws.FILTER(_xlpm.d,(_xlpm.g=0))))</f>
        <v>0.65421397865387143</v>
      </c>
      <c r="M103" s="2" cm="1">
        <f t="array" ref="M103">_xlfn.LET(_xlpm.d,M$2:M$85,_xlpm.g,$B$2:$B$85,AVERAGE(_xlfn._xlws.FILTER(_xlpm.d,(_xlpm.g=0))))</f>
        <v>0.67506396263784296</v>
      </c>
      <c r="N103" s="2" cm="1">
        <f t="array" ref="N103">_xlfn.LET(_xlpm.d,N$2:N$85,_xlpm.g,$B$2:$B$85,AVERAGE(_xlfn._xlws.FILTER(_xlpm.d,(_xlpm.g=0))))</f>
        <v>0.70278201548344987</v>
      </c>
      <c r="O103" s="2" cm="1">
        <f t="array" ref="O103">_xlfn.LET(_xlpm.d,O$2:O$85,_xlpm.g,$B$2:$B$85,AVERAGE(_xlfn._xlws.FILTER(_xlpm.d,(_xlpm.g=0))))</f>
        <v>0.66961760322050379</v>
      </c>
      <c r="P103" s="2" cm="1">
        <f t="array" ref="P103">_xlfn.LET(_xlpm.d,P$2:P$85,_xlpm.g,$B$2:$B$85,AVERAGE(_xlfn._xlws.FILTER(_xlpm.d,(_xlpm.g=0))))</f>
        <v>0.65026216096370604</v>
      </c>
      <c r="Q103" s="2" cm="1">
        <f t="array" ref="Q103">_xlfn.LET(_xlpm.d,Q$2:Q$85,_xlpm.g,$B$2:$B$85,AVERAGE(_xlfn._xlws.FILTER(_xlpm.d,(_xlpm.g=0))))</f>
        <v>0.6475563514503675</v>
      </c>
      <c r="R103" s="2" cm="1">
        <f t="array" ref="R103">_xlfn.LET(_xlpm.d,R$2:R$85,_xlpm.g,$B$2:$B$85,AVERAGE(_xlfn._xlws.FILTER(_xlpm.d,(_xlpm.g=0))))</f>
        <v>0.64865786537917647</v>
      </c>
      <c r="S103" s="2" cm="1">
        <f t="array" ref="S103">_xlfn.LET(_xlpm.d,S$2:S$85,_xlpm.g,$B$2:$B$85,AVERAGE(_xlfn._xlws.FILTER(_xlpm.d,(_xlpm.g=0))))</f>
        <v>0.6230420407967896</v>
      </c>
      <c r="T103" s="2" cm="1">
        <f t="array" ref="T103">_xlfn.LET(_xlpm.d,T$2:T$85,_xlpm.g,$B$2:$B$85,AVERAGE(_xlfn._xlws.FILTER(_xlpm.d,(_xlpm.g=0))))</f>
        <v>0.67541525744666775</v>
      </c>
    </row>
    <row r="104" spans="6:20" ht="30" customHeight="1">
      <c r="F104" t="s">
        <v>38</v>
      </c>
      <c r="G104" s="2" cm="1">
        <f t="array" ref="G104">_xlfn.LET(_xlpm.d,G$2:G$85,_xlpm.f,$A$2:$A$85,_xlpm.g,$B$2:$B$85,_xlpm.k,$F104,AVERAGE(_xlfn._xlws.FILTER(_xlpm.d,(_xlpm.f=_xlpm.k)*(_xlpm.g=0))))</f>
        <v>0.99964537134066866</v>
      </c>
      <c r="H104" s="2" cm="1">
        <f t="array" ref="H104">_xlfn.LET(_xlpm.d,H$2:H$85,_xlpm.f,$A$2:$A$85,_xlpm.g,$B$2:$B$85,_xlpm.k,$F104,AVERAGE(_xlfn._xlws.FILTER(_xlpm.d,(_xlpm.f=_xlpm.k)*(_xlpm.g=0))))</f>
        <v>0.99929222968034226</v>
      </c>
      <c r="I104" s="2" cm="1">
        <f t="array" ref="I104">_xlfn.LET(_xlpm.d,I$2:I$85,_xlpm.f,$A$2:$A$85,_xlpm.g,$B$2:$B$85,_xlpm.k,$F104,AVERAGE(_xlfn._xlws.FILTER(_xlpm.d,(_xlpm.f=_xlpm.k)*(_xlpm.g=0))))</f>
        <v>0.99967065405396305</v>
      </c>
      <c r="J104" s="2" cm="1">
        <f t="array" ref="J104">_xlfn.LET(_xlpm.d,J$2:J$85,_xlpm.f,$A$2:$A$85,_xlpm.g,$B$2:$B$85,_xlpm.k,$F104,AVERAGE(_xlfn._xlws.FILTER(_xlpm.d,(_xlpm.f=_xlpm.k)*(_xlpm.g=0))))</f>
        <v>0.99963767259763869</v>
      </c>
      <c r="K104" s="2" cm="1">
        <f t="array" ref="K104">_xlfn.LET(_xlpm.d,K$2:K$85,_xlpm.f,$A$2:$A$85,_xlpm.g,$B$2:$B$85,_xlpm.k,$F104,AVERAGE(_xlfn._xlws.FILTER(_xlpm.d,(_xlpm.f=_xlpm.k)*(_xlpm.g=0))))</f>
        <v>1</v>
      </c>
      <c r="L104" s="2" cm="1">
        <f t="array" ref="L104">_xlfn.LET(_xlpm.d,L$2:L$85,_xlpm.f,$A$2:$A$85,_xlpm.g,$B$2:$B$85,_xlpm.k,$F104,AVERAGE(_xlfn._xlws.FILTER(_xlpm.d,(_xlpm.f=_xlpm.k)*(_xlpm.g=0))))</f>
        <v>0.99980506609283493</v>
      </c>
      <c r="M104" s="2" cm="1">
        <f t="array" ref="M104">_xlfn.LET(_xlpm.d,M$2:M$85,_xlpm.f,$A$2:$A$85,_xlpm.g,$B$2:$B$85,_xlpm.k,$F104,AVERAGE(_xlfn._xlws.FILTER(_xlpm.d,(_xlpm.f=_xlpm.k)*(_xlpm.g=0))))</f>
        <v>0.99962341434914281</v>
      </c>
      <c r="N104" s="2" cm="1">
        <f t="array" ref="N104">_xlfn.LET(_xlpm.d,N$2:N$85,_xlpm.f,$A$2:$A$85,_xlpm.g,$B$2:$B$85,_xlpm.k,$F104,AVERAGE(_xlfn._xlws.FILTER(_xlpm.d,(_xlpm.f=_xlpm.k)*(_xlpm.g=0))))</f>
        <v>0.9990789647314241</v>
      </c>
      <c r="O104" s="2" cm="1">
        <f t="array" ref="O104">_xlfn.LET(_xlpm.d,O$2:O$85,_xlpm.f,$A$2:$A$85,_xlpm.g,$B$2:$B$85,_xlpm.k,$F104,AVERAGE(_xlfn._xlws.FILTER(_xlpm.d,(_xlpm.f=_xlpm.k)*(_xlpm.g=0))))</f>
        <v>0.99862933952071009</v>
      </c>
      <c r="P104" s="2" cm="1">
        <f t="array" ref="P104">_xlfn.LET(_xlpm.d,P$2:P$85,_xlpm.f,$A$2:$A$85,_xlpm.g,$B$2:$B$85,_xlpm.k,$F104,AVERAGE(_xlfn._xlws.FILTER(_xlpm.d,(_xlpm.f=_xlpm.k)*(_xlpm.g=0))))</f>
        <v>0.99904198735870364</v>
      </c>
      <c r="Q104" s="2" cm="1">
        <f t="array" ref="Q104">_xlfn.LET(_xlpm.d,Q$2:Q$85,_xlpm.f,$A$2:$A$85,_xlpm.g,$B$2:$B$85,_xlpm.k,$F104,AVERAGE(_xlfn._xlws.FILTER(_xlpm.d,(_xlpm.f=_xlpm.k)*(_xlpm.g=0))))</f>
        <v>0.99918347575854904</v>
      </c>
      <c r="R104" s="2" cm="1">
        <f t="array" ref="R104">_xlfn.LET(_xlpm.d,R$2:R$85,_xlpm.f,$A$2:$A$85,_xlpm.g,$B$2:$B$85,_xlpm.k,$F104,AVERAGE(_xlfn._xlws.FILTER(_xlpm.d,(_xlpm.f=_xlpm.k)*(_xlpm.g=0))))</f>
        <v>0.99977658583626006</v>
      </c>
      <c r="S104" s="2" cm="1">
        <f t="array" ref="S104">_xlfn.LET(_xlpm.d,S$2:S$85,_xlpm.f,$A$2:$A$85,_xlpm.g,$B$2:$B$85,_xlpm.k,$F104,AVERAGE(_xlfn._xlws.FILTER(_xlpm.d,(_xlpm.f=_xlpm.k)*(_xlpm.g=0))))</f>
        <v>0.98375403480003731</v>
      </c>
      <c r="T104" s="2" cm="1">
        <f t="array" ref="T104">_xlfn.LET(_xlpm.d,T$2:T$85,_xlpm.f,$A$2:$A$85,_xlpm.g,$B$2:$B$85,_xlpm.k,$F104,AVERAGE(_xlfn._xlws.FILTER(_xlpm.d,(_xlpm.f=_xlpm.k)*(_xlpm.g=0))))</f>
        <v>0.99824144585540575</v>
      </c>
    </row>
    <row r="105" spans="6:20" ht="30" customHeight="1">
      <c r="F105" t="s">
        <v>40</v>
      </c>
      <c r="G105" s="2" cm="1">
        <f t="array" ref="G105">_xlfn.LET(_xlpm.d,G$2:G$85,_xlpm.f,$A$2:$A$85,_xlpm.g,$B$2:$B$85,_xlpm.k,$F105,AVERAGE(_xlfn._xlws.FILTER(_xlpm.d,(_xlpm.f=_xlpm.k)*(_xlpm.g=0))))</f>
        <v>0.36473996763666822</v>
      </c>
      <c r="H105" s="2" cm="1">
        <f t="array" ref="H105">_xlfn.LET(_xlpm.d,H$2:H$85,_xlpm.f,$A$2:$A$85,_xlpm.g,$B$2:$B$85,_xlpm.k,$F105,AVERAGE(_xlfn._xlws.FILTER(_xlpm.d,(_xlpm.f=_xlpm.k)*(_xlpm.g=0))))</f>
        <v>0.26507030645365764</v>
      </c>
      <c r="I105" s="2" cm="1">
        <f t="array" ref="I105">_xlfn.LET(_xlpm.d,I$2:I$85,_xlpm.f,$A$2:$A$85,_xlpm.g,$B$2:$B$85,_xlpm.k,$F105,AVERAGE(_xlfn._xlws.FILTER(_xlpm.d,(_xlpm.f=_xlpm.k)*(_xlpm.g=0))))</f>
        <v>0.31481892197985034</v>
      </c>
      <c r="J105" s="2" cm="1">
        <f t="array" ref="J105">_xlfn.LET(_xlpm.d,J$2:J$85,_xlpm.f,$A$2:$A$85,_xlpm.g,$B$2:$B$85,_xlpm.k,$F105,AVERAGE(_xlfn._xlws.FILTER(_xlpm.d,(_xlpm.f=_xlpm.k)*(_xlpm.g=0))))</f>
        <v>0.29300322271887452</v>
      </c>
      <c r="K105" s="2" cm="1">
        <f t="array" ref="K105">_xlfn.LET(_xlpm.d,K$2:K$85,_xlpm.f,$A$2:$A$85,_xlpm.g,$B$2:$B$85,_xlpm.k,$F105,AVERAGE(_xlfn._xlws.FILTER(_xlpm.d,(_xlpm.f=_xlpm.k)*(_xlpm.g=0))))</f>
        <v>0.3323614310266082</v>
      </c>
      <c r="L105" s="2" cm="1">
        <f t="array" ref="L105">_xlfn.LET(_xlpm.d,L$2:L$85,_xlpm.f,$A$2:$A$85,_xlpm.g,$B$2:$B$85,_xlpm.k,$F105,AVERAGE(_xlfn._xlws.FILTER(_xlpm.d,(_xlpm.f=_xlpm.k)*(_xlpm.g=0))))</f>
        <v>0.21693552480615974</v>
      </c>
      <c r="M105" s="2" cm="1">
        <f t="array" ref="M105">_xlfn.LET(_xlpm.d,M$2:M$85,_xlpm.f,$A$2:$A$85,_xlpm.g,$B$2:$B$85,_xlpm.k,$F105,AVERAGE(_xlfn._xlws.FILTER(_xlpm.d,(_xlpm.f=_xlpm.k)*(_xlpm.g=0))))</f>
        <v>0.236945010892501</v>
      </c>
      <c r="N105" s="2" cm="1">
        <f t="array" ref="N105">_xlfn.LET(_xlpm.d,N$2:N$85,_xlpm.f,$A$2:$A$85,_xlpm.g,$B$2:$B$85,_xlpm.k,$F105,AVERAGE(_xlfn._xlws.FILTER(_xlpm.d,(_xlpm.f=_xlpm.k)*(_xlpm.g=0))))</f>
        <v>0.3731513870684135</v>
      </c>
      <c r="O105" s="2" cm="1">
        <f t="array" ref="O105">_xlfn.LET(_xlpm.d,O$2:O$85,_xlpm.f,$A$2:$A$85,_xlpm.g,$B$2:$B$85,_xlpm.k,$F105,AVERAGE(_xlfn._xlws.FILTER(_xlpm.d,(_xlpm.f=_xlpm.k)*(_xlpm.g=0))))</f>
        <v>0.13569459680996818</v>
      </c>
      <c r="P105" s="2" cm="1">
        <f t="array" ref="P105">_xlfn.LET(_xlpm.d,P$2:P$85,_xlpm.f,$A$2:$A$85,_xlpm.g,$B$2:$B$85,_xlpm.k,$F105,AVERAGE(_xlfn._xlws.FILTER(_xlpm.d,(_xlpm.f=_xlpm.k)*(_xlpm.g=0))))</f>
        <v>0.31046211307422783</v>
      </c>
      <c r="Q105" s="2" cm="1">
        <f t="array" ref="Q105">_xlfn.LET(_xlpm.d,Q$2:Q$85,_xlpm.f,$A$2:$A$85,_xlpm.g,$B$2:$B$85,_xlpm.k,$F105,AVERAGE(_xlfn._xlws.FILTER(_xlpm.d,(_xlpm.f=_xlpm.k)*(_xlpm.g=0))))</f>
        <v>0.1</v>
      </c>
      <c r="R105" s="2" cm="1">
        <f t="array" ref="R105">_xlfn.LET(_xlpm.d,R$2:R$85,_xlpm.f,$A$2:$A$85,_xlpm.g,$B$2:$B$85,_xlpm.k,$F105,AVERAGE(_xlfn._xlws.FILTER(_xlpm.d,(_xlpm.f=_xlpm.k)*(_xlpm.g=0))))</f>
        <v>0.23442278660004667</v>
      </c>
      <c r="S105" s="2" cm="1">
        <f t="array" ref="S105">_xlfn.LET(_xlpm.d,S$2:S$85,_xlpm.f,$A$2:$A$85,_xlpm.g,$B$2:$B$85,_xlpm.k,$F105,AVERAGE(_xlfn._xlws.FILTER(_xlpm.d,(_xlpm.f=_xlpm.k)*(_xlpm.g=0))))</f>
        <v>0.28057524382025217</v>
      </c>
      <c r="T105" s="2" cm="1">
        <f t="array" ref="T105">_xlfn.LET(_xlpm.d,T$2:T$85,_xlpm.f,$A$2:$A$85,_xlpm.g,$B$2:$B$85,_xlpm.k,$F105,AVERAGE(_xlfn._xlws.FILTER(_xlpm.d,(_xlpm.f=_xlpm.k)*(_xlpm.g=0))))</f>
        <v>0.27069542387677553</v>
      </c>
    </row>
    <row r="106" spans="6:20" ht="30" customHeight="1">
      <c r="F106" t="s">
        <v>41</v>
      </c>
      <c r="G106" s="2" cm="1">
        <f t="array" ref="G106">_xlfn.LET(_xlpm.d,G$2:G$85,_xlpm.f,$A$2:$A$85,_xlpm.g,$B$2:$B$85,_xlpm.k,$F106,AVERAGE(_xlfn._xlws.FILTER(_xlpm.d,(_xlpm.f=_xlpm.k)*(_xlpm.g=0))))</f>
        <v>0.43660979054681115</v>
      </c>
      <c r="H106" s="2" cm="1">
        <f t="array" ref="H106">_xlfn.LET(_xlpm.d,H$2:H$85,_xlpm.f,$A$2:$A$85,_xlpm.g,$B$2:$B$85,_xlpm.k,$F106,AVERAGE(_xlfn._xlws.FILTER(_xlpm.d,(_xlpm.f=_xlpm.k)*(_xlpm.g=0))))</f>
        <v>0.32703557734979721</v>
      </c>
      <c r="I106" s="2" cm="1">
        <f t="array" ref="I106">_xlfn.LET(_xlpm.d,I$2:I$85,_xlpm.f,$A$2:$A$85,_xlpm.g,$B$2:$B$85,_xlpm.k,$F106,AVERAGE(_xlfn._xlws.FILTER(_xlpm.d,(_xlpm.f=_xlpm.k)*(_xlpm.g=0))))</f>
        <v>0.25492136897618584</v>
      </c>
      <c r="J106" s="2" cm="1">
        <f t="array" ref="J106">_xlfn.LET(_xlpm.d,J$2:J$85,_xlpm.f,$A$2:$A$85,_xlpm.g,$B$2:$B$85,_xlpm.k,$F106,AVERAGE(_xlfn._xlws.FILTER(_xlpm.d,(_xlpm.f=_xlpm.k)*(_xlpm.g=0))))</f>
        <v>0.3665635049416307</v>
      </c>
      <c r="K106" s="2" cm="1">
        <f t="array" ref="K106">_xlfn.LET(_xlpm.d,K$2:K$85,_xlpm.f,$A$2:$A$85,_xlpm.g,$B$2:$B$85,_xlpm.k,$F106,AVERAGE(_xlfn._xlws.FILTER(_xlpm.d,(_xlpm.f=_xlpm.k)*(_xlpm.g=0))))</f>
        <v>0.24089359988337869</v>
      </c>
      <c r="L106" s="2" cm="1">
        <f t="array" ref="L106">_xlfn.LET(_xlpm.d,L$2:L$85,_xlpm.f,$A$2:$A$85,_xlpm.g,$B$2:$B$85,_xlpm.k,$F106,AVERAGE(_xlfn._xlws.FILTER(_xlpm.d,(_xlpm.f=_xlpm.k)*(_xlpm.g=0))))</f>
        <v>0.20740446950777633</v>
      </c>
      <c r="M106" s="2" cm="1">
        <f t="array" ref="M106">_xlfn.LET(_xlpm.d,M$2:M$85,_xlpm.f,$A$2:$A$85,_xlpm.g,$B$2:$B$85,_xlpm.k,$F106,AVERAGE(_xlfn._xlws.FILTER(_xlpm.d,(_xlpm.f=_xlpm.k)*(_xlpm.g=0))))</f>
        <v>0.10533431518896917</v>
      </c>
      <c r="N106" s="2" cm="1">
        <f t="array" ref="N106">_xlfn.LET(_xlpm.d,N$2:N$85,_xlpm.f,$A$2:$A$85,_xlpm.g,$B$2:$B$85,_xlpm.k,$F106,AVERAGE(_xlfn._xlws.FILTER(_xlpm.d,(_xlpm.f=_xlpm.k)*(_xlpm.g=0))))</f>
        <v>0.20197536692551735</v>
      </c>
      <c r="O106" s="2" cm="1">
        <f t="array" ref="O106">_xlfn.LET(_xlpm.d,O$2:O$85,_xlpm.f,$A$2:$A$85,_xlpm.g,$B$2:$B$85,_xlpm.k,$F106,AVERAGE(_xlfn._xlws.FILTER(_xlpm.d,(_xlpm.f=_xlpm.k)*(_xlpm.g=0))))</f>
        <v>0.28495866806681719</v>
      </c>
      <c r="P106" s="2" cm="1">
        <f t="array" ref="P106">_xlfn.LET(_xlpm.d,P$2:P$85,_xlpm.f,$A$2:$A$85,_xlpm.g,$B$2:$B$85,_xlpm.k,$F106,AVERAGE(_xlfn._xlws.FILTER(_xlpm.d,(_xlpm.f=_xlpm.k)*(_xlpm.g=0))))</f>
        <v>0.31240349638314285</v>
      </c>
      <c r="Q106" s="2" cm="1">
        <f t="array" ref="Q106">_xlfn.LET(_xlpm.d,Q$2:Q$85,_xlpm.f,$A$2:$A$85,_xlpm.g,$B$2:$B$85,_xlpm.k,$F106,AVERAGE(_xlfn._xlws.FILTER(_xlpm.d,(_xlpm.f=_xlpm.k)*(_xlpm.g=0))))</f>
        <v>0.24554388403295482</v>
      </c>
      <c r="R106" s="2" cm="1">
        <f t="array" ref="R106">_xlfn.LET(_xlpm.d,R$2:R$85,_xlpm.f,$A$2:$A$85,_xlpm.g,$B$2:$B$85,_xlpm.k,$F106,AVERAGE(_xlfn._xlws.FILTER(_xlpm.d,(_xlpm.f=_xlpm.k)*(_xlpm.g=0))))</f>
        <v>0.18108461583143959</v>
      </c>
      <c r="S106" s="2" cm="1">
        <f t="array" ref="S106">_xlfn.LET(_xlpm.d,S$2:S$85,_xlpm.f,$A$2:$A$85,_xlpm.g,$B$2:$B$85,_xlpm.k,$F106,AVERAGE(_xlfn._xlws.FILTER(_xlpm.d,(_xlpm.f=_xlpm.k)*(_xlpm.g=0))))</f>
        <v>0.15991296838828184</v>
      </c>
      <c r="T106" s="2" cm="1">
        <f t="array" ref="T106">_xlfn.LET(_xlpm.d,T$2:T$85,_xlpm.f,$A$2:$A$85,_xlpm.g,$B$2:$B$85,_xlpm.k,$F106,AVERAGE(_xlfn._xlws.FILTER(_xlpm.d,(_xlpm.f=_xlpm.k)*(_xlpm.g=0))))</f>
        <v>0.25558758728793324</v>
      </c>
    </row>
    <row r="107" spans="6:20" ht="30" customHeight="1">
      <c r="F107" t="s">
        <v>97</v>
      </c>
      <c r="G107" s="2" cm="1">
        <f t="array" ref="G107">_xlfn.LET(_xlpm.d,G$2:G$85,_xlpm.f,$A$2:$A$85,_xlpm.g,$B$2:$B$85,_xlpm.k,$F107,AVERAGE(_xlfn._xlws.FILTER(_xlpm.d,(_xlpm.f=_xlpm.k)*(_xlpm.g=0))))</f>
        <v>0.59715070218817157</v>
      </c>
      <c r="H107" s="2" cm="1">
        <f t="array" ref="H107">_xlfn.LET(_xlpm.d,H$2:H$85,_xlpm.f,$A$2:$A$85,_xlpm.g,$B$2:$B$85,_xlpm.k,$F107,AVERAGE(_xlfn._xlws.FILTER(_xlpm.d,(_xlpm.f=_xlpm.k)*(_xlpm.g=0))))</f>
        <v>0.70537580311747605</v>
      </c>
      <c r="I107" s="2" cm="1">
        <f t="array" ref="I107">_xlfn.LET(_xlpm.d,I$2:I$85,_xlpm.f,$A$2:$A$85,_xlpm.g,$B$2:$B$85,_xlpm.k,$F107,AVERAGE(_xlfn._xlws.FILTER(_xlpm.d,(_xlpm.f=_xlpm.k)*(_xlpm.g=0))))</f>
        <v>0.53756665435028161</v>
      </c>
      <c r="J107" s="2" cm="1">
        <f t="array" ref="J107">_xlfn.LET(_xlpm.d,J$2:J$85,_xlpm.f,$A$2:$A$85,_xlpm.g,$B$2:$B$85,_xlpm.k,$F107,AVERAGE(_xlfn._xlws.FILTER(_xlpm.d,(_xlpm.f=_xlpm.k)*(_xlpm.g=0))))</f>
        <v>0.58879637457892764</v>
      </c>
      <c r="K107" s="2" cm="1">
        <f t="array" ref="K107">_xlfn.LET(_xlpm.d,K$2:K$85,_xlpm.f,$A$2:$A$85,_xlpm.g,$B$2:$B$85,_xlpm.k,$F107,AVERAGE(_xlfn._xlws.FILTER(_xlpm.d,(_xlpm.f=_xlpm.k)*(_xlpm.g=0))))</f>
        <v>0.46505629949689542</v>
      </c>
      <c r="L107" s="2" cm="1">
        <f t="array" ref="L107">_xlfn.LET(_xlpm.d,L$2:L$85,_xlpm.f,$A$2:$A$85,_xlpm.g,$B$2:$B$85,_xlpm.k,$F107,AVERAGE(_xlfn._xlws.FILTER(_xlpm.d,(_xlpm.f=_xlpm.k)*(_xlpm.g=0))))</f>
        <v>0.37645241404278801</v>
      </c>
      <c r="M107" s="2" cm="1">
        <f t="array" ref="M107">_xlfn.LET(_xlpm.d,M$2:M$85,_xlpm.f,$A$2:$A$85,_xlpm.g,$B$2:$B$85,_xlpm.k,$F107,AVERAGE(_xlfn._xlws.FILTER(_xlpm.d,(_xlpm.f=_xlpm.k)*(_xlpm.g=0))))</f>
        <v>0.5336671412286178</v>
      </c>
      <c r="N107" s="2" cm="1">
        <f t="array" ref="N107">_xlfn.LET(_xlpm.d,N$2:N$85,_xlpm.f,$A$2:$A$85,_xlpm.g,$B$2:$B$85,_xlpm.k,$F107,AVERAGE(_xlfn._xlws.FILTER(_xlpm.d,(_xlpm.f=_xlpm.k)*(_xlpm.g=0))))</f>
        <v>0.53014640945437164</v>
      </c>
      <c r="O107" s="2" cm="1">
        <f t="array" ref="O107">_xlfn.LET(_xlpm.d,O$2:O$85,_xlpm.f,$A$2:$A$85,_xlpm.g,$B$2:$B$85,_xlpm.k,$F107,AVERAGE(_xlfn._xlws.FILTER(_xlpm.d,(_xlpm.f=_xlpm.k)*(_xlpm.g=0))))</f>
        <v>0.65804043511204469</v>
      </c>
      <c r="P107" s="2" cm="1">
        <f t="array" ref="P107">_xlfn.LET(_xlpm.d,P$2:P$85,_xlpm.f,$A$2:$A$85,_xlpm.g,$B$2:$B$85,_xlpm.k,$F107,AVERAGE(_xlfn._xlws.FILTER(_xlpm.d,(_xlpm.f=_xlpm.k)*(_xlpm.g=0))))</f>
        <v>0.50985404681595081</v>
      </c>
      <c r="Q107" s="2" cm="1">
        <f t="array" ref="Q107">_xlfn.LET(_xlpm.d,Q$2:Q$85,_xlpm.f,$A$2:$A$85,_xlpm.g,$B$2:$B$85,_xlpm.k,$F107,AVERAGE(_xlfn._xlws.FILTER(_xlpm.d,(_xlpm.f=_xlpm.k)*(_xlpm.g=0))))</f>
        <v>0.34559096517600052</v>
      </c>
      <c r="R107" s="2" cm="1">
        <f t="array" ref="R107">_xlfn.LET(_xlpm.d,R$2:R$85,_xlpm.f,$A$2:$A$85,_xlpm.g,$B$2:$B$85,_xlpm.k,$F107,AVERAGE(_xlfn._xlws.FILTER(_xlpm.d,(_xlpm.f=_xlpm.k)*(_xlpm.g=0))))</f>
        <v>0.41073431618517053</v>
      </c>
      <c r="S107" s="2" cm="1">
        <f t="array" ref="S107">_xlfn.LET(_xlpm.d,S$2:S$85,_xlpm.f,$A$2:$A$85,_xlpm.g,$B$2:$B$85,_xlpm.k,$F107,AVERAGE(_xlfn._xlws.FILTER(_xlpm.d,(_xlpm.f=_xlpm.k)*(_xlpm.g=0))))</f>
        <v>0.57846602719085805</v>
      </c>
      <c r="T107" s="2" cm="1">
        <f t="array" ref="T107">_xlfn.LET(_xlpm.d,T$2:T$85,_xlpm.f,$A$2:$A$85,_xlpm.g,$B$2:$B$85,_xlpm.k,$F107,AVERAGE(_xlfn._xlws.FILTER(_xlpm.d,(_xlpm.f=_xlpm.k)*(_xlpm.g=0))))</f>
        <v>0.52832640636054096</v>
      </c>
    </row>
    <row r="108" spans="6:20" ht="30" customHeight="1">
      <c r="F108" t="s">
        <v>39</v>
      </c>
      <c r="G108" s="2" cm="1">
        <f t="array" ref="G108">_xlfn.LET(_xlpm.d,G$2:G$85,_xlpm.f,$A$2:$A$85,_xlpm.g,$B$2:$B$85,_xlpm.k,$F108,AVERAGE(_xlfn._xlws.FILTER(_xlpm.d,(_xlpm.f=_xlpm.k)*(_xlpm.g=0))))</f>
        <v>0.70453967578838628</v>
      </c>
      <c r="H108" s="2" cm="1">
        <f t="array" ref="H108">_xlfn.LET(_xlpm.d,H$2:H$85,_xlpm.f,$A$2:$A$85,_xlpm.g,$B$2:$B$85,_xlpm.k,$F108,AVERAGE(_xlfn._xlws.FILTER(_xlpm.d,(_xlpm.f=_xlpm.k)*(_xlpm.g=0))))</f>
        <v>0.50371460257584666</v>
      </c>
      <c r="I108" s="2" cm="1">
        <f t="array" ref="I108">_xlfn.LET(_xlpm.d,I$2:I$85,_xlpm.f,$A$2:$A$85,_xlpm.g,$B$2:$B$85,_xlpm.k,$F108,AVERAGE(_xlfn._xlws.FILTER(_xlpm.d,(_xlpm.f=_xlpm.k)*(_xlpm.g=0))))</f>
        <v>0.74726215950474961</v>
      </c>
      <c r="J108" s="2" cm="1">
        <f t="array" ref="J108">_xlfn.LET(_xlpm.d,J$2:J$85,_xlpm.f,$A$2:$A$85,_xlpm.g,$B$2:$B$85,_xlpm.k,$F108,AVERAGE(_xlfn._xlws.FILTER(_xlpm.d,(_xlpm.f=_xlpm.k)*(_xlpm.g=0))))</f>
        <v>0.68045599754682595</v>
      </c>
      <c r="K108" s="2" cm="1">
        <f t="array" ref="K108">_xlfn.LET(_xlpm.d,K$2:K$85,_xlpm.f,$A$2:$A$85,_xlpm.g,$B$2:$B$85,_xlpm.k,$F108,AVERAGE(_xlfn._xlws.FILTER(_xlpm.d,(_xlpm.f=_xlpm.k)*(_xlpm.g=0))))</f>
        <v>0.57953907447228648</v>
      </c>
      <c r="L108" s="2" cm="1">
        <f t="array" ref="L108">_xlfn.LET(_xlpm.d,L$2:L$85,_xlpm.f,$A$2:$A$85,_xlpm.g,$B$2:$B$85,_xlpm.k,$F108,AVERAGE(_xlfn._xlws.FILTER(_xlpm.d,(_xlpm.f=_xlpm.k)*(_xlpm.g=0))))</f>
        <v>0.76821866574391173</v>
      </c>
      <c r="M108" s="2" cm="1">
        <f t="array" ref="M108">_xlfn.LET(_xlpm.d,M$2:M$85,_xlpm.f,$A$2:$A$85,_xlpm.g,$B$2:$B$85,_xlpm.k,$F108,AVERAGE(_xlfn._xlws.FILTER(_xlpm.d,(_xlpm.f=_xlpm.k)*(_xlpm.g=0))))</f>
        <v>0.59906071283053153</v>
      </c>
      <c r="N108" s="2" cm="1">
        <f t="array" ref="N108">_xlfn.LET(_xlpm.d,N$2:N$85,_xlpm.f,$A$2:$A$85,_xlpm.g,$B$2:$B$85,_xlpm.k,$F108,AVERAGE(_xlfn._xlws.FILTER(_xlpm.d,(_xlpm.f=_xlpm.k)*(_xlpm.g=0))))</f>
        <v>0.69540733742024985</v>
      </c>
      <c r="O108" s="2" cm="1">
        <f t="array" ref="O108">_xlfn.LET(_xlpm.d,O$2:O$85,_xlpm.f,$A$2:$A$85,_xlpm.g,$B$2:$B$85,_xlpm.k,$F108,AVERAGE(_xlfn._xlws.FILTER(_xlpm.d,(_xlpm.f=_xlpm.k)*(_xlpm.g=0))))</f>
        <v>0.52999367834003919</v>
      </c>
      <c r="P108" s="2" cm="1">
        <f t="array" ref="P108">_xlfn.LET(_xlpm.d,P$2:P$85,_xlpm.f,$A$2:$A$85,_xlpm.g,$B$2:$B$85,_xlpm.k,$F108,AVERAGE(_xlfn._xlws.FILTER(_xlpm.d,(_xlpm.f=_xlpm.k)*(_xlpm.g=0))))</f>
        <v>0.53565282790982549</v>
      </c>
      <c r="Q108" s="2" cm="1">
        <f t="array" ref="Q108">_xlfn.LET(_xlpm.d,Q$2:Q$85,_xlpm.f,$A$2:$A$85,_xlpm.g,$B$2:$B$85,_xlpm.k,$F108,AVERAGE(_xlfn._xlws.FILTER(_xlpm.d,(_xlpm.f=_xlpm.k)*(_xlpm.g=0))))</f>
        <v>0.52530313006611695</v>
      </c>
      <c r="R108" s="2" cm="1">
        <f t="array" ref="R108">_xlfn.LET(_xlpm.d,R$2:R$85,_xlpm.f,$A$2:$A$85,_xlpm.g,$B$2:$B$85,_xlpm.k,$F108,AVERAGE(_xlfn._xlws.FILTER(_xlpm.d,(_xlpm.f=_xlpm.k)*(_xlpm.g=0))))</f>
        <v>0.36879922242325286</v>
      </c>
      <c r="S108" s="2" cm="1">
        <f t="array" ref="S108">_xlfn.LET(_xlpm.d,S$2:S$85,_xlpm.f,$A$2:$A$85,_xlpm.g,$B$2:$B$85,_xlpm.k,$F108,AVERAGE(_xlfn._xlws.FILTER(_xlpm.d,(_xlpm.f=_xlpm.k)*(_xlpm.g=0))))</f>
        <v>0.57612128535572171</v>
      </c>
      <c r="T108" s="2" cm="1">
        <f t="array" ref="T108">_xlfn.LET(_xlpm.d,T$2:T$85,_xlpm.f,$A$2:$A$85,_xlpm.g,$B$2:$B$85,_xlpm.k,$F108,AVERAGE(_xlfn._xlws.FILTER(_xlpm.d,(_xlpm.f=_xlpm.k)*(_xlpm.g=0))))</f>
        <v>0.60414725999218755</v>
      </c>
    </row>
    <row r="109" spans="6:20" ht="30" customHeight="1">
      <c r="F109" t="s">
        <v>98</v>
      </c>
      <c r="G109" s="2" cm="1">
        <f t="array" ref="G109">_xlfn.LET(_xlpm.d,G$2:G$85,_xlpm.f,$A$2:$A$85,_xlpm.g,$B$2:$B$85,_xlpm.k,$F109,AVERAGE(_xlfn._xlws.FILTER(_xlpm.d,(_xlpm.f=_xlpm.k)*(_xlpm.g=0))))</f>
        <v>1</v>
      </c>
      <c r="H109" s="2" cm="1">
        <f t="array" ref="H109">_xlfn.LET(_xlpm.d,H$2:H$85,_xlpm.f,$A$2:$A$85,_xlpm.g,$B$2:$B$85,_xlpm.k,$F109,AVERAGE(_xlfn._xlws.FILTER(_xlpm.d,(_xlpm.f=_xlpm.k)*(_xlpm.g=0))))</f>
        <v>0.99907707477750363</v>
      </c>
      <c r="I109" s="2" cm="1">
        <f t="array" ref="I109">_xlfn.LET(_xlpm.d,I$2:I$85,_xlpm.f,$A$2:$A$85,_xlpm.g,$B$2:$B$85,_xlpm.k,$F109,AVERAGE(_xlfn._xlws.FILTER(_xlpm.d,(_xlpm.f=_xlpm.k)*(_xlpm.g=0))))</f>
        <v>1</v>
      </c>
      <c r="J109" s="2" cm="1">
        <f t="array" ref="J109">_xlfn.LET(_xlpm.d,J$2:J$85,_xlpm.f,$A$2:$A$85,_xlpm.g,$B$2:$B$85,_xlpm.k,$F109,AVERAGE(_xlfn._xlws.FILTER(_xlpm.d,(_xlpm.f=_xlpm.k)*(_xlpm.g=0))))</f>
        <v>0.99988753876383729</v>
      </c>
      <c r="K109" s="2" cm="1">
        <f t="array" ref="K109">_xlfn.LET(_xlpm.d,K$2:K$85,_xlpm.f,$A$2:$A$85,_xlpm.g,$B$2:$B$85,_xlpm.k,$F109,AVERAGE(_xlfn._xlws.FILTER(_xlpm.d,(_xlpm.f=_xlpm.k)*(_xlpm.g=0))))</f>
        <v>0.9994541191937808</v>
      </c>
      <c r="L109" s="2" cm="1">
        <f t="array" ref="L109">_xlfn.LET(_xlpm.d,L$2:L$85,_xlpm.f,$A$2:$A$85,_xlpm.g,$B$2:$B$85,_xlpm.k,$F109,AVERAGE(_xlfn._xlws.FILTER(_xlpm.d,(_xlpm.f=_xlpm.k)*(_xlpm.g=0))))</f>
        <v>1</v>
      </c>
      <c r="M109" s="2" cm="1">
        <f t="array" ref="M109">_xlfn.LET(_xlpm.d,M$2:M$85,_xlpm.f,$A$2:$A$85,_xlpm.g,$B$2:$B$85,_xlpm.k,$F109,AVERAGE(_xlfn._xlws.FILTER(_xlpm.d,(_xlpm.f=_xlpm.k)*(_xlpm.g=0))))</f>
        <v>0.99152759420150849</v>
      </c>
      <c r="N109" s="2" cm="1">
        <f t="array" ref="N109">_xlfn.LET(_xlpm.d,N$2:N$85,_xlpm.f,$A$2:$A$85,_xlpm.g,$B$2:$B$85,_xlpm.k,$F109,AVERAGE(_xlfn._xlws.FILTER(_xlpm.d,(_xlpm.f=_xlpm.k)*(_xlpm.g=0))))</f>
        <v>0.9981048012750211</v>
      </c>
      <c r="O109" s="2" cm="1">
        <f t="array" ref="O109">_xlfn.LET(_xlpm.d,O$2:O$85,_xlpm.f,$A$2:$A$85,_xlpm.g,$B$2:$B$85,_xlpm.k,$F109,AVERAGE(_xlfn._xlws.FILTER(_xlpm.d,(_xlpm.f=_xlpm.k)*(_xlpm.g=0))))</f>
        <v>1</v>
      </c>
      <c r="P109" s="2" cm="1">
        <f t="array" ref="P109">_xlfn.LET(_xlpm.d,P$2:P$85,_xlpm.f,$A$2:$A$85,_xlpm.g,$B$2:$B$85,_xlpm.k,$F109,AVERAGE(_xlfn._xlws.FILTER(_xlpm.d,(_xlpm.f=_xlpm.k)*(_xlpm.g=0))))</f>
        <v>1</v>
      </c>
      <c r="Q109" s="2" cm="1">
        <f t="array" ref="Q109">_xlfn.LET(_xlpm.d,Q$2:Q$85,_xlpm.f,$A$2:$A$85,_xlpm.g,$B$2:$B$85,_xlpm.k,$F109,AVERAGE(_xlfn._xlws.FILTER(_xlpm.d,(_xlpm.f=_xlpm.k)*(_xlpm.g=0))))</f>
        <v>0.99964463397299219</v>
      </c>
      <c r="R109" s="2" cm="1">
        <f t="array" ref="R109">_xlfn.LET(_xlpm.d,R$2:R$85,_xlpm.f,$A$2:$A$85,_xlpm.g,$B$2:$B$85,_xlpm.k,$F109,AVERAGE(_xlfn._xlws.FILTER(_xlpm.d,(_xlpm.f=_xlpm.k)*(_xlpm.g=0))))</f>
        <v>1</v>
      </c>
      <c r="S109" s="2" cm="1">
        <f t="array" ref="S109">_xlfn.LET(_xlpm.d,S$2:S$85,_xlpm.f,$A$2:$A$85,_xlpm.g,$B$2:$B$85,_xlpm.k,$F109,AVERAGE(_xlfn._xlws.FILTER(_xlpm.d,(_xlpm.f=_xlpm.k)*(_xlpm.g=0))))</f>
        <v>1</v>
      </c>
      <c r="T109" s="2" cm="1">
        <f t="array" ref="T109">_xlfn.LET(_xlpm.d,T$2:T$85,_xlpm.f,$A$2:$A$85,_xlpm.g,$B$2:$B$85,_xlpm.k,$F109,AVERAGE(_xlfn._xlws.FILTER(_xlpm.d,(_xlpm.f=_xlpm.k)*(_xlpm.g=0))))</f>
        <v>0.99905352016804949</v>
      </c>
    </row>
    <row r="110" spans="6:20" ht="30" customHeight="1">
      <c r="F110" t="s">
        <v>99</v>
      </c>
      <c r="G110" s="2" cm="1">
        <f t="array" ref="G110">_xlfn.LET(_xlpm.d,G$2:G$85,_xlpm.f,$A$2:$A$85,_xlpm.g,$B$2:$B$85,_xlpm.k,$F110,AVERAGE(_xlfn._xlws.FILTER(_xlpm.d,(_xlpm.f=_xlpm.k)*(_xlpm.g=0))))</f>
        <v>1</v>
      </c>
      <c r="H110" s="2" cm="1">
        <f t="array" ref="H110">_xlfn.LET(_xlpm.d,H$2:H$85,_xlpm.f,$A$2:$A$85,_xlpm.g,$B$2:$B$85,_xlpm.k,$F110,AVERAGE(_xlfn._xlws.FILTER(_xlpm.d,(_xlpm.f=_xlpm.k)*(_xlpm.g=0))))</f>
        <v>1</v>
      </c>
      <c r="I110" s="2" cm="1">
        <f t="array" ref="I110">_xlfn.LET(_xlpm.d,I$2:I$85,_xlpm.f,$A$2:$A$85,_xlpm.g,$B$2:$B$85,_xlpm.k,$F110,AVERAGE(_xlfn._xlws.FILTER(_xlpm.d,(_xlpm.f=_xlpm.k)*(_xlpm.g=0))))</f>
        <v>1</v>
      </c>
      <c r="J110" s="2" cm="1">
        <f t="array" ref="J110">_xlfn.LET(_xlpm.d,J$2:J$85,_xlpm.f,$A$2:$A$85,_xlpm.g,$B$2:$B$85,_xlpm.k,$F110,AVERAGE(_xlfn._xlws.FILTER(_xlpm.d,(_xlpm.f=_xlpm.k)*(_xlpm.g=0))))</f>
        <v>1</v>
      </c>
      <c r="K110" s="2" cm="1">
        <f t="array" ref="K110">_xlfn.LET(_xlpm.d,K$2:K$85,_xlpm.f,$A$2:$A$85,_xlpm.g,$B$2:$B$85,_xlpm.k,$F110,AVERAGE(_xlfn._xlws.FILTER(_xlpm.d,(_xlpm.f=_xlpm.k)*(_xlpm.g=0))))</f>
        <v>1</v>
      </c>
      <c r="L110" s="2" cm="1">
        <f t="array" ref="L110">_xlfn.LET(_xlpm.d,L$2:L$85,_xlpm.f,$A$2:$A$85,_xlpm.g,$B$2:$B$85,_xlpm.k,$F110,AVERAGE(_xlfn._xlws.FILTER(_xlpm.d,(_xlpm.f=_xlpm.k)*(_xlpm.g=0))))</f>
        <v>1</v>
      </c>
      <c r="M110" s="2" cm="1">
        <f t="array" ref="M110">_xlfn.LET(_xlpm.d,M$2:M$85,_xlpm.f,$A$2:$A$85,_xlpm.g,$B$2:$B$85,_xlpm.k,$F110,AVERAGE(_xlfn._xlws.FILTER(_xlpm.d,(_xlpm.f=_xlpm.k)*(_xlpm.g=0))))</f>
        <v>1</v>
      </c>
      <c r="N110" s="2" cm="1">
        <f t="array" ref="N110">_xlfn.LET(_xlpm.d,N$2:N$85,_xlpm.f,$A$2:$A$85,_xlpm.g,$B$2:$B$85,_xlpm.k,$F110,AVERAGE(_xlfn._xlws.FILTER(_xlpm.d,(_xlpm.f=_xlpm.k)*(_xlpm.g=0))))</f>
        <v>0.99841633844401068</v>
      </c>
      <c r="O110" s="2" cm="1">
        <f t="array" ref="O110">_xlfn.LET(_xlpm.d,O$2:O$85,_xlpm.f,$A$2:$A$85,_xlpm.g,$B$2:$B$85,_xlpm.k,$F110,AVERAGE(_xlfn._xlws.FILTER(_xlpm.d,(_xlpm.f=_xlpm.k)*(_xlpm.g=0))))</f>
        <v>0.99857085667990264</v>
      </c>
      <c r="P110" s="2" cm="1">
        <f t="array" ref="P110">_xlfn.LET(_xlpm.d,P$2:P$85,_xlpm.f,$A$2:$A$85,_xlpm.g,$B$2:$B$85,_xlpm.k,$F110,AVERAGE(_xlfn._xlws.FILTER(_xlpm.d,(_xlpm.f=_xlpm.k)*(_xlpm.g=0))))</f>
        <v>0.99175498372753257</v>
      </c>
      <c r="Q110" s="2" cm="1">
        <f t="array" ref="Q110">_xlfn.LET(_xlpm.d,Q$2:Q$85,_xlpm.f,$A$2:$A$85,_xlpm.g,$B$2:$B$85,_xlpm.k,$F110,AVERAGE(_xlfn._xlws.FILTER(_xlpm.d,(_xlpm.f=_xlpm.k)*(_xlpm.g=0))))</f>
        <v>1</v>
      </c>
      <c r="R110" s="2" cm="1">
        <f t="array" ref="R110">_xlfn.LET(_xlpm.d,R$2:R$85,_xlpm.f,$A$2:$A$85,_xlpm.g,$B$2:$B$85,_xlpm.k,$F110,AVERAGE(_xlfn._xlws.FILTER(_xlpm.d,(_xlpm.f=_xlpm.k)*(_xlpm.g=0))))</f>
        <v>1</v>
      </c>
      <c r="S110" s="2" cm="1">
        <f t="array" ref="S110">_xlfn.LET(_xlpm.d,S$2:S$85,_xlpm.f,$A$2:$A$85,_xlpm.g,$B$2:$B$85,_xlpm.k,$F110,AVERAGE(_xlfn._xlws.FILTER(_xlpm.d,(_xlpm.f=_xlpm.k)*(_xlpm.g=0))))</f>
        <v>0.97305588141203592</v>
      </c>
      <c r="T110" s="2" cm="1">
        <f t="array" ref="T110">_xlfn.LET(_xlpm.d,T$2:T$85,_xlpm.f,$A$2:$A$85,_xlpm.g,$B$2:$B$85,_xlpm.k,$F110,AVERAGE(_xlfn._xlws.FILTER(_xlpm.d,(_xlpm.f=_xlpm.k)*(_xlpm.g=0))))</f>
        <v>0.99706138925103716</v>
      </c>
    </row>
    <row r="111" spans="6:20" ht="30" customHeight="1">
      <c r="F111" t="s">
        <v>100</v>
      </c>
      <c r="G111" s="2" cm="1">
        <f t="array" ref="G111">_xlfn.LET(_xlpm.d,G$2:G$85,_xlpm.f,$A$2:$A$85,_xlpm.g,$B$2:$B$85,_xlpm.k,$F111,AVERAGE(_xlfn._xlws.FILTER(_xlpm.d,(_xlpm.f=_xlpm.k)*(_xlpm.g=0))))</f>
        <v>0.84895804802315677</v>
      </c>
      <c r="H111" s="2" cm="1">
        <f t="array" ref="H111">_xlfn.LET(_xlpm.d,H$2:H$85,_xlpm.f,$A$2:$A$85,_xlpm.g,$B$2:$B$85,_xlpm.k,$F111,AVERAGE(_xlfn._xlws.FILTER(_xlpm.d,(_xlpm.f=_xlpm.k)*(_xlpm.g=0))))</f>
        <v>0.82162549526409834</v>
      </c>
      <c r="I111" s="2" cm="1">
        <f t="array" ref="I111">_xlfn.LET(_xlpm.d,I$2:I$85,_xlpm.f,$A$2:$A$85,_xlpm.g,$B$2:$B$85,_xlpm.k,$F111,AVERAGE(_xlfn._xlws.FILTER(_xlpm.d,(_xlpm.f=_xlpm.k)*(_xlpm.g=0))))</f>
        <v>0.63404668396089081</v>
      </c>
      <c r="J111" s="2" cm="1">
        <f t="array" ref="J111">_xlfn.LET(_xlpm.d,J$2:J$85,_xlpm.f,$A$2:$A$85,_xlpm.g,$B$2:$B$85,_xlpm.k,$F111,AVERAGE(_xlfn._xlws.FILTER(_xlpm.d,(_xlpm.f=_xlpm.k)*(_xlpm.g=0))))</f>
        <v>0.62986212055930979</v>
      </c>
      <c r="K111" s="2" cm="1">
        <f t="array" ref="K111">_xlfn.LET(_xlpm.d,K$2:K$85,_xlpm.f,$A$2:$A$85,_xlpm.g,$B$2:$B$85,_xlpm.k,$F111,AVERAGE(_xlfn._xlws.FILTER(_xlpm.d,(_xlpm.f=_xlpm.k)*(_xlpm.g=0))))</f>
        <v>0.61874160267775558</v>
      </c>
      <c r="L111" s="2" cm="1">
        <f t="array" ref="L111">_xlfn.LET(_xlpm.d,L$2:L$85,_xlpm.f,$A$2:$A$85,_xlpm.g,$B$2:$B$85,_xlpm.k,$F111,AVERAGE(_xlfn._xlws.FILTER(_xlpm.d,(_xlpm.f=_xlpm.k)*(_xlpm.g=0))))</f>
        <v>0.76325556650817439</v>
      </c>
      <c r="M111" s="2" cm="1">
        <f t="array" ref="M111">_xlfn.LET(_xlpm.d,M$2:M$85,_xlpm.f,$A$2:$A$85,_xlpm.g,$B$2:$B$85,_xlpm.k,$F111,AVERAGE(_xlfn._xlws.FILTER(_xlpm.d,(_xlpm.f=_xlpm.k)*(_xlpm.g=0))))</f>
        <v>0.68194211391668491</v>
      </c>
      <c r="N111" s="2" cm="1">
        <f t="array" ref="N111">_xlfn.LET(_xlpm.d,N$2:N$85,_xlpm.f,$A$2:$A$85,_xlpm.g,$B$2:$B$85,_xlpm.k,$F111,AVERAGE(_xlfn._xlws.FILTER(_xlpm.d,(_xlpm.f=_xlpm.k)*(_xlpm.g=0))))</f>
        <v>0.68319340721030108</v>
      </c>
      <c r="O111" s="2" cm="1">
        <f t="array" ref="O111">_xlfn.LET(_xlpm.d,O$2:O$85,_xlpm.f,$A$2:$A$85,_xlpm.g,$B$2:$B$85,_xlpm.k,$F111,AVERAGE(_xlfn._xlws.FILTER(_xlpm.d,(_xlpm.f=_xlpm.k)*(_xlpm.g=0))))</f>
        <v>0.75763916918481744</v>
      </c>
      <c r="P111" s="2" cm="1">
        <f t="array" ref="P111">_xlfn.LET(_xlpm.d,P$2:P$85,_xlpm.f,$A$2:$A$85,_xlpm.g,$B$2:$B$85,_xlpm.k,$F111,AVERAGE(_xlfn._xlws.FILTER(_xlpm.d,(_xlpm.f=_xlpm.k)*(_xlpm.g=0))))</f>
        <v>0.55865971105684031</v>
      </c>
      <c r="Q111" s="2" cm="1">
        <f t="array" ref="Q111">_xlfn.LET(_xlpm.d,Q$2:Q$85,_xlpm.f,$A$2:$A$85,_xlpm.g,$B$2:$B$85,_xlpm.k,$F111,AVERAGE(_xlfn._xlws.FILTER(_xlpm.d,(_xlpm.f=_xlpm.k)*(_xlpm.g=0))))</f>
        <v>0.63740063249750334</v>
      </c>
      <c r="R111" s="2" cm="1">
        <f t="array" ref="R111">_xlfn.LET(_xlpm.d,R$2:R$85,_xlpm.f,$A$2:$A$85,_xlpm.g,$B$2:$B$85,_xlpm.k,$F111,AVERAGE(_xlfn._xlws.FILTER(_xlpm.d,(_xlpm.f=_xlpm.k)*(_xlpm.g=0))))</f>
        <v>0.72582373477110262</v>
      </c>
      <c r="S111" s="2" cm="1">
        <f t="array" ref="S111">_xlfn.LET(_xlpm.d,S$2:S$85,_xlpm.f,$A$2:$A$85,_xlpm.g,$B$2:$B$85,_xlpm.k,$F111,AVERAGE(_xlfn._xlws.FILTER(_xlpm.d,(_xlpm.f=_xlpm.k)*(_xlpm.g=0))))</f>
        <v>0.65946419995871719</v>
      </c>
      <c r="T111" s="2" cm="1">
        <f t="array" ref="T111">_xlfn.LET(_xlpm.d,T$2:T$85,_xlpm.f,$A$2:$A$85,_xlpm.g,$B$2:$B$85,_xlpm.k,$F111,AVERAGE(_xlfn._xlws.FILTER(_xlpm.d,(_xlpm.f=_xlpm.k)*(_xlpm.g=0))))</f>
        <v>0.69219974364193015</v>
      </c>
    </row>
    <row r="112" spans="6:20" ht="30" customHeight="1">
      <c r="F112" t="s">
        <v>42</v>
      </c>
      <c r="G112" s="2" cm="1">
        <f t="array" ref="G112">_xlfn.LET(_xlpm.d,G$2:G$85,_xlpm.f,$A$2:$A$85,_xlpm.g,$B$2:$B$85,_xlpm.k,$F112,AVERAGE(_xlfn._xlws.FILTER(_xlpm.d,(_xlpm.f=_xlpm.k)*(_xlpm.g=0))))</f>
        <v>0.98679573204515325</v>
      </c>
      <c r="H112" s="2" cm="1">
        <f t="array" ref="H112">_xlfn.LET(_xlpm.d,H$2:H$85,_xlpm.f,$A$2:$A$85,_xlpm.g,$B$2:$B$85,_xlpm.k,$F112,AVERAGE(_xlfn._xlws.FILTER(_xlpm.d,(_xlpm.f=_xlpm.k)*(_xlpm.g=0))))</f>
        <v>0.99246623237351317</v>
      </c>
      <c r="I112" s="2" cm="1">
        <f t="array" ref="I112">_xlfn.LET(_xlpm.d,I$2:I$85,_xlpm.f,$A$2:$A$85,_xlpm.g,$B$2:$B$85,_xlpm.k,$F112,AVERAGE(_xlfn._xlws.FILTER(_xlpm.d,(_xlpm.f=_xlpm.k)*(_xlpm.g=0))))</f>
        <v>0.99035064834333608</v>
      </c>
      <c r="J112" s="2" cm="1">
        <f t="array" ref="J112">_xlfn.LET(_xlpm.d,J$2:J$85,_xlpm.f,$A$2:$A$85,_xlpm.g,$B$2:$B$85,_xlpm.k,$F112,AVERAGE(_xlfn._xlws.FILTER(_xlpm.d,(_xlpm.f=_xlpm.k)*(_xlpm.g=0))))</f>
        <v>0.98233456498657501</v>
      </c>
      <c r="K112" s="2" cm="1">
        <f t="array" ref="K112">_xlfn.LET(_xlpm.d,K$2:K$85,_xlpm.f,$A$2:$A$85,_xlpm.g,$B$2:$B$85,_xlpm.k,$F112,AVERAGE(_xlfn._xlws.FILTER(_xlpm.d,(_xlpm.f=_xlpm.k)*(_xlpm.g=0))))</f>
        <v>0.9879562380811171</v>
      </c>
      <c r="L112" s="2" cm="1">
        <f t="array" ref="L112">_xlfn.LET(_xlpm.d,L$2:L$85,_xlpm.f,$A$2:$A$85,_xlpm.g,$B$2:$B$85,_xlpm.k,$F112,AVERAGE(_xlfn._xlws.FILTER(_xlpm.d,(_xlpm.f=_xlpm.k)*(_xlpm.g=0))))</f>
        <v>0.97298414961665391</v>
      </c>
      <c r="M112" s="2" cm="1">
        <f t="array" ref="M112">_xlfn.LET(_xlpm.d,M$2:M$85,_xlpm.f,$A$2:$A$85,_xlpm.g,$B$2:$B$85,_xlpm.k,$F112,AVERAGE(_xlfn._xlws.FILTER(_xlpm.d,(_xlpm.f=_xlpm.k)*(_xlpm.g=0))))</f>
        <v>0.9871412804887022</v>
      </c>
      <c r="N112" s="2" cm="1">
        <f t="array" ref="N112">_xlfn.LET(_xlpm.d,N$2:N$85,_xlpm.f,$A$2:$A$85,_xlpm.g,$B$2:$B$85,_xlpm.k,$F112,AVERAGE(_xlfn._xlws.FILTER(_xlpm.d,(_xlpm.f=_xlpm.k)*(_xlpm.g=0))))</f>
        <v>0.99811821441306892</v>
      </c>
      <c r="O112" s="2" cm="1">
        <f t="array" ref="O112">_xlfn.LET(_xlpm.d,O$2:O$85,_xlpm.f,$A$2:$A$85,_xlpm.g,$B$2:$B$85,_xlpm.k,$F112,AVERAGE(_xlfn._xlws.FILTER(_xlpm.d,(_xlpm.f=_xlpm.k)*(_xlpm.g=0))))</f>
        <v>0.97250581604606257</v>
      </c>
      <c r="P112" s="2" cm="1">
        <f t="array" ref="P112">_xlfn.LET(_xlpm.d,P$2:P$85,_xlpm.f,$A$2:$A$85,_xlpm.g,$B$2:$B$85,_xlpm.k,$F112,AVERAGE(_xlfn._xlws.FILTER(_xlpm.d,(_xlpm.f=_xlpm.k)*(_xlpm.g=0))))</f>
        <v>0.98563146768239707</v>
      </c>
      <c r="Q112" s="2" cm="1">
        <f t="array" ref="Q112">_xlfn.LET(_xlpm.d,Q$2:Q$85,_xlpm.f,$A$2:$A$85,_xlpm.g,$B$2:$B$85,_xlpm.k,$F112,AVERAGE(_xlfn._xlws.FILTER(_xlpm.d,(_xlpm.f=_xlpm.k)*(_xlpm.g=0))))</f>
        <v>0.97320070531535474</v>
      </c>
      <c r="R112" s="2" cm="1">
        <f t="array" ref="R112">_xlfn.LET(_xlpm.d,R$2:R$85,_xlpm.f,$A$2:$A$85,_xlpm.g,$B$2:$B$85,_xlpm.k,$F112,AVERAGE(_xlfn._xlws.FILTER(_xlpm.d,(_xlpm.f=_xlpm.k)*(_xlpm.g=0))))</f>
        <v>0.96726432478908997</v>
      </c>
      <c r="S112" s="2" cm="1">
        <f t="array" ref="S112">_xlfn.LET(_xlpm.d,S$2:S$85,_xlpm.f,$A$2:$A$85,_xlpm.g,$B$2:$B$85,_xlpm.k,$F112,AVERAGE(_xlfn._xlws.FILTER(_xlpm.d,(_xlpm.f=_xlpm.k)*(_xlpm.g=0))))</f>
        <v>0.99045973957303801</v>
      </c>
      <c r="T112" s="2" cm="1">
        <f t="array" ref="T112">_xlfn.LET(_xlpm.d,T$2:T$85,_xlpm.f,$A$2:$A$85,_xlpm.g,$B$2:$B$85,_xlpm.k,$F112,AVERAGE(_xlfn._xlws.FILTER(_xlpm.d,(_xlpm.f=_xlpm.k)*(_xlpm.g=0))))</f>
        <v>0.98363147028877396</v>
      </c>
    </row>
    <row r="113" spans="6:20" ht="30" customHeight="1">
      <c r="F113" t="s">
        <v>102</v>
      </c>
      <c r="G113" s="2" cm="1">
        <f t="array" ref="G113">_xlfn.LET(_xlpm.d,G$2:G$85,_xlpm.f,$A$2:$A$85,_xlpm.g,$B$2:$B$85,_xlpm.k,$F113,AVERAGE(_xlfn._xlws.FILTER(_xlpm.d,(_xlpm.f=_xlpm.k)*(_xlpm.g=0))))</f>
        <v>0.66288322067512451</v>
      </c>
      <c r="H113" s="2" cm="1">
        <f t="array" ref="H113">_xlfn.LET(_xlpm.d,H$2:H$85,_xlpm.f,$A$2:$A$85,_xlpm.g,$B$2:$B$85,_xlpm.k,$F113,AVERAGE(_xlfn._xlws.FILTER(_xlpm.d,(_xlpm.f=_xlpm.k)*(_xlpm.g=0))))</f>
        <v>0.51129843200437164</v>
      </c>
      <c r="I113" s="2" cm="1">
        <f t="array" ref="I113">_xlfn.LET(_xlpm.d,I$2:I$85,_xlpm.f,$A$2:$A$85,_xlpm.g,$B$2:$B$85,_xlpm.k,$F113,AVERAGE(_xlfn._xlws.FILTER(_xlpm.d,(_xlpm.f=_xlpm.k)*(_xlpm.g=0))))</f>
        <v>0.57832436679077692</v>
      </c>
      <c r="J113" s="2" cm="1">
        <f t="array" ref="J113">_xlfn.LET(_xlpm.d,J$2:J$85,_xlpm.f,$A$2:$A$85,_xlpm.g,$B$2:$B$85,_xlpm.k,$F113,AVERAGE(_xlfn._xlws.FILTER(_xlpm.d,(_xlpm.f=_xlpm.k)*(_xlpm.g=0))))</f>
        <v>0.62309505699847134</v>
      </c>
      <c r="K113" s="2" cm="1">
        <f t="array" ref="K113">_xlfn.LET(_xlpm.d,K$2:K$85,_xlpm.f,$A$2:$A$85,_xlpm.g,$B$2:$B$85,_xlpm.k,$F113,AVERAGE(_xlfn._xlws.FILTER(_xlpm.d,(_xlpm.f=_xlpm.k)*(_xlpm.g=0))))</f>
        <v>0.78452994734987147</v>
      </c>
      <c r="L113" s="2" cm="1">
        <f t="array" ref="L113">_xlfn.LET(_xlpm.d,L$2:L$85,_xlpm.f,$A$2:$A$85,_xlpm.g,$B$2:$B$85,_xlpm.k,$F113,AVERAGE(_xlfn._xlws.FILTER(_xlpm.d,(_xlpm.f=_xlpm.k)*(_xlpm.g=0))))</f>
        <v>0.44573304626602051</v>
      </c>
      <c r="M113" s="2" cm="1">
        <f t="array" ref="M113">_xlfn.LET(_xlpm.d,M$2:M$85,_xlpm.f,$A$2:$A$85,_xlpm.g,$B$2:$B$85,_xlpm.k,$F113,AVERAGE(_xlfn._xlws.FILTER(_xlpm.d,(_xlpm.f=_xlpm.k)*(_xlpm.g=0))))</f>
        <v>0.72619731584514469</v>
      </c>
      <c r="N113" s="2" cm="1">
        <f t="array" ref="N113">_xlfn.LET(_xlpm.d,N$2:N$85,_xlpm.f,$A$2:$A$85,_xlpm.g,$B$2:$B$85,_xlpm.k,$F113,AVERAGE(_xlfn._xlws.FILTER(_xlpm.d,(_xlpm.f=_xlpm.k)*(_xlpm.g=0))))</f>
        <v>0.68811328128716986</v>
      </c>
      <c r="O113" s="2" cm="1">
        <f t="array" ref="O113">_xlfn.LET(_xlpm.d,O$2:O$85,_xlpm.f,$A$2:$A$85,_xlpm.g,$B$2:$B$85,_xlpm.k,$F113,AVERAGE(_xlfn._xlws.FILTER(_xlpm.d,(_xlpm.f=_xlpm.k)*(_xlpm.g=0))))</f>
        <v>0.54542539612885288</v>
      </c>
      <c r="P113" s="2" cm="1">
        <f t="array" ref="P113">_xlfn.LET(_xlpm.d,P$2:P$85,_xlpm.f,$A$2:$A$85,_xlpm.g,$B$2:$B$85,_xlpm.k,$F113,AVERAGE(_xlfn._xlws.FILTER(_xlpm.d,(_xlpm.f=_xlpm.k)*(_xlpm.g=0))))</f>
        <v>0.37748912959011655</v>
      </c>
      <c r="Q113" s="2" cm="1">
        <f t="array" ref="Q113">_xlfn.LET(_xlpm.d,Q$2:Q$85,_xlpm.f,$A$2:$A$85,_xlpm.g,$B$2:$B$85,_xlpm.k,$F113,AVERAGE(_xlfn._xlws.FILTER(_xlpm.d,(_xlpm.f=_xlpm.k)*(_xlpm.g=0))))</f>
        <v>0.65110842404679947</v>
      </c>
      <c r="R113" s="2" cm="1">
        <f t="array" ref="R113">_xlfn.LET(_xlpm.d,R$2:R$85,_xlpm.f,$A$2:$A$85,_xlpm.g,$B$2:$B$85,_xlpm.k,$F113,AVERAGE(_xlfn._xlws.FILTER(_xlpm.d,(_xlpm.f=_xlpm.k)*(_xlpm.g=0))))</f>
        <v>0.56634405970246138</v>
      </c>
      <c r="S113" s="2" cm="1">
        <f t="array" ref="S113">_xlfn.LET(_xlpm.d,S$2:S$85,_xlpm.f,$A$2:$A$85,_xlpm.g,$B$2:$B$85,_xlpm.k,$F113,AVERAGE(_xlfn._xlws.FILTER(_xlpm.d,(_xlpm.f=_xlpm.k)*(_xlpm.g=0))))</f>
        <v>0.21710938843826386</v>
      </c>
      <c r="T113" s="2" cm="1">
        <f t="array" ref="T113">_xlfn.LET(_xlpm.d,T$2:T$85,_xlpm.f,$A$2:$A$85,_xlpm.g,$B$2:$B$85,_xlpm.k,$F113,AVERAGE(_xlfn._xlws.FILTER(_xlpm.d,(_xlpm.f=_xlpm.k)*(_xlpm.g=0))))</f>
        <v>0.57255480010091164</v>
      </c>
    </row>
    <row r="114" spans="6:20" ht="30" customHeight="1">
      <c r="F114" t="s">
        <v>103</v>
      </c>
      <c r="G114" s="2" cm="1">
        <f t="array" ref="G114">_xlfn.LET(_xlpm.d,G$2:G$85,_xlpm.f,$A$2:$A$85,_xlpm.g,$B$2:$B$85,_xlpm.k,$F114,AVERAGE(_xlfn._xlws.FILTER(_xlpm.d,(_xlpm.f=_xlpm.k)*(_xlpm.g=0))))</f>
        <v>0.6662164632287223</v>
      </c>
      <c r="H114" s="2" cm="1">
        <f t="array" ref="H114">_xlfn.LET(_xlpm.d,H$2:H$85,_xlpm.f,$A$2:$A$85,_xlpm.g,$B$2:$B$85,_xlpm.k,$F114,AVERAGE(_xlfn._xlws.FILTER(_xlpm.d,(_xlpm.f=_xlpm.k)*(_xlpm.g=0))))</f>
        <v>0.52035173207374308</v>
      </c>
      <c r="I114" s="2" cm="1">
        <f t="array" ref="I114">_xlfn.LET(_xlpm.d,I$2:I$85,_xlpm.f,$A$2:$A$85,_xlpm.g,$B$2:$B$85,_xlpm.k,$F114,AVERAGE(_xlfn._xlws.FILTER(_xlpm.d,(_xlpm.f=_xlpm.k)*(_xlpm.g=0))))</f>
        <v>0.65405914338078652</v>
      </c>
      <c r="J114" s="2" cm="1">
        <f t="array" ref="J114">_xlfn.LET(_xlpm.d,J$2:J$85,_xlpm.f,$A$2:$A$85,_xlpm.g,$B$2:$B$85,_xlpm.k,$F114,AVERAGE(_xlfn._xlws.FILTER(_xlpm.d,(_xlpm.f=_xlpm.k)*(_xlpm.g=0))))</f>
        <v>0.62816454531520649</v>
      </c>
      <c r="K114" s="2" cm="1">
        <f t="array" ref="K114">_xlfn.LET(_xlpm.d,K$2:K$85,_xlpm.f,$A$2:$A$85,_xlpm.g,$B$2:$B$85,_xlpm.k,$F114,AVERAGE(_xlfn._xlws.FILTER(_xlpm.d,(_xlpm.f=_xlpm.k)*(_xlpm.g=0))))</f>
        <v>0.49919899690585862</v>
      </c>
      <c r="L114" s="2" cm="1">
        <f t="array" ref="L114">_xlfn.LET(_xlpm.d,L$2:L$85,_xlpm.f,$A$2:$A$85,_xlpm.g,$B$2:$B$85,_xlpm.k,$F114,AVERAGE(_xlfn._xlws.FILTER(_xlpm.d,(_xlpm.f=_xlpm.k)*(_xlpm.g=0))))</f>
        <v>0.51911946086947658</v>
      </c>
      <c r="M114" s="2" cm="1">
        <f t="array" ref="M114">_xlfn.LET(_xlpm.d,M$2:M$85,_xlpm.f,$A$2:$A$85,_xlpm.g,$B$2:$B$85,_xlpm.k,$F114,AVERAGE(_xlfn._xlws.FILTER(_xlpm.d,(_xlpm.f=_xlpm.k)*(_xlpm.g=0))))</f>
        <v>0.54597918680094704</v>
      </c>
      <c r="N114" s="2" cm="1">
        <f t="array" ref="N114">_xlfn.LET(_xlpm.d,N$2:N$85,_xlpm.f,$A$2:$A$85,_xlpm.g,$B$2:$B$85,_xlpm.k,$F114,AVERAGE(_xlfn._xlws.FILTER(_xlpm.d,(_xlpm.f=_xlpm.k)*(_xlpm.g=0))))</f>
        <v>0.41676700030066671</v>
      </c>
      <c r="O114" s="2" cm="1">
        <f t="array" ref="O114">_xlfn.LET(_xlpm.d,O$2:O$85,_xlpm.f,$A$2:$A$85,_xlpm.g,$B$2:$B$85,_xlpm.k,$F114,AVERAGE(_xlfn._xlws.FILTER(_xlpm.d,(_xlpm.f=_xlpm.k)*(_xlpm.g=0))))</f>
        <v>0.32245762218527302</v>
      </c>
      <c r="P114" s="2" cm="1">
        <f t="array" ref="P114">_xlfn.LET(_xlpm.d,P$2:P$85,_xlpm.f,$A$2:$A$85,_xlpm.g,$B$2:$B$85,_xlpm.k,$F114,AVERAGE(_xlfn._xlws.FILTER(_xlpm.d,(_xlpm.f=_xlpm.k)*(_xlpm.g=0))))</f>
        <v>0.41647835524595483</v>
      </c>
      <c r="Q114" s="2" cm="1">
        <f t="array" ref="Q114">_xlfn.LET(_xlpm.d,Q$2:Q$85,_xlpm.f,$A$2:$A$85,_xlpm.g,$B$2:$B$85,_xlpm.k,$F114,AVERAGE(_xlfn._xlws.FILTER(_xlpm.d,(_xlpm.f=_xlpm.k)*(_xlpm.g=0))))</f>
        <v>0.52574788790260596</v>
      </c>
      <c r="R114" s="2" cm="1">
        <f t="array" ref="R114">_xlfn.LET(_xlpm.d,R$2:R$85,_xlpm.f,$A$2:$A$85,_xlpm.g,$B$2:$B$85,_xlpm.k,$F114,AVERAGE(_xlfn._xlws.FILTER(_xlpm.d,(_xlpm.f=_xlpm.k)*(_xlpm.g=0))))</f>
        <v>0.49547609198479076</v>
      </c>
      <c r="S114" s="2" cm="1">
        <f t="array" ref="S114">_xlfn.LET(_xlpm.d,S$2:S$85,_xlpm.f,$A$2:$A$85,_xlpm.g,$B$2:$B$85,_xlpm.k,$F114,AVERAGE(_xlfn._xlws.FILTER(_xlpm.d,(_xlpm.f=_xlpm.k)*(_xlpm.g=0))))</f>
        <v>0.57860728450357868</v>
      </c>
      <c r="T114" s="2" cm="1">
        <f t="array" ref="T114">_xlfn.LET(_xlpm.d,T$2:T$85,_xlpm.f,$A$2:$A$85,_xlpm.g,$B$2:$B$85,_xlpm.k,$F114,AVERAGE(_xlfn._xlws.FILTER(_xlpm.d,(_xlpm.f=_xlpm.k)*(_xlpm.g=0))))</f>
        <v>0.52220182851520081</v>
      </c>
    </row>
    <row r="115" spans="6:20" ht="30" customHeight="1">
      <c r="F115" t="s">
        <v>101</v>
      </c>
      <c r="G115" s="2" cm="1">
        <f t="array" ref="G115">_xlfn.LET(_xlpm.d,G$2:G$85,_xlpm.f,$A$2:$A$85,_xlpm.g,$B$2:$B$85,_xlpm.k,$F115,AVERAGE(_xlfn._xlws.FILTER(_xlpm.d,(_xlpm.f=_xlpm.k)*(_xlpm.g=0))))</f>
        <v>0.84710894201951226</v>
      </c>
      <c r="H115" s="2" cm="1">
        <f t="array" ref="H115">_xlfn.LET(_xlpm.d,H$2:H$85,_xlpm.f,$A$2:$A$85,_xlpm.g,$B$2:$B$85,_xlpm.k,$F115,AVERAGE(_xlfn._xlws.FILTER(_xlpm.d,(_xlpm.f=_xlpm.k)*(_xlpm.g=0))))</f>
        <v>0.79047337496094994</v>
      </c>
      <c r="I115" s="2" cm="1">
        <f t="array" ref="I115">_xlfn.LET(_xlpm.d,I$2:I$85,_xlpm.f,$A$2:$A$85,_xlpm.g,$B$2:$B$85,_xlpm.k,$F115,AVERAGE(_xlfn._xlws.FILTER(_xlpm.d,(_xlpm.f=_xlpm.k)*(_xlpm.g=0))))</f>
        <v>0.64493610307173732</v>
      </c>
      <c r="J115" s="2" cm="1">
        <f t="array" ref="J115">_xlfn.LET(_xlpm.d,J$2:J$85,_xlpm.f,$A$2:$A$85,_xlpm.g,$B$2:$B$85,_xlpm.k,$F115,AVERAGE(_xlfn._xlws.FILTER(_xlpm.d,(_xlpm.f=_xlpm.k)*(_xlpm.g=0))))</f>
        <v>0.71668771538368181</v>
      </c>
      <c r="K115" s="2" cm="1">
        <f t="array" ref="K115">_xlfn.LET(_xlpm.d,K$2:K$85,_xlpm.f,$A$2:$A$85,_xlpm.g,$B$2:$B$85,_xlpm.k,$F115,AVERAGE(_xlfn._xlws.FILTER(_xlpm.d,(_xlpm.f=_xlpm.k)*(_xlpm.g=0))))</f>
        <v>0.69775221622274453</v>
      </c>
      <c r="L115" s="2" cm="1">
        <f t="array" ref="L115">_xlfn.LET(_xlpm.d,L$2:L$85,_xlpm.f,$A$2:$A$85,_xlpm.g,$B$2:$B$85,_xlpm.k,$F115,AVERAGE(_xlfn._xlws.FILTER(_xlpm.d,(_xlpm.f=_xlpm.k)*(_xlpm.g=0))))</f>
        <v>0.45307349375247519</v>
      </c>
      <c r="M115" s="2" cm="1">
        <f t="array" ref="M115">_xlfn.LET(_xlpm.d,M$2:M$85,_xlpm.f,$A$2:$A$85,_xlpm.g,$B$2:$B$85,_xlpm.k,$F115,AVERAGE(_xlfn._xlws.FILTER(_xlpm.d,(_xlpm.f=_xlpm.k)*(_xlpm.g=0))))</f>
        <v>0.62032964062047491</v>
      </c>
      <c r="N115" s="2" cm="1">
        <f t="array" ref="N115">_xlfn.LET(_xlpm.d,N$2:N$85,_xlpm.f,$A$2:$A$85,_xlpm.g,$B$2:$B$85,_xlpm.k,$F115,AVERAGE(_xlfn._xlws.FILTER(_xlpm.d,(_xlpm.f=_xlpm.k)*(_xlpm.g=0))))</f>
        <v>0.850911677271185</v>
      </c>
      <c r="O115" s="2" cm="1">
        <f t="array" ref="O115">_xlfn.LET(_xlpm.d,O$2:O$85,_xlpm.f,$A$2:$A$85,_xlpm.g,$B$2:$B$85,_xlpm.k,$F115,AVERAGE(_xlfn._xlws.FILTER(_xlpm.d,(_xlpm.f=_xlpm.k)*(_xlpm.g=0))))</f>
        <v>0.6344293149821677</v>
      </c>
      <c r="P115" s="2" cm="1">
        <f t="array" ref="P115">_xlfn.LET(_xlpm.d,P$2:P$85,_xlpm.f,$A$2:$A$85,_xlpm.g,$B$2:$B$85,_xlpm.k,$F115,AVERAGE(_xlfn._xlws.FILTER(_xlpm.d,(_xlpm.f=_xlpm.k)*(_xlpm.g=0))))</f>
        <v>0.74908447140486578</v>
      </c>
      <c r="Q115" s="2" cm="1">
        <f t="array" ref="Q115">_xlfn.LET(_xlpm.d,Q$2:Q$85,_xlpm.f,$A$2:$A$85,_xlpm.g,$B$2:$B$85,_xlpm.k,$F115,AVERAGE(_xlfn._xlws.FILTER(_xlpm.d,(_xlpm.f=_xlpm.k)*(_xlpm.g=0))))</f>
        <v>0.65631754982976231</v>
      </c>
      <c r="R115" s="2" cm="1">
        <f t="array" ref="R115">_xlfn.LET(_xlpm.d,R$2:R$85,_xlpm.f,$A$2:$A$85,_xlpm.g,$B$2:$B$85,_xlpm.k,$F115,AVERAGE(_xlfn._xlws.FILTER(_xlpm.d,(_xlpm.f=_xlpm.k)*(_xlpm.g=0))))</f>
        <v>0.71658584663621028</v>
      </c>
      <c r="S115" s="2" cm="1">
        <f t="array" ref="S115">_xlfn.LET(_xlpm.d,S$2:S$85,_xlpm.f,$A$2:$A$85,_xlpm.g,$B$2:$B$85,_xlpm.k,$F115,AVERAGE(_xlfn._xlws.FILTER(_xlpm.d,(_xlpm.f=_xlpm.k)*(_xlpm.g=0))))</f>
        <v>0.47897843612069368</v>
      </c>
      <c r="T115" s="2" cm="1">
        <f t="array" ref="T115">_xlfn.LET(_xlpm.d,T$2:T$85,_xlpm.f,$A$2:$A$85,_xlpm.g,$B$2:$B$85,_xlpm.k,$F115,AVERAGE(_xlfn._xlws.FILTER(_xlpm.d,(_xlpm.f=_xlpm.k)*(_xlpm.g=0))))</f>
        <v>0.68128221402126632</v>
      </c>
    </row>
    <row r="117" spans="6:20" ht="30" customHeight="1">
      <c r="F117" t="s">
        <v>44</v>
      </c>
    </row>
    <row r="118" spans="6:20" ht="30" customHeight="1">
      <c r="F118" t="s">
        <v>37</v>
      </c>
      <c r="G118" s="2" cm="1">
        <f t="array" ref="G118">_xlfn.LET(_xlpm.d,G$2:G$85,_xlpm.g,$B$2:$B$85,AVERAGE(_xlfn._xlws.FILTER(_xlpm.d,(_xlpm.g=0))))</f>
        <v>0.75955399279103131</v>
      </c>
      <c r="H118" s="2" cm="1">
        <f t="array" ref="H118">_xlfn.LET(_xlpm.d,H$2:H$85,_xlpm.g,$B$2:$B$85,AVERAGE(_xlfn._xlws.FILTER(_xlpm.d,(_xlpm.g=0))))</f>
        <v>0.70568150326455525</v>
      </c>
      <c r="I118" s="2" cm="1">
        <f t="array" ref="I118">_xlfn.LET(_xlpm.d,I$2:I$85,_xlpm.g,$B$2:$B$85,AVERAGE(_xlfn._xlws.FILTER(_xlpm.d,(_xlpm.g=0))))</f>
        <v>0.69632972536771309</v>
      </c>
      <c r="J118" s="2" cm="1">
        <f t="array" ref="J118">_xlfn.LET(_xlpm.d,J$2:J$85,_xlpm.g,$B$2:$B$85,AVERAGE(_xlfn._xlws.FILTER(_xlpm.d,(_xlpm.g=0))))</f>
        <v>0.7090406928659152</v>
      </c>
      <c r="K118" s="2" cm="1">
        <f t="array" ref="K118">_xlfn.LET(_xlpm.d,K$2:K$85,_xlpm.g,$B$2:$B$85,AVERAGE(_xlfn._xlws.FILTER(_xlpm.d,(_xlpm.g=0))))</f>
        <v>0.68873999606810099</v>
      </c>
      <c r="L118" s="2" cm="1">
        <f t="array" ref="L118">_xlfn.LET(_xlpm.d,L$2:L$85,_xlpm.g,$B$2:$B$85,AVERAGE(_xlfn._xlws.FILTER(_xlpm.d,(_xlpm.g=0))))</f>
        <v>0.65421397865387143</v>
      </c>
      <c r="M118" s="2" cm="1">
        <f t="array" ref="M118">_xlfn.LET(_xlpm.d,M$2:M$85,_xlpm.g,$B$2:$B$85,AVERAGE(_xlfn._xlws.FILTER(_xlpm.d,(_xlpm.g=0))))</f>
        <v>0.67506396263784296</v>
      </c>
      <c r="N118" s="2" cm="1">
        <f t="array" ref="N118">_xlfn.LET(_xlpm.d,N$2:N$85,_xlpm.g,$B$2:$B$85,AVERAGE(_xlfn._xlws.FILTER(_xlpm.d,(_xlpm.g=0))))</f>
        <v>0.70278201548344987</v>
      </c>
      <c r="O118" s="2" cm="1">
        <f t="array" ref="O118">_xlfn.LET(_xlpm.d,O$2:O$85,_xlpm.g,$B$2:$B$85,AVERAGE(_xlfn._xlws.FILTER(_xlpm.d,(_xlpm.g=0))))</f>
        <v>0.66961760322050379</v>
      </c>
      <c r="P118" s="2" cm="1">
        <f t="array" ref="P118">_xlfn.LET(_xlpm.d,P$2:P$85,_xlpm.g,$B$2:$B$85,AVERAGE(_xlfn._xlws.FILTER(_xlpm.d,(_xlpm.g=0))))</f>
        <v>0.65026216096370604</v>
      </c>
      <c r="Q118" s="2" cm="1">
        <f t="array" ref="Q118">_xlfn.LET(_xlpm.d,Q$2:Q$85,_xlpm.g,$B$2:$B$85,AVERAGE(_xlfn._xlws.FILTER(_xlpm.d,(_xlpm.g=0))))</f>
        <v>0.6475563514503675</v>
      </c>
      <c r="R118" s="2" cm="1">
        <f t="array" ref="R118">_xlfn.LET(_xlpm.d,R$2:R$85,_xlpm.g,$B$2:$B$85,AVERAGE(_xlfn._xlws.FILTER(_xlpm.d,(_xlpm.g=0))))</f>
        <v>0.64865786537917647</v>
      </c>
      <c r="S118" s="2" cm="1">
        <f t="array" ref="S118">_xlfn.LET(_xlpm.d,S$2:S$85,_xlpm.g,$B$2:$B$85,AVERAGE(_xlfn._xlws.FILTER(_xlpm.d,(_xlpm.g=0))))</f>
        <v>0.6230420407967896</v>
      </c>
      <c r="T118" s="2" cm="1">
        <f t="array" ref="T118">_xlfn.LET(_xlpm.d,T$2:T$85,_xlpm.g,$B$2:$B$85,AVERAGE(_xlfn._xlws.FILTER(_xlpm.d,(_xlpm.g=0))))</f>
        <v>0.67541525744666775</v>
      </c>
    </row>
    <row r="119" spans="6:20" ht="30" customHeight="1">
      <c r="F119" t="s">
        <v>49</v>
      </c>
      <c r="G119" s="2" cm="1">
        <f t="array" ref="G119">_xlfn.LET(_xlpm.d,G$2:G$85,_xlpm.f,$B$2:$B$85,_xlpm.g,$C$2:$C$85,_xlpm.k,$F119,AVERAGE(_xlfn._xlws.FILTER(_xlpm.d,(_xlpm.f=0)*(_xlpm.g=1))))</f>
        <v>0.81754826490504184</v>
      </c>
      <c r="H119" s="2" cm="1">
        <f t="array" ref="H119">_xlfn.LET(_xlpm.d,H$2:H$85,_xlpm.f,$B$2:$B$85,_xlpm.g,$C$2:$C$85,_xlpm.k,$F119,AVERAGE(_xlfn._xlws.FILTER(_xlpm.d,(_xlpm.f=0)*(_xlpm.g=1))))</f>
        <v>0.72778375953010865</v>
      </c>
      <c r="I119" s="2" cm="1">
        <f t="array" ref="I119">_xlfn.LET(_xlpm.d,I$2:I$85,_xlpm.f,$B$2:$B$85,_xlpm.g,$C$2:$C$85,_xlpm.k,$F119,AVERAGE(_xlfn._xlws.FILTER(_xlpm.d,(_xlpm.f=0)*(_xlpm.g=1))))</f>
        <v>0.79549454928226415</v>
      </c>
      <c r="J119" s="2" cm="1">
        <f t="array" ref="J119">_xlfn.LET(_xlpm.d,J$2:J$85,_xlpm.f,$B$2:$B$85,_xlpm.g,$C$2:$C$85,_xlpm.k,$F119,AVERAGE(_xlfn._xlws.FILTER(_xlpm.d,(_xlpm.f=0)*(_xlpm.g=1))))</f>
        <v>0.76500492446913926</v>
      </c>
      <c r="K119" s="2" cm="1">
        <f t="array" ref="K119">_xlfn.LET(_xlpm.d,K$2:K$85,_xlpm.f,$B$2:$B$85,_xlpm.g,$C$2:$C$85,_xlpm.k,$F119,AVERAGE(_xlfn._xlws.FILTER(_xlpm.d,(_xlpm.f=0)*(_xlpm.g=1))))</f>
        <v>0.76921628377383733</v>
      </c>
      <c r="L119" s="2" cm="1">
        <f t="array" ref="L119">_xlfn.LET(_xlpm.d,L$2:L$85,_xlpm.f,$B$2:$B$85,_xlpm.g,$C$2:$C$85,_xlpm.k,$F119,AVERAGE(_xlfn._xlws.FILTER(_xlpm.d,(_xlpm.f=0)*(_xlpm.g=1))))</f>
        <v>0.71893561833036379</v>
      </c>
      <c r="M119" s="2" cm="1">
        <f t="array" ref="M119">_xlfn.LET(_xlpm.d,M$2:M$85,_xlpm.f,$B$2:$B$85,_xlpm.g,$C$2:$C$85,_xlpm.k,$F119,AVERAGE(_xlfn._xlws.FILTER(_xlpm.d,(_xlpm.f=0)*(_xlpm.g=1))))</f>
        <v>0.73096477372829272</v>
      </c>
      <c r="N119" s="2" cm="1">
        <f t="array" ref="N119">_xlfn.LET(_xlpm.d,N$2:N$85,_xlpm.f,$B$2:$B$85,_xlpm.g,$C$2:$C$85,_xlpm.k,$F119,AVERAGE(_xlfn._xlws.FILTER(_xlpm.d,(_xlpm.f=0)*(_xlpm.g=1))))</f>
        <v>0.74481658410414786</v>
      </c>
      <c r="O119" s="2" cm="1">
        <f t="array" ref="O119">_xlfn.LET(_xlpm.d,O$2:O$85,_xlpm.f,$B$2:$B$85,_xlpm.g,$C$2:$C$85,_xlpm.k,$F119,AVERAGE(_xlfn._xlws.FILTER(_xlpm.d,(_xlpm.f=0)*(_xlpm.g=1))))</f>
        <v>0.64803659340806108</v>
      </c>
      <c r="P119" s="2" cm="1">
        <f t="array" ref="P119">_xlfn.LET(_xlpm.d,P$2:P$85,_xlpm.f,$B$2:$B$85,_xlpm.g,$C$2:$C$85,_xlpm.k,$F119,AVERAGE(_xlfn._xlws.FILTER(_xlpm.d,(_xlpm.f=0)*(_xlpm.g=1))))</f>
        <v>0.68294956985285193</v>
      </c>
      <c r="Q119" s="2" cm="1">
        <f t="array" ref="Q119">_xlfn.LET(_xlpm.d,Q$2:Q$85,_xlpm.f,$B$2:$B$85,_xlpm.g,$C$2:$C$85,_xlpm.k,$F119,AVERAGE(_xlfn._xlws.FILTER(_xlpm.d,(_xlpm.f=0)*(_xlpm.g=1))))</f>
        <v>0.6626737137141655</v>
      </c>
      <c r="R119" s="2" cm="1">
        <f t="array" ref="R119">_xlfn.LET(_xlpm.d,R$2:R$85,_xlpm.f,$B$2:$B$85,_xlpm.g,$C$2:$C$85,_xlpm.k,$F119,AVERAGE(_xlfn._xlws.FILTER(_xlpm.d,(_xlpm.f=0)*(_xlpm.g=1))))</f>
        <v>0.60911541525761048</v>
      </c>
      <c r="S119" s="2" cm="1">
        <f t="array" ref="S119">_xlfn.LET(_xlpm.d,S$2:S$85,_xlpm.f,$B$2:$B$85,_xlpm.g,$C$2:$C$85,_xlpm.k,$F119,AVERAGE(_xlfn._xlws.FILTER(_xlpm.d,(_xlpm.f=0)*(_xlpm.g=1))))</f>
        <v>0.63193616595400526</v>
      </c>
      <c r="T119" s="2" cm="1">
        <f t="array" ref="T119">_xlfn.LET(_xlpm.d,T$2:T$85,_xlpm.f,$B$2:$B$85,_xlpm.g,$C$2:$C$85,_xlpm.k,$F119,AVERAGE(_xlfn._xlws.FILTER(_xlpm.d,(_xlpm.f=0)*(_xlpm.g=1))))</f>
        <v>0.71521453024034809</v>
      </c>
    </row>
    <row r="120" spans="6:20" ht="30" customHeight="1">
      <c r="F120" t="s">
        <v>50</v>
      </c>
      <c r="G120" s="2" cm="1">
        <f t="array" ref="G120">_xlfn.LET(_xlpm.d,G$2:G$85,_xlpm.f,$B$2:$B$85,_xlpm.g,$D$2:$D$85,_xlpm.k,$F120,AVERAGE(_xlfn._xlws.FILTER(_xlpm.d,(_xlpm.f=0)*(_xlpm.g=1))))</f>
        <v>0.77494134399259984</v>
      </c>
      <c r="H120" s="2" cm="1">
        <f t="array" ref="H120">_xlfn.LET(_xlpm.d,H$2:H$85,_xlpm.f,$B$2:$B$85,_xlpm.g,$D$2:$D$85,_xlpm.k,$F120,AVERAGE(_xlfn._xlws.FILTER(_xlpm.d,(_xlpm.f=0)*(_xlpm.g=1))))</f>
        <v>0.66359544645164859</v>
      </c>
      <c r="I120" s="2" cm="1">
        <f t="array" ref="I120">_xlfn.LET(_xlpm.d,I$2:I$85,_xlpm.f,$B$2:$B$85,_xlpm.g,$D$2:$D$85,_xlpm.k,$F120,AVERAGE(_xlfn._xlws.FILTER(_xlpm.d,(_xlpm.f=0)*(_xlpm.g=1))))</f>
        <v>0.68694176016011321</v>
      </c>
      <c r="J120" s="2" cm="1">
        <f t="array" ref="J120">_xlfn.LET(_xlpm.d,J$2:J$85,_xlpm.f,$B$2:$B$85,_xlpm.g,$D$2:$D$85,_xlpm.k,$F120,AVERAGE(_xlfn._xlws.FILTER(_xlpm.d,(_xlpm.f=0)*(_xlpm.g=1))))</f>
        <v>0.68481103993269299</v>
      </c>
      <c r="K120" s="2" cm="1">
        <f t="array" ref="K120">_xlfn.LET(_xlpm.d,K$2:K$85,_xlpm.f,$B$2:$B$85,_xlpm.g,$D$2:$D$85,_xlpm.k,$F120,AVERAGE(_xlfn._xlws.FILTER(_xlpm.d,(_xlpm.f=0)*(_xlpm.g=1))))</f>
        <v>0.68649272767339253</v>
      </c>
      <c r="L120" s="2" cm="1">
        <f t="array" ref="L120">_xlfn.LET(_xlpm.d,L$2:L$85,_xlpm.f,$B$2:$B$85,_xlpm.g,$D$2:$D$85,_xlpm.k,$F120,AVERAGE(_xlfn._xlws.FILTER(_xlpm.d,(_xlpm.f=0)*(_xlpm.g=1))))</f>
        <v>0.64790003448958322</v>
      </c>
      <c r="M120" s="2" cm="1">
        <f t="array" ref="M120">_xlfn.LET(_xlpm.d,M$2:M$85,_xlpm.f,$B$2:$B$85,_xlpm.g,$D$2:$D$85,_xlpm.k,$F120,AVERAGE(_xlfn._xlws.FILTER(_xlpm.d,(_xlpm.f=0)*(_xlpm.g=1))))</f>
        <v>0.70904911060353382</v>
      </c>
      <c r="N120" s="2" cm="1">
        <f t="array" ref="N120">_xlfn.LET(_xlpm.d,N$2:N$85,_xlpm.f,$B$2:$B$85,_xlpm.g,$D$2:$D$85,_xlpm.k,$F120,AVERAGE(_xlfn._xlws.FILTER(_xlpm.d,(_xlpm.f=0)*(_xlpm.g=1))))</f>
        <v>0.70321288512693092</v>
      </c>
      <c r="O120" s="2" cm="1">
        <f t="array" ref="O120">_xlfn.LET(_xlpm.d,O$2:O$85,_xlpm.f,$B$2:$B$85,_xlpm.g,$D$2:$D$85,_xlpm.k,$F120,AVERAGE(_xlfn._xlws.FILTER(_xlpm.d,(_xlpm.f=0)*(_xlpm.g=1))))</f>
        <v>0.72537101256196668</v>
      </c>
      <c r="P120" s="2" cm="1">
        <f t="array" ref="P120">_xlfn.LET(_xlpm.d,P$2:P$85,_xlpm.f,$B$2:$B$85,_xlpm.g,$D$2:$D$85,_xlpm.k,$F120,AVERAGE(_xlfn._xlws.FILTER(_xlpm.d,(_xlpm.f=0)*(_xlpm.g=1))))</f>
        <v>0.62921698279501026</v>
      </c>
      <c r="Q120" s="2" cm="1">
        <f t="array" ref="Q120">_xlfn.LET(_xlpm.d,Q$2:Q$85,_xlpm.f,$B$2:$B$85,_xlpm.g,$D$2:$D$85,_xlpm.k,$F120,AVERAGE(_xlfn._xlws.FILTER(_xlpm.d,(_xlpm.f=0)*(_xlpm.g=1))))</f>
        <v>0.66195874644779029</v>
      </c>
      <c r="R120" s="2" cm="1">
        <f t="array" ref="R120">_xlfn.LET(_xlpm.d,R$2:R$85,_xlpm.f,$B$2:$B$85,_xlpm.g,$D$2:$D$85,_xlpm.k,$F120,AVERAGE(_xlfn._xlws.FILTER(_xlpm.d,(_xlpm.f=0)*(_xlpm.g=1))))</f>
        <v>0.71371217997849346</v>
      </c>
      <c r="S120" s="2" cm="1">
        <f t="array" ref="S120">_xlfn.LET(_xlpm.d,S$2:S$85,_xlpm.f,$B$2:$B$85,_xlpm.g,$D$2:$D$85,_xlpm.k,$F120,AVERAGE(_xlfn._xlws.FILTER(_xlpm.d,(_xlpm.f=0)*(_xlpm.g=1))))</f>
        <v>0.6344062315292246</v>
      </c>
      <c r="T120" s="2" cm="1">
        <f t="array" ref="T120">_xlfn.LET(_xlpm.d,T$2:T$85,_xlpm.f,$B$2:$B$85,_xlpm.g,$D$2:$D$85,_xlpm.k,$F120,AVERAGE(_xlfn._xlws.FILTER(_xlpm.d,(_xlpm.f=0)*(_xlpm.g=1))))</f>
        <v>0.68140308649973591</v>
      </c>
    </row>
    <row r="121" spans="6:20" ht="30" customHeight="1">
      <c r="F121" t="s">
        <v>51</v>
      </c>
      <c r="G121" s="2" cm="1">
        <f t="array" ref="G121">_xlfn.LET(_xlpm.d,G$2:G$85,_xlpm.f,$B$2:$B$85,_xlpm.g,$D$2:$D$85,_xlpm.k,$F121,AVERAGE(_xlfn._xlws.FILTER(_xlpm.d,(_xlpm.f=0)*(_xlpm.g=1))))</f>
        <v>0.77494134399259984</v>
      </c>
      <c r="H121" s="2" cm="1">
        <f t="array" ref="H121">_xlfn.LET(_xlpm.d,H$2:H$85,_xlpm.f,$B$2:$B$85,_xlpm.g,$D$2:$D$85,_xlpm.k,$F121,AVERAGE(_xlfn._xlws.FILTER(_xlpm.d,(_xlpm.f=0)*(_xlpm.g=1))))</f>
        <v>0.66359544645164859</v>
      </c>
      <c r="I121" s="2" cm="1">
        <f t="array" ref="I121">_xlfn.LET(_xlpm.d,I$2:I$85,_xlpm.f,$B$2:$B$85,_xlpm.g,$D$2:$D$85,_xlpm.k,$F121,AVERAGE(_xlfn._xlws.FILTER(_xlpm.d,(_xlpm.f=0)*(_xlpm.g=1))))</f>
        <v>0.68694176016011321</v>
      </c>
      <c r="J121" s="2" cm="1">
        <f t="array" ref="J121">_xlfn.LET(_xlpm.d,J$2:J$85,_xlpm.f,$B$2:$B$85,_xlpm.g,$D$2:$D$85,_xlpm.k,$F121,AVERAGE(_xlfn._xlws.FILTER(_xlpm.d,(_xlpm.f=0)*(_xlpm.g=1))))</f>
        <v>0.68481103993269299</v>
      </c>
      <c r="K121" s="2" cm="1">
        <f t="array" ref="K121">_xlfn.LET(_xlpm.d,K$2:K$85,_xlpm.f,$B$2:$B$85,_xlpm.g,$D$2:$D$85,_xlpm.k,$F121,AVERAGE(_xlfn._xlws.FILTER(_xlpm.d,(_xlpm.f=0)*(_xlpm.g=1))))</f>
        <v>0.68649272767339253</v>
      </c>
      <c r="L121" s="2" cm="1">
        <f t="array" ref="L121">_xlfn.LET(_xlpm.d,L$2:L$85,_xlpm.f,$B$2:$B$85,_xlpm.g,$D$2:$D$85,_xlpm.k,$F121,AVERAGE(_xlfn._xlws.FILTER(_xlpm.d,(_xlpm.f=0)*(_xlpm.g=1))))</f>
        <v>0.64790003448958322</v>
      </c>
      <c r="M121" s="2" cm="1">
        <f t="array" ref="M121">_xlfn.LET(_xlpm.d,M$2:M$85,_xlpm.f,$B$2:$B$85,_xlpm.g,$D$2:$D$85,_xlpm.k,$F121,AVERAGE(_xlfn._xlws.FILTER(_xlpm.d,(_xlpm.f=0)*(_xlpm.g=1))))</f>
        <v>0.70904911060353382</v>
      </c>
      <c r="N121" s="2" cm="1">
        <f t="array" ref="N121">_xlfn.LET(_xlpm.d,N$2:N$85,_xlpm.f,$B$2:$B$85,_xlpm.g,$D$2:$D$85,_xlpm.k,$F121,AVERAGE(_xlfn._xlws.FILTER(_xlpm.d,(_xlpm.f=0)*(_xlpm.g=1))))</f>
        <v>0.70321288512693092</v>
      </c>
      <c r="O121" s="2" cm="1">
        <f t="array" ref="O121">_xlfn.LET(_xlpm.d,O$2:O$85,_xlpm.f,$B$2:$B$85,_xlpm.g,$D$2:$D$85,_xlpm.k,$F121,AVERAGE(_xlfn._xlws.FILTER(_xlpm.d,(_xlpm.f=0)*(_xlpm.g=1))))</f>
        <v>0.72537101256196668</v>
      </c>
      <c r="P121" s="2" cm="1">
        <f t="array" ref="P121">_xlfn.LET(_xlpm.d,P$2:P$85,_xlpm.f,$B$2:$B$85,_xlpm.g,$D$2:$D$85,_xlpm.k,$F121,AVERAGE(_xlfn._xlws.FILTER(_xlpm.d,(_xlpm.f=0)*(_xlpm.g=1))))</f>
        <v>0.62921698279501026</v>
      </c>
      <c r="Q121" s="2" cm="1">
        <f t="array" ref="Q121">_xlfn.LET(_xlpm.d,Q$2:Q$85,_xlpm.f,$B$2:$B$85,_xlpm.g,$D$2:$D$85,_xlpm.k,$F121,AVERAGE(_xlfn._xlws.FILTER(_xlpm.d,(_xlpm.f=0)*(_xlpm.g=1))))</f>
        <v>0.66195874644779029</v>
      </c>
      <c r="R121" s="2" cm="1">
        <f t="array" ref="R121">_xlfn.LET(_xlpm.d,R$2:R$85,_xlpm.f,$B$2:$B$85,_xlpm.g,$D$2:$D$85,_xlpm.k,$F121,AVERAGE(_xlfn._xlws.FILTER(_xlpm.d,(_xlpm.f=0)*(_xlpm.g=1))))</f>
        <v>0.71371217997849346</v>
      </c>
      <c r="S121" s="2" cm="1">
        <f t="array" ref="S121">_xlfn.LET(_xlpm.d,S$2:S$85,_xlpm.f,$B$2:$B$85,_xlpm.g,$D$2:$D$85,_xlpm.k,$F121,AVERAGE(_xlfn._xlws.FILTER(_xlpm.d,(_xlpm.f=0)*(_xlpm.g=1))))</f>
        <v>0.6344062315292246</v>
      </c>
      <c r="T121" s="2" cm="1">
        <f t="array" ref="T121">_xlfn.LET(_xlpm.d,T$2:T$85,_xlpm.f,$B$2:$B$85,_xlpm.g,$D$2:$D$85,_xlpm.k,$F121,AVERAGE(_xlfn._xlws.FILTER(_xlpm.d,(_xlpm.f=0)*(_xlpm.g=1))))</f>
        <v>0.68140308649973591</v>
      </c>
    </row>
  </sheetData>
  <phoneticPr fontId="1" type="noConversion"/>
  <conditionalFormatting sqref="G2:S85">
    <cfRule type="colorScale" priority="7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88:T100">
    <cfRule type="colorScale" priority="6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03:T103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04:T115">
    <cfRule type="colorScale" priority="5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18:T118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19:T121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T2:T85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aNA.pt0.33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2025-07-10T05:42:18Z</dcterms:created>
  <dcterms:modified xsi:type="dcterms:W3CDTF">2025-09-11T06:22:28Z</dcterms:modified>
  <cp:category/>
</cp:coreProperties>
</file>