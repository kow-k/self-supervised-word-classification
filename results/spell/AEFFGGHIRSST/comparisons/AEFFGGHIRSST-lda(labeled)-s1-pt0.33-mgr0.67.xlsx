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FGGHIRSST/comparisons/"/>
    </mc:Choice>
  </mc:AlternateContent>
  <xr:revisionPtr revIDLastSave="0" documentId="13_ncr:1_{400CDBA0-D6AC-DD42-80D0-91B313BC1104}" xr6:coauthVersionLast="47" xr6:coauthVersionMax="47" xr10:uidLastSave="{00000000-0000-0000-0000-000000000000}"/>
  <bookViews>
    <workbookView xWindow="320" yWindow="3620" windowWidth="33940" windowHeight="16580" xr2:uid="{AAB55906-58C7-F940-B4CF-E7AFA13CA4FF}"/>
  </bookViews>
  <sheets>
    <sheet name="aNA.pt0.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" l="1" a="1"/>
  <c r="H113" i="1" s="1"/>
  <c r="I113" i="1" a="1"/>
  <c r="I113" i="1" s="1"/>
  <c r="J113" i="1" a="1"/>
  <c r="J113" i="1" s="1"/>
  <c r="K113" i="1" a="1"/>
  <c r="K113" i="1" s="1"/>
  <c r="L113" i="1" a="1"/>
  <c r="L113" i="1" s="1"/>
  <c r="M113" i="1" a="1"/>
  <c r="M113" i="1" s="1"/>
  <c r="N113" i="1" a="1"/>
  <c r="N113" i="1" s="1"/>
  <c r="O113" i="1" a="1"/>
  <c r="O113" i="1" s="1"/>
  <c r="P113" i="1" a="1"/>
  <c r="P113" i="1" s="1"/>
  <c r="Q113" i="1" a="1"/>
  <c r="Q113" i="1" s="1"/>
  <c r="R113" i="1" a="1"/>
  <c r="R113" i="1" s="1"/>
  <c r="S113" i="1" a="1"/>
  <c r="S113" i="1" s="1"/>
  <c r="H114" i="1" a="1"/>
  <c r="H114" i="1" s="1"/>
  <c r="I114" i="1" a="1"/>
  <c r="I114" i="1" s="1"/>
  <c r="J114" i="1" a="1"/>
  <c r="J114" i="1" s="1"/>
  <c r="K114" i="1" a="1"/>
  <c r="K114" i="1" s="1"/>
  <c r="L114" i="1" a="1"/>
  <c r="L114" i="1" s="1"/>
  <c r="M114" i="1" a="1"/>
  <c r="M114" i="1" s="1"/>
  <c r="N114" i="1" a="1"/>
  <c r="N114" i="1" s="1"/>
  <c r="O114" i="1" a="1"/>
  <c r="O114" i="1" s="1"/>
  <c r="P114" i="1" a="1"/>
  <c r="P114" i="1" s="1"/>
  <c r="Q114" i="1" a="1"/>
  <c r="Q114" i="1" s="1"/>
  <c r="R114" i="1" a="1"/>
  <c r="R114" i="1" s="1"/>
  <c r="S114" i="1" a="1"/>
  <c r="S114" i="1" s="1"/>
  <c r="H98" i="1" a="1"/>
  <c r="H98" i="1" s="1"/>
  <c r="I98" i="1" a="1"/>
  <c r="I98" i="1" s="1"/>
  <c r="J98" i="1" a="1"/>
  <c r="J98" i="1" s="1"/>
  <c r="K98" i="1" a="1"/>
  <c r="K98" i="1" s="1"/>
  <c r="L98" i="1" a="1"/>
  <c r="L98" i="1" s="1"/>
  <c r="M98" i="1" a="1"/>
  <c r="M98" i="1" s="1"/>
  <c r="N98" i="1" a="1"/>
  <c r="N98" i="1" s="1"/>
  <c r="O98" i="1" a="1"/>
  <c r="O98" i="1" s="1"/>
  <c r="P98" i="1" a="1"/>
  <c r="P98" i="1" s="1"/>
  <c r="Q98" i="1" a="1"/>
  <c r="Q98" i="1" s="1"/>
  <c r="R98" i="1" a="1"/>
  <c r="R98" i="1" s="1"/>
  <c r="S98" i="1" a="1"/>
  <c r="S98" i="1" s="1"/>
  <c r="H99" i="1" a="1"/>
  <c r="H99" i="1" s="1"/>
  <c r="I99" i="1" a="1"/>
  <c r="I99" i="1" s="1"/>
  <c r="J99" i="1" a="1"/>
  <c r="J99" i="1" s="1"/>
  <c r="K99" i="1" a="1"/>
  <c r="K99" i="1" s="1"/>
  <c r="L99" i="1" a="1"/>
  <c r="L99" i="1" s="1"/>
  <c r="M99" i="1" a="1"/>
  <c r="M99" i="1" s="1"/>
  <c r="N99" i="1" a="1"/>
  <c r="N99" i="1" s="1"/>
  <c r="O99" i="1" a="1"/>
  <c r="O99" i="1" s="1"/>
  <c r="P99" i="1" a="1"/>
  <c r="P99" i="1" s="1"/>
  <c r="Q99" i="1" a="1"/>
  <c r="Q99" i="1" s="1"/>
  <c r="R99" i="1" a="1"/>
  <c r="R99" i="1" s="1"/>
  <c r="S99" i="1" a="1"/>
  <c r="S99" i="1" s="1"/>
  <c r="G113" i="1" a="1"/>
  <c r="G113" i="1" s="1"/>
  <c r="G114" i="1" a="1"/>
  <c r="G114" i="1" s="1"/>
  <c r="G115" i="1" a="1"/>
  <c r="G115" i="1" s="1"/>
  <c r="G98" i="1" a="1"/>
  <c r="G98" i="1" s="1"/>
  <c r="G99" i="1" a="1"/>
  <c r="G99" i="1" s="1"/>
  <c r="G100" i="1" a="1"/>
  <c r="G100" i="1" s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C51" i="1"/>
  <c r="C52" i="1"/>
  <c r="C53" i="1"/>
  <c r="E53" i="1" s="1"/>
  <c r="C54" i="1"/>
  <c r="C55" i="1"/>
  <c r="C56" i="1"/>
  <c r="C57" i="1"/>
  <c r="C58" i="1"/>
  <c r="E58" i="1" s="1"/>
  <c r="C59" i="1"/>
  <c r="C60" i="1"/>
  <c r="C61" i="1"/>
  <c r="E61" i="1" s="1"/>
  <c r="C62" i="1"/>
  <c r="C63" i="1"/>
  <c r="C64" i="1"/>
  <c r="D51" i="1"/>
  <c r="D52" i="1"/>
  <c r="D53" i="1"/>
  <c r="D54" i="1"/>
  <c r="D55" i="1"/>
  <c r="E55" i="1" s="1"/>
  <c r="D56" i="1"/>
  <c r="E56" i="1" s="1"/>
  <c r="D57" i="1"/>
  <c r="D58" i="1"/>
  <c r="D59" i="1"/>
  <c r="D60" i="1"/>
  <c r="D61" i="1"/>
  <c r="D62" i="1"/>
  <c r="D63" i="1"/>
  <c r="E63" i="1" s="1"/>
  <c r="D64" i="1"/>
  <c r="E64" i="1" s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H88" i="1"/>
  <c r="I88" i="1"/>
  <c r="J88" i="1"/>
  <c r="K88" i="1"/>
  <c r="L88" i="1"/>
  <c r="M88" i="1"/>
  <c r="N88" i="1"/>
  <c r="O88" i="1"/>
  <c r="P88" i="1"/>
  <c r="Q88" i="1"/>
  <c r="R88" i="1"/>
  <c r="S8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A3" i="1"/>
  <c r="A40" i="1"/>
  <c r="A41" i="1"/>
  <c r="A42" i="1"/>
  <c r="A43" i="1"/>
  <c r="A44" i="1"/>
  <c r="A45" i="1"/>
  <c r="A46" i="1"/>
  <c r="A47" i="1"/>
  <c r="A48" i="1"/>
  <c r="A49" i="1"/>
  <c r="A50" i="1"/>
  <c r="A65" i="1"/>
  <c r="A66" i="1"/>
  <c r="A67" i="1"/>
  <c r="A68" i="1"/>
  <c r="A69" i="1"/>
  <c r="A70" i="1"/>
  <c r="B3" i="1"/>
  <c r="B40" i="1"/>
  <c r="B41" i="1"/>
  <c r="B42" i="1"/>
  <c r="B43" i="1"/>
  <c r="B44" i="1"/>
  <c r="B45" i="1"/>
  <c r="B46" i="1"/>
  <c r="B47" i="1"/>
  <c r="B48" i="1"/>
  <c r="B49" i="1"/>
  <c r="B50" i="1"/>
  <c r="B65" i="1"/>
  <c r="B66" i="1"/>
  <c r="B67" i="1"/>
  <c r="B68" i="1"/>
  <c r="B69" i="1"/>
  <c r="B70" i="1"/>
  <c r="C3" i="1"/>
  <c r="C40" i="1"/>
  <c r="C41" i="1"/>
  <c r="C42" i="1"/>
  <c r="C43" i="1"/>
  <c r="C44" i="1"/>
  <c r="C45" i="1"/>
  <c r="C46" i="1"/>
  <c r="C47" i="1"/>
  <c r="C48" i="1"/>
  <c r="C49" i="1"/>
  <c r="C50" i="1"/>
  <c r="C65" i="1"/>
  <c r="C66" i="1"/>
  <c r="C67" i="1"/>
  <c r="C68" i="1"/>
  <c r="C69" i="1"/>
  <c r="C70" i="1"/>
  <c r="D3" i="1"/>
  <c r="D40" i="1"/>
  <c r="D41" i="1"/>
  <c r="D42" i="1"/>
  <c r="D43" i="1"/>
  <c r="D44" i="1"/>
  <c r="D45" i="1"/>
  <c r="D46" i="1"/>
  <c r="D47" i="1"/>
  <c r="D48" i="1"/>
  <c r="D49" i="1"/>
  <c r="D50" i="1"/>
  <c r="D65" i="1"/>
  <c r="D66" i="1"/>
  <c r="D67" i="1"/>
  <c r="D68" i="1"/>
  <c r="D69" i="1"/>
  <c r="D70" i="1"/>
  <c r="T3" i="1"/>
  <c r="T40" i="1"/>
  <c r="T41" i="1"/>
  <c r="T42" i="1"/>
  <c r="T43" i="1"/>
  <c r="T44" i="1"/>
  <c r="T45" i="1"/>
  <c r="T46" i="1"/>
  <c r="T47" i="1"/>
  <c r="T48" i="1"/>
  <c r="T49" i="1"/>
  <c r="T50" i="1"/>
  <c r="T65" i="1"/>
  <c r="T66" i="1"/>
  <c r="T67" i="1"/>
  <c r="T68" i="1"/>
  <c r="T69" i="1"/>
  <c r="T70" i="1"/>
  <c r="D2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C2" i="1"/>
  <c r="C71" i="1"/>
  <c r="C72" i="1"/>
  <c r="C73" i="1"/>
  <c r="C74" i="1"/>
  <c r="C75" i="1"/>
  <c r="E75" i="1" s="1"/>
  <c r="C76" i="1"/>
  <c r="E76" i="1" s="1"/>
  <c r="C77" i="1"/>
  <c r="C78" i="1"/>
  <c r="C79" i="1"/>
  <c r="E79" i="1" s="1"/>
  <c r="C80" i="1"/>
  <c r="C81" i="1"/>
  <c r="E81" i="1" s="1"/>
  <c r="C82" i="1"/>
  <c r="C83" i="1"/>
  <c r="E83" i="1" s="1"/>
  <c r="C84" i="1"/>
  <c r="E84" i="1" s="1"/>
  <c r="C85" i="1"/>
  <c r="B2" i="1"/>
  <c r="T2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T113" i="1" l="1" a="1"/>
  <c r="T113" i="1" s="1"/>
  <c r="T99" i="1" a="1"/>
  <c r="T99" i="1" s="1"/>
  <c r="T114" i="1" a="1"/>
  <c r="T114" i="1" s="1"/>
  <c r="T98" i="1" a="1"/>
  <c r="T98" i="1" s="1"/>
  <c r="E57" i="1"/>
  <c r="E60" i="1"/>
  <c r="E52" i="1"/>
  <c r="E59" i="1"/>
  <c r="E51" i="1"/>
  <c r="E39" i="1"/>
  <c r="E31" i="1"/>
  <c r="E23" i="1"/>
  <c r="E15" i="1"/>
  <c r="E7" i="1"/>
  <c r="E37" i="1"/>
  <c r="E29" i="1"/>
  <c r="E21" i="1"/>
  <c r="E13" i="1"/>
  <c r="E5" i="1"/>
  <c r="E25" i="1"/>
  <c r="K118" i="1" a="1"/>
  <c r="K118" i="1" s="1"/>
  <c r="E62" i="1"/>
  <c r="E24" i="1"/>
  <c r="E8" i="1"/>
  <c r="E54" i="1"/>
  <c r="E71" i="1"/>
  <c r="O103" i="1" a="1"/>
  <c r="O103" i="1" s="1"/>
  <c r="I103" i="1" a="1"/>
  <c r="I103" i="1" s="1"/>
  <c r="Q121" i="1" a="1"/>
  <c r="Q121" i="1" s="1"/>
  <c r="I121" i="1" a="1"/>
  <c r="I121" i="1" s="1"/>
  <c r="M120" i="1" a="1"/>
  <c r="M120" i="1" s="1"/>
  <c r="Q119" i="1" a="1"/>
  <c r="Q119" i="1" s="1"/>
  <c r="K119" i="1" a="1"/>
  <c r="K119" i="1" s="1"/>
  <c r="Q118" i="1" a="1"/>
  <c r="Q118" i="1" s="1"/>
  <c r="J118" i="1" a="1"/>
  <c r="J118" i="1" s="1"/>
  <c r="N103" i="1" a="1"/>
  <c r="N103" i="1" s="1"/>
  <c r="H103" i="1" a="1"/>
  <c r="H103" i="1" s="1"/>
  <c r="P121" i="1" a="1"/>
  <c r="P121" i="1" s="1"/>
  <c r="H121" i="1" a="1"/>
  <c r="H121" i="1" s="1"/>
  <c r="L120" i="1" a="1"/>
  <c r="L120" i="1" s="1"/>
  <c r="J119" i="1" a="1"/>
  <c r="J119" i="1" s="1"/>
  <c r="P118" i="1" a="1"/>
  <c r="P118" i="1" s="1"/>
  <c r="G118" i="1" a="1"/>
  <c r="G118" i="1" s="1"/>
  <c r="O121" i="1" a="1"/>
  <c r="O121" i="1" s="1"/>
  <c r="S120" i="1" a="1"/>
  <c r="S120" i="1" s="1"/>
  <c r="K120" i="1" a="1"/>
  <c r="K120" i="1" s="1"/>
  <c r="P119" i="1" a="1"/>
  <c r="P119" i="1" s="1"/>
  <c r="I119" i="1" a="1"/>
  <c r="I119" i="1" s="1"/>
  <c r="O118" i="1" a="1"/>
  <c r="O118" i="1" s="1"/>
  <c r="I118" i="1" a="1"/>
  <c r="I118" i="1" s="1"/>
  <c r="M103" i="1" a="1"/>
  <c r="M103" i="1" s="1"/>
  <c r="G119" i="1" a="1"/>
  <c r="G119" i="1" s="1"/>
  <c r="N121" i="1" a="1"/>
  <c r="N121" i="1" s="1"/>
  <c r="R120" i="1" a="1"/>
  <c r="R120" i="1" s="1"/>
  <c r="J120" i="1" a="1"/>
  <c r="J120" i="1" s="1"/>
  <c r="O119" i="1" a="1"/>
  <c r="O119" i="1" s="1"/>
  <c r="N118" i="1" a="1"/>
  <c r="N118" i="1" s="1"/>
  <c r="H118" i="1" a="1"/>
  <c r="H118" i="1" s="1"/>
  <c r="S103" i="1" a="1"/>
  <c r="S103" i="1" s="1"/>
  <c r="L103" i="1" a="1"/>
  <c r="L103" i="1" s="1"/>
  <c r="G120" i="1" a="1"/>
  <c r="G120" i="1" s="1"/>
  <c r="M121" i="1" a="1"/>
  <c r="M121" i="1" s="1"/>
  <c r="Q120" i="1" a="1"/>
  <c r="Q120" i="1" s="1"/>
  <c r="I120" i="1" a="1"/>
  <c r="I120" i="1" s="1"/>
  <c r="N119" i="1" a="1"/>
  <c r="N119" i="1" s="1"/>
  <c r="H119" i="1" a="1"/>
  <c r="H119" i="1" s="1"/>
  <c r="R103" i="1" a="1"/>
  <c r="R103" i="1" s="1"/>
  <c r="K103" i="1" a="1"/>
  <c r="K103" i="1" s="1"/>
  <c r="G121" i="1" a="1"/>
  <c r="G121" i="1" s="1"/>
  <c r="L121" i="1" a="1"/>
  <c r="L121" i="1" s="1"/>
  <c r="P120" i="1" a="1"/>
  <c r="P120" i="1" s="1"/>
  <c r="H120" i="1" a="1"/>
  <c r="H120" i="1" s="1"/>
  <c r="M119" i="1" a="1"/>
  <c r="M119" i="1" s="1"/>
  <c r="S118" i="1" a="1"/>
  <c r="S118" i="1" s="1"/>
  <c r="M118" i="1" a="1"/>
  <c r="M118" i="1" s="1"/>
  <c r="Q103" i="1" a="1"/>
  <c r="Q103" i="1" s="1"/>
  <c r="J103" i="1" a="1"/>
  <c r="J103" i="1" s="1"/>
  <c r="S121" i="1" a="1"/>
  <c r="S121" i="1" s="1"/>
  <c r="K121" i="1" a="1"/>
  <c r="K121" i="1" s="1"/>
  <c r="O120" i="1" a="1"/>
  <c r="O120" i="1" s="1"/>
  <c r="S119" i="1" a="1"/>
  <c r="S119" i="1" s="1"/>
  <c r="R118" i="1" a="1"/>
  <c r="R118" i="1" s="1"/>
  <c r="L118" i="1" a="1"/>
  <c r="L118" i="1" s="1"/>
  <c r="G103" i="1" a="1"/>
  <c r="G103" i="1" s="1"/>
  <c r="P103" i="1" a="1"/>
  <c r="P103" i="1" s="1"/>
  <c r="R121" i="1" a="1"/>
  <c r="R121" i="1" s="1"/>
  <c r="J121" i="1" a="1"/>
  <c r="J121" i="1" s="1"/>
  <c r="N120" i="1" a="1"/>
  <c r="N120" i="1" s="1"/>
  <c r="R119" i="1" a="1"/>
  <c r="R119" i="1" s="1"/>
  <c r="L119" i="1" a="1"/>
  <c r="L119" i="1" s="1"/>
  <c r="T121" i="1" a="1"/>
  <c r="T121" i="1" s="1"/>
  <c r="T119" i="1" a="1"/>
  <c r="T119" i="1" s="1"/>
  <c r="T118" i="1" a="1"/>
  <c r="T118" i="1" s="1"/>
  <c r="T120" i="1" a="1"/>
  <c r="T120" i="1" s="1"/>
  <c r="T88" i="1"/>
  <c r="T103" i="1" a="1"/>
  <c r="T103" i="1" s="1"/>
  <c r="E35" i="1"/>
  <c r="E27" i="1"/>
  <c r="E19" i="1"/>
  <c r="E11" i="1"/>
  <c r="E66" i="1"/>
  <c r="E44" i="1"/>
  <c r="E10" i="1"/>
  <c r="E17" i="1"/>
  <c r="E9" i="1"/>
  <c r="E68" i="1"/>
  <c r="E67" i="1"/>
  <c r="E73" i="1"/>
  <c r="E65" i="1"/>
  <c r="E43" i="1"/>
  <c r="E50" i="1"/>
  <c r="E34" i="1"/>
  <c r="E26" i="1"/>
  <c r="E18" i="1"/>
  <c r="E42" i="1"/>
  <c r="E33" i="1"/>
  <c r="E32" i="1"/>
  <c r="E16" i="1"/>
  <c r="E38" i="1"/>
  <c r="E30" i="1"/>
  <c r="E14" i="1"/>
  <c r="E22" i="1"/>
  <c r="E6" i="1"/>
  <c r="E78" i="1"/>
  <c r="E2" i="1"/>
  <c r="E36" i="1"/>
  <c r="E28" i="1"/>
  <c r="E20" i="1"/>
  <c r="E12" i="1"/>
  <c r="E4" i="1"/>
  <c r="E85" i="1"/>
  <c r="E77" i="1"/>
  <c r="E46" i="1"/>
  <c r="E82" i="1"/>
  <c r="E74" i="1"/>
  <c r="E45" i="1"/>
  <c r="E72" i="1"/>
  <c r="E41" i="1"/>
  <c r="E48" i="1"/>
  <c r="E3" i="1"/>
  <c r="E70" i="1"/>
  <c r="E47" i="1"/>
  <c r="E80" i="1"/>
  <c r="E49" i="1"/>
  <c r="E40" i="1"/>
  <c r="E69" i="1"/>
  <c r="G88" i="1"/>
  <c r="A85" i="1" l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2" i="1"/>
  <c r="L104" i="1" l="1" a="1"/>
  <c r="L104" i="1" s="1"/>
  <c r="H105" i="1" a="1"/>
  <c r="H105" i="1" s="1"/>
  <c r="P105" i="1" a="1"/>
  <c r="P105" i="1" s="1"/>
  <c r="L106" i="1" a="1"/>
  <c r="L106" i="1" s="1"/>
  <c r="H107" i="1" a="1"/>
  <c r="H107" i="1" s="1"/>
  <c r="P107" i="1" a="1"/>
  <c r="P107" i="1" s="1"/>
  <c r="L108" i="1" a="1"/>
  <c r="L108" i="1" s="1"/>
  <c r="H109" i="1" a="1"/>
  <c r="H109" i="1" s="1"/>
  <c r="P109" i="1" a="1"/>
  <c r="P109" i="1" s="1"/>
  <c r="L110" i="1" a="1"/>
  <c r="L110" i="1" s="1"/>
  <c r="H111" i="1" a="1"/>
  <c r="H111" i="1" s="1"/>
  <c r="P111" i="1" a="1"/>
  <c r="P111" i="1" s="1"/>
  <c r="L112" i="1" a="1"/>
  <c r="L112" i="1" s="1"/>
  <c r="H115" i="1" a="1"/>
  <c r="H115" i="1" s="1"/>
  <c r="P115" i="1" a="1"/>
  <c r="P115" i="1" s="1"/>
  <c r="H89" i="1" a="1"/>
  <c r="H89" i="1" s="1"/>
  <c r="P89" i="1" a="1"/>
  <c r="P89" i="1" s="1"/>
  <c r="K90" i="1" a="1"/>
  <c r="K90" i="1" s="1"/>
  <c r="Q90" i="1" a="1"/>
  <c r="Q90" i="1" s="1"/>
  <c r="K91" i="1" a="1"/>
  <c r="K91" i="1" s="1"/>
  <c r="R91" i="1" a="1"/>
  <c r="R91" i="1" s="1"/>
  <c r="M92" i="1" a="1"/>
  <c r="M92" i="1" s="1"/>
  <c r="S92" i="1" a="1"/>
  <c r="S92" i="1" s="1"/>
  <c r="N93" i="1" a="1"/>
  <c r="N93" i="1" s="1"/>
  <c r="J94" i="1" a="1"/>
  <c r="J94" i="1" s="1"/>
  <c r="Q94" i="1" a="1"/>
  <c r="Q94" i="1" s="1"/>
  <c r="L95" i="1" a="1"/>
  <c r="L95" i="1" s="1"/>
  <c r="H96" i="1" a="1"/>
  <c r="H96" i="1" s="1"/>
  <c r="P96" i="1" a="1"/>
  <c r="P96" i="1" s="1"/>
  <c r="L97" i="1" a="1"/>
  <c r="L97" i="1" s="1"/>
  <c r="H100" i="1" a="1"/>
  <c r="H100" i="1" s="1"/>
  <c r="P100" i="1" a="1"/>
  <c r="P100" i="1" s="1"/>
  <c r="G108" i="1" a="1"/>
  <c r="G108" i="1" s="1"/>
  <c r="G94" i="1" a="1"/>
  <c r="G94" i="1" s="1"/>
  <c r="S115" i="1" a="1"/>
  <c r="S115" i="1" s="1"/>
  <c r="Q93" i="1" a="1"/>
  <c r="Q93" i="1" s="1"/>
  <c r="K96" i="1" a="1"/>
  <c r="K96" i="1" s="1"/>
  <c r="G110" i="1" a="1"/>
  <c r="G110" i="1" s="1"/>
  <c r="L89" i="1" a="1"/>
  <c r="L89" i="1" s="1"/>
  <c r="P92" i="1" a="1"/>
  <c r="P92" i="1" s="1"/>
  <c r="L96" i="1" a="1"/>
  <c r="L96" i="1" s="1"/>
  <c r="G105" i="1" a="1"/>
  <c r="G105" i="1" s="1"/>
  <c r="Q112" i="1" a="1"/>
  <c r="Q112" i="1" s="1"/>
  <c r="S93" i="1" a="1"/>
  <c r="S93" i="1" s="1"/>
  <c r="I97" i="1" a="1"/>
  <c r="I97" i="1" s="1"/>
  <c r="R95" i="1" a="1"/>
  <c r="R95" i="1" s="1"/>
  <c r="R97" i="1" a="1"/>
  <c r="R97" i="1" s="1"/>
  <c r="M104" i="1" a="1"/>
  <c r="M104" i="1" s="1"/>
  <c r="I105" i="1" a="1"/>
  <c r="I105" i="1" s="1"/>
  <c r="Q105" i="1" a="1"/>
  <c r="Q105" i="1" s="1"/>
  <c r="M106" i="1" a="1"/>
  <c r="M106" i="1" s="1"/>
  <c r="I107" i="1" a="1"/>
  <c r="I107" i="1" s="1"/>
  <c r="Q107" i="1" a="1"/>
  <c r="Q107" i="1" s="1"/>
  <c r="M108" i="1" a="1"/>
  <c r="M108" i="1" s="1"/>
  <c r="I109" i="1" a="1"/>
  <c r="I109" i="1" s="1"/>
  <c r="Q109" i="1" a="1"/>
  <c r="Q109" i="1" s="1"/>
  <c r="M110" i="1" a="1"/>
  <c r="M110" i="1" s="1"/>
  <c r="I111" i="1" a="1"/>
  <c r="I111" i="1" s="1"/>
  <c r="Q111" i="1" a="1"/>
  <c r="Q111" i="1" s="1"/>
  <c r="M112" i="1" a="1"/>
  <c r="M112" i="1" s="1"/>
  <c r="I115" i="1" a="1"/>
  <c r="I115" i="1" s="1"/>
  <c r="Q115" i="1" a="1"/>
  <c r="Q115" i="1" s="1"/>
  <c r="I89" i="1" a="1"/>
  <c r="I89" i="1" s="1"/>
  <c r="R90" i="1" a="1"/>
  <c r="R90" i="1" s="1"/>
  <c r="L91" i="1" a="1"/>
  <c r="L91" i="1" s="1"/>
  <c r="H93" i="1" a="1"/>
  <c r="H93" i="1" s="1"/>
  <c r="O93" i="1" a="1"/>
  <c r="O93" i="1" s="1"/>
  <c r="K94" i="1" a="1"/>
  <c r="K94" i="1" s="1"/>
  <c r="R94" i="1" a="1"/>
  <c r="R94" i="1" s="1"/>
  <c r="M95" i="1" a="1"/>
  <c r="M95" i="1" s="1"/>
  <c r="I96" i="1" a="1"/>
  <c r="I96" i="1" s="1"/>
  <c r="Q96" i="1" a="1"/>
  <c r="Q96" i="1" s="1"/>
  <c r="M97" i="1" a="1"/>
  <c r="M97" i="1" s="1"/>
  <c r="I100" i="1" a="1"/>
  <c r="I100" i="1" s="1"/>
  <c r="Q100" i="1" a="1"/>
  <c r="Q100" i="1" s="1"/>
  <c r="G104" i="1" a="1"/>
  <c r="G104" i="1" s="1"/>
  <c r="G95" i="1" a="1"/>
  <c r="G95" i="1" s="1"/>
  <c r="S111" i="1" a="1"/>
  <c r="S111" i="1" s="1"/>
  <c r="R89" i="1" a="1"/>
  <c r="R89" i="1" s="1"/>
  <c r="N91" i="1" a="1"/>
  <c r="N91" i="1" s="1"/>
  <c r="J93" i="1" a="1"/>
  <c r="J93" i="1" s="1"/>
  <c r="O95" i="1" a="1"/>
  <c r="O95" i="1" s="1"/>
  <c r="O97" i="1" a="1"/>
  <c r="O97" i="1" s="1"/>
  <c r="G96" i="1" a="1"/>
  <c r="G96" i="1" s="1"/>
  <c r="S89" i="1" a="1"/>
  <c r="S89" i="1" s="1"/>
  <c r="K93" i="1" a="1"/>
  <c r="K93" i="1" s="1"/>
  <c r="P95" i="1" a="1"/>
  <c r="P95" i="1" s="1"/>
  <c r="L100" i="1" a="1"/>
  <c r="L100" i="1" s="1"/>
  <c r="M89" i="1" a="1"/>
  <c r="M89" i="1" s="1"/>
  <c r="O91" i="1" a="1"/>
  <c r="O91" i="1" s="1"/>
  <c r="L93" i="1" a="1"/>
  <c r="L93" i="1" s="1"/>
  <c r="M96" i="1" a="1"/>
  <c r="M96" i="1" s="1"/>
  <c r="J97" i="1" a="1"/>
  <c r="J97" i="1" s="1"/>
  <c r="N100" i="1" a="1"/>
  <c r="N100" i="1" s="1"/>
  <c r="N104" i="1" a="1"/>
  <c r="N104" i="1" s="1"/>
  <c r="J105" i="1" a="1"/>
  <c r="J105" i="1" s="1"/>
  <c r="R105" i="1" a="1"/>
  <c r="R105" i="1" s="1"/>
  <c r="N106" i="1" a="1"/>
  <c r="N106" i="1" s="1"/>
  <c r="J107" i="1" a="1"/>
  <c r="J107" i="1" s="1"/>
  <c r="R107" i="1" a="1"/>
  <c r="R107" i="1" s="1"/>
  <c r="N108" i="1" a="1"/>
  <c r="N108" i="1" s="1"/>
  <c r="J109" i="1" a="1"/>
  <c r="J109" i="1" s="1"/>
  <c r="R109" i="1" a="1"/>
  <c r="R109" i="1" s="1"/>
  <c r="N110" i="1" a="1"/>
  <c r="N110" i="1" s="1"/>
  <c r="J111" i="1" a="1"/>
  <c r="J111" i="1" s="1"/>
  <c r="R111" i="1" a="1"/>
  <c r="R111" i="1" s="1"/>
  <c r="N112" i="1" a="1"/>
  <c r="N112" i="1" s="1"/>
  <c r="J115" i="1" a="1"/>
  <c r="J115" i="1" s="1"/>
  <c r="R115" i="1" a="1"/>
  <c r="R115" i="1" s="1"/>
  <c r="J89" i="1" a="1"/>
  <c r="J89" i="1" s="1"/>
  <c r="Q89" i="1" a="1"/>
  <c r="Q89" i="1" s="1"/>
  <c r="L90" i="1" a="1"/>
  <c r="L90" i="1" s="1"/>
  <c r="S90" i="1" a="1"/>
  <c r="S90" i="1" s="1"/>
  <c r="M91" i="1" a="1"/>
  <c r="M91" i="1" s="1"/>
  <c r="S91" i="1" a="1"/>
  <c r="S91" i="1" s="1"/>
  <c r="N92" i="1" a="1"/>
  <c r="N92" i="1" s="1"/>
  <c r="I93" i="1" a="1"/>
  <c r="I93" i="1" s="1"/>
  <c r="P93" i="1" a="1"/>
  <c r="P93" i="1" s="1"/>
  <c r="L94" i="1" a="1"/>
  <c r="L94" i="1" s="1"/>
  <c r="S94" i="1" a="1"/>
  <c r="S94" i="1" s="1"/>
  <c r="N95" i="1" a="1"/>
  <c r="N95" i="1" s="1"/>
  <c r="J96" i="1" a="1"/>
  <c r="J96" i="1" s="1"/>
  <c r="R96" i="1" a="1"/>
  <c r="R96" i="1" s="1"/>
  <c r="N97" i="1" a="1"/>
  <c r="N97" i="1" s="1"/>
  <c r="J100" i="1" a="1"/>
  <c r="J100" i="1" s="1"/>
  <c r="R100" i="1" a="1"/>
  <c r="R100" i="1" s="1"/>
  <c r="G109" i="1" a="1"/>
  <c r="G109" i="1" s="1"/>
  <c r="G90" i="1" a="1"/>
  <c r="G90" i="1" s="1"/>
  <c r="O112" i="1" a="1"/>
  <c r="O112" i="1" s="1"/>
  <c r="K89" i="1" a="1"/>
  <c r="K89" i="1" s="1"/>
  <c r="M90" i="1" a="1"/>
  <c r="M90" i="1" s="1"/>
  <c r="O92" i="1" a="1"/>
  <c r="O92" i="1" s="1"/>
  <c r="M94" i="1" a="1"/>
  <c r="M94" i="1" s="1"/>
  <c r="S96" i="1" a="1"/>
  <c r="S96" i="1" s="1"/>
  <c r="G91" i="1" a="1"/>
  <c r="G91" i="1" s="1"/>
  <c r="H91" i="1" a="1"/>
  <c r="H91" i="1" s="1"/>
  <c r="N94" i="1" a="1"/>
  <c r="N94" i="1" s="1"/>
  <c r="P97" i="1" a="1"/>
  <c r="P97" i="1" s="1"/>
  <c r="M115" i="1" a="1"/>
  <c r="M115" i="1" s="1"/>
  <c r="I95" i="1" a="1"/>
  <c r="I95" i="1" s="1"/>
  <c r="Q97" i="1" a="1"/>
  <c r="Q97" i="1" s="1"/>
  <c r="N96" i="1" a="1"/>
  <c r="N96" i="1" s="1"/>
  <c r="G112" i="1" a="1"/>
  <c r="G112" i="1" s="1"/>
  <c r="O104" i="1" a="1"/>
  <c r="O104" i="1" s="1"/>
  <c r="K105" i="1" a="1"/>
  <c r="K105" i="1" s="1"/>
  <c r="S105" i="1" a="1"/>
  <c r="S105" i="1" s="1"/>
  <c r="O106" i="1" a="1"/>
  <c r="O106" i="1" s="1"/>
  <c r="K107" i="1" a="1"/>
  <c r="K107" i="1" s="1"/>
  <c r="S107" i="1" a="1"/>
  <c r="S107" i="1" s="1"/>
  <c r="O108" i="1" a="1"/>
  <c r="O108" i="1" s="1"/>
  <c r="K109" i="1" a="1"/>
  <c r="K109" i="1" s="1"/>
  <c r="S109" i="1" a="1"/>
  <c r="S109" i="1" s="1"/>
  <c r="O110" i="1" a="1"/>
  <c r="O110" i="1" s="1"/>
  <c r="K111" i="1" a="1"/>
  <c r="K111" i="1" s="1"/>
  <c r="K115" i="1" a="1"/>
  <c r="K115" i="1" s="1"/>
  <c r="H92" i="1" a="1"/>
  <c r="H92" i="1" s="1"/>
  <c r="K100" i="1" a="1"/>
  <c r="K100" i="1" s="1"/>
  <c r="I92" i="1" a="1"/>
  <c r="I92" i="1" s="1"/>
  <c r="H90" i="1" a="1"/>
  <c r="H90" i="1" s="1"/>
  <c r="Q92" i="1" a="1"/>
  <c r="Q92" i="1" s="1"/>
  <c r="G111" i="1" a="1"/>
  <c r="G111" i="1" s="1"/>
  <c r="H104" i="1" a="1"/>
  <c r="H104" i="1" s="1"/>
  <c r="P104" i="1" a="1"/>
  <c r="P104" i="1" s="1"/>
  <c r="L105" i="1" a="1"/>
  <c r="L105" i="1" s="1"/>
  <c r="H106" i="1" a="1"/>
  <c r="H106" i="1" s="1"/>
  <c r="P106" i="1" a="1"/>
  <c r="P106" i="1" s="1"/>
  <c r="L107" i="1" a="1"/>
  <c r="L107" i="1" s="1"/>
  <c r="H108" i="1" a="1"/>
  <c r="H108" i="1" s="1"/>
  <c r="P108" i="1" a="1"/>
  <c r="P108" i="1" s="1"/>
  <c r="L109" i="1" a="1"/>
  <c r="L109" i="1" s="1"/>
  <c r="H110" i="1" a="1"/>
  <c r="H110" i="1" s="1"/>
  <c r="P110" i="1" a="1"/>
  <c r="P110" i="1" s="1"/>
  <c r="L111" i="1" a="1"/>
  <c r="L111" i="1" s="1"/>
  <c r="H112" i="1" a="1"/>
  <c r="H112" i="1" s="1"/>
  <c r="P112" i="1" a="1"/>
  <c r="P112" i="1" s="1"/>
  <c r="L115" i="1" a="1"/>
  <c r="L115" i="1" s="1"/>
  <c r="H95" i="1" a="1"/>
  <c r="H95" i="1" s="1"/>
  <c r="O90" i="1" a="1"/>
  <c r="O90" i="1" s="1"/>
  <c r="O94" i="1" a="1"/>
  <c r="O94" i="1" s="1"/>
  <c r="G92" i="1" a="1"/>
  <c r="G92" i="1" s="1"/>
  <c r="I104" i="1" a="1"/>
  <c r="I104" i="1" s="1"/>
  <c r="Q104" i="1" a="1"/>
  <c r="Q104" i="1" s="1"/>
  <c r="M105" i="1" a="1"/>
  <c r="M105" i="1" s="1"/>
  <c r="I106" i="1" a="1"/>
  <c r="I106" i="1" s="1"/>
  <c r="Q106" i="1" a="1"/>
  <c r="Q106" i="1" s="1"/>
  <c r="M107" i="1" a="1"/>
  <c r="M107" i="1" s="1"/>
  <c r="I108" i="1" a="1"/>
  <c r="I108" i="1" s="1"/>
  <c r="Q108" i="1" a="1"/>
  <c r="Q108" i="1" s="1"/>
  <c r="M109" i="1" a="1"/>
  <c r="M109" i="1" s="1"/>
  <c r="I110" i="1" a="1"/>
  <c r="I110" i="1" s="1"/>
  <c r="Q110" i="1" a="1"/>
  <c r="Q110" i="1" s="1"/>
  <c r="M111" i="1" a="1"/>
  <c r="M111" i="1" s="1"/>
  <c r="I91" i="1" a="1"/>
  <c r="I91" i="1" s="1"/>
  <c r="J92" i="1" a="1"/>
  <c r="J92" i="1" s="1"/>
  <c r="G106" i="1" a="1"/>
  <c r="G106" i="1" s="1"/>
  <c r="J104" i="1" a="1"/>
  <c r="J104" i="1" s="1"/>
  <c r="R104" i="1" a="1"/>
  <c r="R104" i="1" s="1"/>
  <c r="N105" i="1" a="1"/>
  <c r="N105" i="1" s="1"/>
  <c r="J106" i="1" a="1"/>
  <c r="J106" i="1" s="1"/>
  <c r="R106" i="1" a="1"/>
  <c r="R106" i="1" s="1"/>
  <c r="N107" i="1" a="1"/>
  <c r="N107" i="1" s="1"/>
  <c r="J108" i="1" a="1"/>
  <c r="J108" i="1" s="1"/>
  <c r="R108" i="1" a="1"/>
  <c r="R108" i="1" s="1"/>
  <c r="N109" i="1" a="1"/>
  <c r="N109" i="1" s="1"/>
  <c r="J110" i="1" a="1"/>
  <c r="J110" i="1" s="1"/>
  <c r="R110" i="1" a="1"/>
  <c r="R110" i="1" s="1"/>
  <c r="N111" i="1" a="1"/>
  <c r="N111" i="1" s="1"/>
  <c r="J112" i="1" a="1"/>
  <c r="J112" i="1" s="1"/>
  <c r="R112" i="1" a="1"/>
  <c r="R112" i="1" s="1"/>
  <c r="N115" i="1" a="1"/>
  <c r="N115" i="1" s="1"/>
  <c r="N89" i="1" a="1"/>
  <c r="N89" i="1" s="1"/>
  <c r="I90" i="1" a="1"/>
  <c r="I90" i="1" s="1"/>
  <c r="J91" i="1" a="1"/>
  <c r="J91" i="1" s="1"/>
  <c r="P91" i="1" a="1"/>
  <c r="P91" i="1" s="1"/>
  <c r="K92" i="1" a="1"/>
  <c r="K92" i="1" s="1"/>
  <c r="H94" i="1" a="1"/>
  <c r="H94" i="1" s="1"/>
  <c r="K104" i="1" a="1"/>
  <c r="K104" i="1" s="1"/>
  <c r="S104" i="1" a="1"/>
  <c r="S104" i="1" s="1"/>
  <c r="O105" i="1" a="1"/>
  <c r="O105" i="1" s="1"/>
  <c r="K106" i="1" a="1"/>
  <c r="K106" i="1" s="1"/>
  <c r="S106" i="1" a="1"/>
  <c r="S106" i="1" s="1"/>
  <c r="O107" i="1" a="1"/>
  <c r="O107" i="1" s="1"/>
  <c r="K108" i="1" a="1"/>
  <c r="K108" i="1" s="1"/>
  <c r="S108" i="1" a="1"/>
  <c r="S108" i="1" s="1"/>
  <c r="O109" i="1" a="1"/>
  <c r="O109" i="1" s="1"/>
  <c r="K110" i="1" a="1"/>
  <c r="K110" i="1" s="1"/>
  <c r="S110" i="1" a="1"/>
  <c r="S110" i="1" s="1"/>
  <c r="O111" i="1" a="1"/>
  <c r="O111" i="1" s="1"/>
  <c r="K112" i="1" a="1"/>
  <c r="K112" i="1" s="1"/>
  <c r="S112" i="1" a="1"/>
  <c r="S112" i="1" s="1"/>
  <c r="O115" i="1" a="1"/>
  <c r="O115" i="1" s="1"/>
  <c r="O89" i="1" a="1"/>
  <c r="O89" i="1" s="1"/>
  <c r="J90" i="1" a="1"/>
  <c r="J90" i="1" s="1"/>
  <c r="P90" i="1" a="1"/>
  <c r="P90" i="1" s="1"/>
  <c r="Q91" i="1" a="1"/>
  <c r="Q91" i="1" s="1"/>
  <c r="L92" i="1" a="1"/>
  <c r="L92" i="1" s="1"/>
  <c r="R92" i="1" a="1"/>
  <c r="R92" i="1" s="1"/>
  <c r="M93" i="1" a="1"/>
  <c r="M93" i="1" s="1"/>
  <c r="I94" i="1" a="1"/>
  <c r="I94" i="1" s="1"/>
  <c r="P94" i="1" a="1"/>
  <c r="P94" i="1" s="1"/>
  <c r="K95" i="1" a="1"/>
  <c r="K95" i="1" s="1"/>
  <c r="S95" i="1" a="1"/>
  <c r="S95" i="1" s="1"/>
  <c r="O96" i="1" a="1"/>
  <c r="O96" i="1" s="1"/>
  <c r="K97" i="1" a="1"/>
  <c r="K97" i="1" s="1"/>
  <c r="S97" i="1" a="1"/>
  <c r="S97" i="1" s="1"/>
  <c r="O100" i="1" a="1"/>
  <c r="O100" i="1" s="1"/>
  <c r="G107" i="1" a="1"/>
  <c r="G107" i="1" s="1"/>
  <c r="G93" i="1" a="1"/>
  <c r="G93" i="1" s="1"/>
  <c r="S100" i="1" a="1"/>
  <c r="S100" i="1" s="1"/>
  <c r="N90" i="1" a="1"/>
  <c r="N90" i="1" s="1"/>
  <c r="R93" i="1" a="1"/>
  <c r="R93" i="1" s="1"/>
  <c r="H97" i="1" a="1"/>
  <c r="H97" i="1" s="1"/>
  <c r="G97" i="1" a="1"/>
  <c r="G97" i="1" s="1"/>
  <c r="I112" i="1" a="1"/>
  <c r="I112" i="1" s="1"/>
  <c r="Q95" i="1" a="1"/>
  <c r="Q95" i="1" s="1"/>
  <c r="M100" i="1" a="1"/>
  <c r="M100" i="1" s="1"/>
  <c r="J95" i="1" a="1"/>
  <c r="J95" i="1" s="1"/>
  <c r="G89" i="1" a="1"/>
  <c r="G89" i="1" s="1"/>
  <c r="T105" i="1" a="1"/>
  <c r="T105" i="1" s="1"/>
  <c r="T100" i="1" a="1"/>
  <c r="T100" i="1" s="1"/>
  <c r="T110" i="1" a="1"/>
  <c r="T110" i="1" s="1"/>
  <c r="T92" i="1" a="1"/>
  <c r="T92" i="1" s="1"/>
  <c r="T95" i="1" a="1"/>
  <c r="T95" i="1" s="1"/>
  <c r="T108" i="1" a="1"/>
  <c r="T108" i="1" s="1"/>
  <c r="T107" i="1" a="1"/>
  <c r="T107" i="1" s="1"/>
  <c r="T112" i="1" a="1"/>
  <c r="T112" i="1" s="1"/>
  <c r="T106" i="1" a="1"/>
  <c r="T106" i="1" s="1"/>
  <c r="T93" i="1" a="1"/>
  <c r="T93" i="1" s="1"/>
  <c r="T89" i="1" a="1"/>
  <c r="T89" i="1" s="1"/>
  <c r="T96" i="1" a="1"/>
  <c r="T96" i="1" s="1"/>
  <c r="T104" i="1" a="1"/>
  <c r="T104" i="1" s="1"/>
  <c r="T115" i="1" a="1"/>
  <c r="T115" i="1" s="1"/>
  <c r="T94" i="1" a="1"/>
  <c r="T94" i="1" s="1"/>
  <c r="T97" i="1" a="1"/>
  <c r="T97" i="1" s="1"/>
  <c r="T91" i="1" a="1"/>
  <c r="T91" i="1" s="1"/>
  <c r="T90" i="1" a="1"/>
  <c r="T90" i="1" s="1"/>
  <c r="T111" i="1" a="1"/>
  <c r="T111" i="1" s="1"/>
  <c r="T109" i="1" a="1"/>
  <c r="T1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<sst xmlns="http://schemas.openxmlformats.org/spreadsheetml/2006/main" count="137" uniqueCount="119">
  <si>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</si>
  <si>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</si>
  <si>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</si>
  <si>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</si>
  <si>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</si>
  <si>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</si>
  <si>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</si>
  <si>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</si>
  <si>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</si>
  <si>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</si>
  <si>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</si>
  <si>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</si>
  <si>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</si>
  <si>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</si>
  <si>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</si>
  <si>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</si>
  <si>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</si>
  <si>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</si>
  <si>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</si>
  <si>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</si>
  <si>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</si>
  <si>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</si>
  <si>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</si>
  <si>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</si>
  <si>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</si>
  <si>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</si>
  <si>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</si>
  <si>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</si>
  <si>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</si>
  <si>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</si>
  <si>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</si>
  <si>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</si>
  <si>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</si>
  <si>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</si>
  <si>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</si>
  <si>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</si>
  <si>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</si>
  <si>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</si>
  <si>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</si>
  <si>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</si>
  <si>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</si>
  <si>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</si>
  <si>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</si>
  <si>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</si>
  <si>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excluded</t>
  </si>
  <si>
    <t>average</t>
  </si>
  <si>
    <t>11</t>
  </si>
  <si>
    <t>13</t>
  </si>
  <si>
    <t>14</t>
  </si>
  <si>
    <t>xsk</t>
  </si>
  <si>
    <t>sk</t>
  </si>
  <si>
    <t>norm</t>
  </si>
  <si>
    <t>arabic-xsk2g</t>
  </si>
  <si>
    <t>arabic-xsk3g</t>
  </si>
  <si>
    <t>english-xsk2g</t>
  </si>
  <si>
    <t>english-xsk3g</t>
  </si>
  <si>
    <t>french-xsk2g</t>
  </si>
  <si>
    <t>french-xsk3g</t>
  </si>
  <si>
    <t>finnish-1g</t>
  </si>
  <si>
    <t>finnish-2g</t>
  </si>
  <si>
    <t>finnish-3g</t>
  </si>
  <si>
    <t>finnish-sk2g</t>
  </si>
  <si>
    <t>finnish-sk3g</t>
  </si>
  <si>
    <t>finnish-xsk2g</t>
  </si>
  <si>
    <t>finnish-xsk3g</t>
  </si>
  <si>
    <t>german-xsk2g</t>
  </si>
  <si>
    <t>german-xsk3g</t>
  </si>
  <si>
    <t>greek-1g</t>
  </si>
  <si>
    <t>greek-2g</t>
  </si>
  <si>
    <t>greek-3g</t>
  </si>
  <si>
    <t>greek-sk2g</t>
  </si>
  <si>
    <t>greek-sk3g</t>
  </si>
  <si>
    <t>greek-xsk2g</t>
  </si>
  <si>
    <t>greek-xsk3g</t>
  </si>
  <si>
    <t>hebrew-1g</t>
  </si>
  <si>
    <t>hebrew-2g</t>
  </si>
  <si>
    <t>hebrew-3g</t>
  </si>
  <si>
    <t>hebrew-sk2g</t>
  </si>
  <si>
    <t>hebrew-sk3g</t>
  </si>
  <si>
    <t>hebrew-xsk2g</t>
  </si>
  <si>
    <t>hebrew-xsk3g</t>
  </si>
  <si>
    <t>icelandic-1g</t>
  </si>
  <si>
    <t>icelandic-2g</t>
  </si>
  <si>
    <t>icelandic-3g</t>
  </si>
  <si>
    <t>icelandic-sk2g</t>
  </si>
  <si>
    <t>icelandic-sk3g</t>
  </si>
  <si>
    <t>icelandic-xsk2g</t>
  </si>
  <si>
    <t>icelandic-xsk3g</t>
  </si>
  <si>
    <t>russian-xsk2g</t>
  </si>
  <si>
    <t>russian-xsk3g</t>
  </si>
  <si>
    <t>turkish-1g</t>
  </si>
  <si>
    <t>turkish-2g</t>
  </si>
  <si>
    <t>turkish-3g</t>
  </si>
  <si>
    <t>turkish-sk2g</t>
  </si>
  <si>
    <t>turkish-sk3g</t>
  </si>
  <si>
    <t>turkish-xsk2g</t>
  </si>
  <si>
    <t>turkish-xsk3g</t>
  </si>
  <si>
    <t>finnish</t>
  </si>
  <si>
    <t>greek</t>
  </si>
  <si>
    <t>hebrew</t>
  </si>
  <si>
    <t>icelandic</t>
  </si>
  <si>
    <t>turkish</t>
  </si>
  <si>
    <t>spanish</t>
  </si>
  <si>
    <t>swahili</t>
  </si>
  <si>
    <t>spanish-1g</t>
  </si>
  <si>
    <t>spanish-2g</t>
  </si>
  <si>
    <t>spanish-3g</t>
  </si>
  <si>
    <t>spanish-sk2g</t>
  </si>
  <si>
    <t>spanish-sk3g</t>
  </si>
  <si>
    <t>spanish-xsk2g</t>
  </si>
  <si>
    <t>spanish-xsk3g</t>
  </si>
  <si>
    <t>swahili-1g</t>
  </si>
  <si>
    <t>swahili-2g</t>
  </si>
  <si>
    <t>swahili-3g</t>
  </si>
  <si>
    <t>swahili-sk2g</t>
  </si>
  <si>
    <t>swahili-sk3g</t>
  </si>
  <si>
    <t>swahili-xsk2g</t>
  </si>
  <si>
    <t>swahili-xsk3g</t>
  </si>
  <si>
    <t>1g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</si>
</sst>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encodings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'aNA.pt0.33'!$F$119</c:f>
              <c:strCache>
                <c:ptCount val="1"/>
                <c:pt idx="0">
                  <c:v>xsk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'aNA.pt0.33'!$G$119:$S$119</c:f>
              <c:numCache>
                <c:formatCode>0.00</c:formatCode>
                <c:ptCount val="13"/>
                <c:pt idx="0">
                  <c:v>0.80969921692181079</c:v>
                </c:pt>
                <c:pt idx="1">
                  <c:v>0.81318618270969101</c:v>
                </c:pt>
                <c:pt idx="2">
                  <c:v>0.81598408008759593</c:v>
                </c:pt>
                <c:pt idx="3">
                  <c:v>0.71922283055384639</c:v>
                </c:pt>
                <c:pt idx="4">
                  <c:v>0.75780049791975512</c:v>
                </c:pt>
                <c:pt idx="5">
                  <c:v>0.69027581166575869</c:v>
                </c:pt>
                <c:pt idx="6">
                  <c:v>0.7374756788785799</c:v>
                </c:pt>
                <c:pt idx="7">
                  <c:v>0.74619952638421061</c:v>
                </c:pt>
                <c:pt idx="8">
                  <c:v>0.7214633715685882</c:v>
                </c:pt>
                <c:pt idx="9">
                  <c:v>0.7037113563704015</c:v>
                </c:pt>
                <c:pt idx="10">
                  <c:v>0.67918847514456981</c:v>
                </c:pt>
                <c:pt idx="11">
                  <c:v>0.72400716308428092</c:v>
                </c:pt>
                <c:pt idx="12">
                  <c:v>0.66353460008160337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4-744E-B056-3268730A806E}"/>
            </c:ext>
          </c:extLst>
        </c:ser>
        <c:ser>
          <c:idx val="2"/>
          <c:order val="1"/>
          <c:tx>
            <c:strRef>
              <c:f>'aNA.pt0.33'!$F$120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'aNA.pt0.33'!$G$120:$S$120</c:f>
              <c:numCache>
                <c:formatCode>0.00</c:formatCode>
                <c:ptCount val="13"/>
                <c:pt idx="0">
                  <c:v>0.8221927143598009</c:v>
                </c:pt>
                <c:pt idx="1">
                  <c:v>0.79435705111689103</c:v>
                </c:pt>
                <c:pt idx="2">
                  <c:v>0.77188925496451255</c:v>
                </c:pt>
                <c:pt idx="3">
                  <c:v>0.76157425111027244</c:v>
                </c:pt>
                <c:pt idx="4">
                  <c:v>0.73000305482419592</c:v>
                </c:pt>
                <c:pt idx="5">
                  <c:v>0.68955867708694096</c:v>
                </c:pt>
                <c:pt idx="6">
                  <c:v>0.70656137244217199</c:v>
                </c:pt>
                <c:pt idx="7">
                  <c:v>0.69260619670145607</c:v>
                </c:pt>
                <c:pt idx="8">
                  <c:v>0.68601189703037846</c:v>
                </c:pt>
                <c:pt idx="9">
                  <c:v>0.64802722522321232</c:v>
                </c:pt>
                <c:pt idx="10">
                  <c:v>0.69586029659621029</c:v>
                </c:pt>
                <c:pt idx="11">
                  <c:v>0.66736994772477365</c:v>
                </c:pt>
                <c:pt idx="12">
                  <c:v>0.61973349304074365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4-744E-B056-3268730A806E}"/>
            </c:ext>
          </c:extLst>
        </c:ser>
        <c:ser>
          <c:idx val="3"/>
          <c:order val="2"/>
          <c:tx>
            <c:strRef>
              <c:f>'aNA.pt0.33'!$F$121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'aNA.pt0.33'!$G$121:$S$121</c:f>
              <c:numCache>
                <c:formatCode>0.00</c:formatCode>
                <c:ptCount val="13"/>
                <c:pt idx="0">
                  <c:v>0.8221927143598009</c:v>
                </c:pt>
                <c:pt idx="1">
                  <c:v>0.79435705111689103</c:v>
                </c:pt>
                <c:pt idx="2">
                  <c:v>0.77188925496451255</c:v>
                </c:pt>
                <c:pt idx="3">
                  <c:v>0.76157425111027244</c:v>
                </c:pt>
                <c:pt idx="4">
                  <c:v>0.73000305482419592</c:v>
                </c:pt>
                <c:pt idx="5">
                  <c:v>0.68955867708694096</c:v>
                </c:pt>
                <c:pt idx="6">
                  <c:v>0.70656137244217199</c:v>
                </c:pt>
                <c:pt idx="7">
                  <c:v>0.69260619670145607</c:v>
                </c:pt>
                <c:pt idx="8">
                  <c:v>0.68601189703037846</c:v>
                </c:pt>
                <c:pt idx="9">
                  <c:v>0.64802722522321232</c:v>
                </c:pt>
                <c:pt idx="10">
                  <c:v>0.69586029659621029</c:v>
                </c:pt>
                <c:pt idx="11">
                  <c:v>0.66736994772477365</c:v>
                </c:pt>
                <c:pt idx="12">
                  <c:v>0.61973349304074365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4-744E-B056-3268730A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657120"/>
        <c:axId val="2105744544"/>
      </c:lineChart>
      <c:catAx>
        <c:axId val="15156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05744544"/>
        <c:crosses val="autoZero"/>
        <c:auto val="1"/>
        <c:lblAlgn val="ctr"/>
        <c:lblOffset val="100"/>
        <c:noMultiLvlLbl val="0"/>
      </c:catAx>
      <c:valAx>
        <c:axId val="21057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15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languages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(s1,</a:t>
            </a:r>
            <a:r>
              <a:rPr lang="ja-JP" altLang="en-US" baseline="0"/>
              <a:t> </a:t>
            </a:r>
            <a:r>
              <a:rPr lang="en-US" altLang="ja-JP" baseline="0"/>
              <a:t>pt</a:t>
            </a:r>
            <a:r>
              <a:rPr lang="ja-JP" altLang="en-US" baseline="0"/>
              <a:t> </a:t>
            </a:r>
            <a:r>
              <a:rPr lang="en-US" altLang="ja-JP" baseline="0"/>
              <a:t>=0.33;</a:t>
            </a:r>
            <a:r>
              <a:rPr lang="ja-JP" altLang="en-US" baseline="0"/>
              <a:t> </a:t>
            </a:r>
            <a:r>
              <a:rPr lang="en-US" altLang="ja-JP" baseline="0"/>
              <a:t>mgr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0.67;</a:t>
            </a:r>
            <a:r>
              <a:rPr lang="ja-JP" altLang="en-US" baseline="0"/>
              <a:t> </a:t>
            </a:r>
            <a:r>
              <a:rPr lang="en-US" altLang="ja-JP" baseline="0"/>
              <a:t>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'aNA.pt0.33'!$F$104</c:f>
              <c:strCache>
                <c:ptCount val="1"/>
                <c:pt idx="0">
                  <c:v>arabic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'aNA.pt0.33'!$G$104:$S$104</c:f>
              <c:numCache>
                <c:formatCode>0.00</c:formatCode>
                <c:ptCount val="13"/>
                <c:pt idx="0">
                  <c:v>0.99156003581566654</c:v>
                </c:pt>
                <c:pt idx="1">
                  <c:v>0.98589247173829619</c:v>
                </c:pt>
                <c:pt idx="2">
                  <c:v>0.99609045584056355</c:v>
                </c:pt>
                <c:pt idx="3">
                  <c:v>0.99751043352764779</c:v>
                </c:pt>
                <c:pt idx="4">
                  <c:v>0.98644454317962804</c:v>
                </c:pt>
                <c:pt idx="5">
                  <c:v>0.97185227512916328</c:v>
                </c:pt>
                <c:pt idx="6">
                  <c:v>0.99353512403249589</c:v>
                </c:pt>
                <c:pt idx="7">
                  <c:v>0.98520343469819427</c:v>
                </c:pt>
                <c:pt idx="8">
                  <c:v>0.95818990153720307</c:v>
                </c:pt>
                <c:pt idx="9">
                  <c:v>0.98780782159358138</c:v>
                </c:pt>
                <c:pt idx="10">
                  <c:v>0.99820733243875681</c:v>
                </c:pt>
                <c:pt idx="11">
                  <c:v>0.99702317259629247</c:v>
                </c:pt>
                <c:pt idx="12">
                  <c:v>0.98917797992347634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0-1346-ADFB-B1A9B6FF66F3}"/>
            </c:ext>
          </c:extLst>
        </c:ser>
        <c:ser>
          <c:idx val="2"/>
          <c:order val="1"/>
          <c:tx>
            <c:strRef>
              <c:f>'aNA.pt0.33'!$F$105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'aNA.pt0.33'!$G$105:$S$105</c:f>
              <c:numCache>
                <c:formatCode>0.00</c:formatCode>
                <c:ptCount val="13"/>
                <c:pt idx="0">
                  <c:v>0.54879920123410431</c:v>
                </c:pt>
                <c:pt idx="1">
                  <c:v>0.52911240887046607</c:v>
                </c:pt>
                <c:pt idx="2">
                  <c:v>0.48965351929947049</c:v>
                </c:pt>
                <c:pt idx="3">
                  <c:v>0.48220178084499582</c:v>
                </c:pt>
                <c:pt idx="4">
                  <c:v>0.40560097245920951</c:v>
                </c:pt>
                <c:pt idx="5">
                  <c:v>0.28704719455980865</c:v>
                </c:pt>
                <c:pt idx="6">
                  <c:v>0.50776467230062816</c:v>
                </c:pt>
                <c:pt idx="7">
                  <c:v>0.31124223384772548</c:v>
                </c:pt>
                <c:pt idx="8">
                  <c:v>0.35804309351615848</c:v>
                </c:pt>
                <c:pt idx="9">
                  <c:v>0.34679904741598233</c:v>
                </c:pt>
                <c:pt idx="10">
                  <c:v>0.32578893848730223</c:v>
                </c:pt>
                <c:pt idx="11">
                  <c:v>0.29165459384117665</c:v>
                </c:pt>
                <c:pt idx="12">
                  <c:v>0.27898244106734926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70-1346-ADFB-B1A9B6FF66F3}"/>
            </c:ext>
          </c:extLst>
        </c:ser>
        <c:ser>
          <c:idx val="3"/>
          <c:order val="2"/>
          <c:tx>
            <c:strRef>
              <c:f>'aNA.pt0.33'!$F$106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'aNA.pt0.33'!$G$106:$S$106</c:f>
              <c:numCache>
                <c:formatCode>0.00</c:formatCode>
                <c:ptCount val="13"/>
                <c:pt idx="0">
                  <c:v>0.52979783599494612</c:v>
                </c:pt>
                <c:pt idx="1">
                  <c:v>0.49598872159457946</c:v>
                </c:pt>
                <c:pt idx="2">
                  <c:v>0.42393290094668384</c:v>
                </c:pt>
                <c:pt idx="3">
                  <c:v>0.45936467806598441</c:v>
                </c:pt>
                <c:pt idx="4">
                  <c:v>0.49875825736604584</c:v>
                </c:pt>
                <c:pt idx="5">
                  <c:v>0.49958816656117128</c:v>
                </c:pt>
                <c:pt idx="6">
                  <c:v>0.35129354459684481</c:v>
                </c:pt>
                <c:pt idx="7">
                  <c:v>0.40836004619902599</c:v>
                </c:pt>
                <c:pt idx="8">
                  <c:v>0.41318536116932064</c:v>
                </c:pt>
                <c:pt idx="9">
                  <c:v>0.54830251772850114</c:v>
                </c:pt>
                <c:pt idx="10">
                  <c:v>0.40090102648866405</c:v>
                </c:pt>
                <c:pt idx="11">
                  <c:v>0.46532781376963578</c:v>
                </c:pt>
                <c:pt idx="12">
                  <c:v>0.35592776471935694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0-1346-ADFB-B1A9B6FF66F3}"/>
            </c:ext>
          </c:extLst>
        </c:ser>
        <c:ser>
          <c:idx val="4"/>
          <c:order val="3"/>
          <c:tx>
            <c:strRef>
              <c:f>'aNA.pt0.33'!$F$107</c:f>
              <c:strCache>
                <c:ptCount val="1"/>
                <c:pt idx="0">
                  <c:v>finnish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'aNA.pt0.33'!$G$107:$S$107</c:f>
              <c:numCache>
                <c:formatCode>0.00</c:formatCode>
                <c:ptCount val="13"/>
                <c:pt idx="0">
                  <c:v>0.75778397411164844</c:v>
                </c:pt>
                <c:pt idx="1">
                  <c:v>0.66740949677747174</c:v>
                </c:pt>
                <c:pt idx="2">
                  <c:v>0.70235981942809056</c:v>
                </c:pt>
                <c:pt idx="3">
                  <c:v>0.59680656725855596</c:v>
                </c:pt>
                <c:pt idx="4">
                  <c:v>0.69790742717479903</c:v>
                </c:pt>
                <c:pt idx="5">
                  <c:v>0.57379779733796077</c:v>
                </c:pt>
                <c:pt idx="6">
                  <c:v>0.65231765105977046</c:v>
                </c:pt>
                <c:pt idx="7">
                  <c:v>0.6599592995919692</c:v>
                </c:pt>
                <c:pt idx="8">
                  <c:v>0.58667300554077406</c:v>
                </c:pt>
                <c:pt idx="9">
                  <c:v>0.54728618338912893</c:v>
                </c:pt>
                <c:pt idx="10">
                  <c:v>0.52076241882931251</c:v>
                </c:pt>
                <c:pt idx="11">
                  <c:v>0.57568354252315768</c:v>
                </c:pt>
                <c:pt idx="12">
                  <c:v>0.43390255180408532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70-1346-ADFB-B1A9B6FF66F3}"/>
            </c:ext>
          </c:extLst>
        </c:ser>
        <c:ser>
          <c:idx val="5"/>
          <c:order val="4"/>
          <c:tx>
            <c:strRef>
              <c:f>'aNA.pt0.33'!$F$108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'aNA.pt0.33'!$G$108:$S$108</c:f>
              <c:numCache>
                <c:formatCode>0.00</c:formatCode>
                <c:ptCount val="13"/>
                <c:pt idx="0">
                  <c:v>0.68828930000386801</c:v>
                </c:pt>
                <c:pt idx="1">
                  <c:v>0.65010938811706642</c:v>
                </c:pt>
                <c:pt idx="2">
                  <c:v>0.64930140761340649</c:v>
                </c:pt>
                <c:pt idx="3">
                  <c:v>0.58419750046463415</c:v>
                </c:pt>
                <c:pt idx="4">
                  <c:v>0.5717025939353606</c:v>
                </c:pt>
                <c:pt idx="5">
                  <c:v>0.49314324396124065</c:v>
                </c:pt>
                <c:pt idx="6">
                  <c:v>0.59294613142631059</c:v>
                </c:pt>
                <c:pt idx="7">
                  <c:v>0.45405409435415117</c:v>
                </c:pt>
                <c:pt idx="8">
                  <c:v>0.56999704572423504</c:v>
                </c:pt>
                <c:pt idx="9">
                  <c:v>0.60862978795546219</c:v>
                </c:pt>
                <c:pt idx="10">
                  <c:v>0.34870435693401564</c:v>
                </c:pt>
                <c:pt idx="11">
                  <c:v>0.29121532037662196</c:v>
                </c:pt>
                <c:pt idx="12">
                  <c:v>0.37631178110072933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70-1346-ADFB-B1A9B6FF66F3}"/>
            </c:ext>
          </c:extLst>
        </c:ser>
        <c:ser>
          <c:idx val="6"/>
          <c:order val="5"/>
          <c:tx>
            <c:strRef>
              <c:f>'aNA.pt0.33'!$F$109</c:f>
              <c:strCache>
                <c:ptCount val="1"/>
                <c:pt idx="0">
                  <c:v>greek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'aNA.pt0.33'!$G$109:$S$109</c:f>
              <c:numCache>
                <c:formatCode>0.00</c:formatCode>
                <c:ptCount val="13"/>
                <c:pt idx="0">
                  <c:v>0.98774022862901001</c:v>
                </c:pt>
                <c:pt idx="1">
                  <c:v>0.98964427631719654</c:v>
                </c:pt>
                <c:pt idx="2">
                  <c:v>0.99695183078144145</c:v>
                </c:pt>
                <c:pt idx="3">
                  <c:v>0.97642749955707175</c:v>
                </c:pt>
                <c:pt idx="4">
                  <c:v>0.97700090005013396</c:v>
                </c:pt>
                <c:pt idx="5">
                  <c:v>0.99158136143451714</c:v>
                </c:pt>
                <c:pt idx="6">
                  <c:v>0.95106081659288633</c:v>
                </c:pt>
                <c:pt idx="7">
                  <c:v>0.98875419394014885</c:v>
                </c:pt>
                <c:pt idx="8">
                  <c:v>0.97596279200232627</c:v>
                </c:pt>
                <c:pt idx="9">
                  <c:v>0.99322410356655977</c:v>
                </c:pt>
                <c:pt idx="10">
                  <c:v>0.98726011334980857</c:v>
                </c:pt>
                <c:pt idx="11">
                  <c:v>0.93484777821476905</c:v>
                </c:pt>
                <c:pt idx="12">
                  <c:v>0.90088860481776889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70-1346-ADFB-B1A9B6FF66F3}"/>
            </c:ext>
          </c:extLst>
        </c:ser>
        <c:ser>
          <c:idx val="7"/>
          <c:order val="6"/>
          <c:tx>
            <c:strRef>
              <c:f>'aNA.pt0.33'!$F$110</c:f>
              <c:strCache>
                <c:ptCount val="1"/>
                <c:pt idx="0">
                  <c:v>hebrew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'aNA.pt0.33'!$G$110:$S$110</c:f>
              <c:numCache>
                <c:formatCode>0.00</c:formatCode>
                <c:ptCount val="13"/>
                <c:pt idx="0">
                  <c:v>0.99947075720629641</c:v>
                </c:pt>
                <c:pt idx="1">
                  <c:v>0.98859233916597866</c:v>
                </c:pt>
                <c:pt idx="2">
                  <c:v>0.99933298099728407</c:v>
                </c:pt>
                <c:pt idx="3">
                  <c:v>0.98286385626825512</c:v>
                </c:pt>
                <c:pt idx="4">
                  <c:v>0.9719520324929608</c:v>
                </c:pt>
                <c:pt idx="5">
                  <c:v>0.98407709825469436</c:v>
                </c:pt>
                <c:pt idx="6">
                  <c:v>0.9689009952166403</c:v>
                </c:pt>
                <c:pt idx="7">
                  <c:v>0.99044262215865764</c:v>
                </c:pt>
                <c:pt idx="8">
                  <c:v>0.93953204931654222</c:v>
                </c:pt>
                <c:pt idx="9">
                  <c:v>0.99777672334238154</c:v>
                </c:pt>
                <c:pt idx="10">
                  <c:v>0.97176496000436996</c:v>
                </c:pt>
                <c:pt idx="11">
                  <c:v>0.99755678379768187</c:v>
                </c:pt>
                <c:pt idx="12">
                  <c:v>0.94723809035488227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70-1346-ADFB-B1A9B6FF66F3}"/>
            </c:ext>
          </c:extLst>
        </c:ser>
        <c:ser>
          <c:idx val="8"/>
          <c:order val="7"/>
          <c:tx>
            <c:strRef>
              <c:f>'aNA.pt0.33'!$F$111</c:f>
              <c:strCache>
                <c:ptCount val="1"/>
                <c:pt idx="0">
                  <c:v>icelandic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'aNA.pt0.33'!$G$111:$S$111</c:f>
              <c:numCache>
                <c:formatCode>0.00</c:formatCode>
                <c:ptCount val="13"/>
                <c:pt idx="0">
                  <c:v>0.88077386718192618</c:v>
                </c:pt>
                <c:pt idx="1">
                  <c:v>0.74393269652758909</c:v>
                </c:pt>
                <c:pt idx="2">
                  <c:v>0.76010758868354455</c:v>
                </c:pt>
                <c:pt idx="3">
                  <c:v>0.49027846785125884</c:v>
                </c:pt>
                <c:pt idx="4">
                  <c:v>0.74815739253160773</c:v>
                </c:pt>
                <c:pt idx="5">
                  <c:v>0.66026771429057507</c:v>
                </c:pt>
                <c:pt idx="6">
                  <c:v>0.69631425297939831</c:v>
                </c:pt>
                <c:pt idx="7">
                  <c:v>0.57339395844942909</c:v>
                </c:pt>
                <c:pt idx="8">
                  <c:v>0.59719701753194487</c:v>
                </c:pt>
                <c:pt idx="9">
                  <c:v>0.51194451769500915</c:v>
                </c:pt>
                <c:pt idx="10">
                  <c:v>0.55898351358501597</c:v>
                </c:pt>
                <c:pt idx="11">
                  <c:v>0.70350280072870464</c:v>
                </c:pt>
                <c:pt idx="12">
                  <c:v>0.51827355427670652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70-1346-ADFB-B1A9B6FF66F3}"/>
            </c:ext>
          </c:extLst>
        </c:ser>
        <c:ser>
          <c:idx val="9"/>
          <c:order val="8"/>
          <c:tx>
            <c:strRef>
              <c:f>'aNA.pt0.33'!$F$112</c:f>
              <c:strCache>
                <c:ptCount val="1"/>
                <c:pt idx="0">
                  <c:v>russian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'aNA.pt0.33'!$G$112:$S$112</c:f>
              <c:numCache>
                <c:formatCode>0.00</c:formatCode>
                <c:ptCount val="13"/>
                <c:pt idx="0">
                  <c:v>0.98218910609123233</c:v>
                </c:pt>
                <c:pt idx="1">
                  <c:v>0.9863196181329541</c:v>
                </c:pt>
                <c:pt idx="2">
                  <c:v>0.99751390658391637</c:v>
                </c:pt>
                <c:pt idx="3">
                  <c:v>0.99364702405564553</c:v>
                </c:pt>
                <c:pt idx="4">
                  <c:v>0.99144369666214605</c:v>
                </c:pt>
                <c:pt idx="5">
                  <c:v>0.97542091566989064</c:v>
                </c:pt>
                <c:pt idx="6">
                  <c:v>0.94950989089834703</c:v>
                </c:pt>
                <c:pt idx="7">
                  <c:v>0.96843868322619919</c:v>
                </c:pt>
                <c:pt idx="8">
                  <c:v>0.97344085756597176</c:v>
                </c:pt>
                <c:pt idx="9">
                  <c:v>0.91318422387507336</c:v>
                </c:pt>
                <c:pt idx="10">
                  <c:v>0.97100465054205165</c:v>
                </c:pt>
                <c:pt idx="11">
                  <c:v>0.87539296254410603</c:v>
                </c:pt>
                <c:pt idx="12">
                  <c:v>0.96761503284132444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70-1346-ADFB-B1A9B6FF66F3}"/>
            </c:ext>
          </c:extLst>
        </c:ser>
        <c:ser>
          <c:idx val="0"/>
          <c:order val="9"/>
          <c:tx>
            <c:strRef>
              <c:f>'aNA.pt0.33'!$F$113</c:f>
              <c:strCache>
                <c:ptCount val="1"/>
                <c:pt idx="0">
                  <c:v>spanish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'aNA.pt0.33'!$G$113:$S$113</c:f>
              <c:numCache>
                <c:formatCode>0.00</c:formatCode>
                <c:ptCount val="13"/>
                <c:pt idx="0">
                  <c:v>0.68149295208089422</c:v>
                </c:pt>
                <c:pt idx="1">
                  <c:v>0.70105655885489959</c:v>
                </c:pt>
                <c:pt idx="2">
                  <c:v>0.67285042775724335</c:v>
                </c:pt>
                <c:pt idx="3">
                  <c:v>0.58442597212559733</c:v>
                </c:pt>
                <c:pt idx="4">
                  <c:v>0.55343464919515262</c:v>
                </c:pt>
                <c:pt idx="5">
                  <c:v>0.503957359568171</c:v>
                </c:pt>
                <c:pt idx="6">
                  <c:v>0.55901996500955453</c:v>
                </c:pt>
                <c:pt idx="7">
                  <c:v>0.60115445237321186</c:v>
                </c:pt>
                <c:pt idx="8">
                  <c:v>0.5990996200330938</c:v>
                </c:pt>
                <c:pt idx="9">
                  <c:v>0.62872719606411998</c:v>
                </c:pt>
                <c:pt idx="10">
                  <c:v>0.42292711348092443</c:v>
                </c:pt>
                <c:pt idx="11">
                  <c:v>0.4976720281392556</c:v>
                </c:pt>
                <c:pt idx="12">
                  <c:v>0.53334689963273674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6-094B-BA3A-D3A5622B9864}"/>
            </c:ext>
          </c:extLst>
        </c:ser>
        <c:ser>
          <c:idx val="11"/>
          <c:order val="10"/>
          <c:tx>
            <c:strRef>
              <c:f>'aNA.pt0.33'!$F$114</c:f>
              <c:strCache>
                <c:ptCount val="1"/>
                <c:pt idx="0">
                  <c:v>swahili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'aNA.pt0.33'!$G$114:$S$114</c:f>
              <c:numCache>
                <c:formatCode>0.00</c:formatCode>
                <c:ptCount val="13"/>
                <c:pt idx="0">
                  <c:v>0.68581709053752526</c:v>
                </c:pt>
                <c:pt idx="1">
                  <c:v>0.74145566039700839</c:v>
                </c:pt>
                <c:pt idx="2">
                  <c:v>0.71101694492902545</c:v>
                </c:pt>
                <c:pt idx="3">
                  <c:v>0.68137636216635478</c:v>
                </c:pt>
                <c:pt idx="4">
                  <c:v>0.60698412972849247</c:v>
                </c:pt>
                <c:pt idx="5">
                  <c:v>0.58933774681863083</c:v>
                </c:pt>
                <c:pt idx="6">
                  <c:v>0.55512205466466147</c:v>
                </c:pt>
                <c:pt idx="7">
                  <c:v>0.63900092964276833</c:v>
                </c:pt>
                <c:pt idx="8">
                  <c:v>0.62334988506537536</c:v>
                </c:pt>
                <c:pt idx="9">
                  <c:v>0.56882540207691357</c:v>
                </c:pt>
                <c:pt idx="10">
                  <c:v>0.58255818513415492</c:v>
                </c:pt>
                <c:pt idx="11">
                  <c:v>0.55878324810365487</c:v>
                </c:pt>
                <c:pt idx="12">
                  <c:v>0.64776497675847577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06-094B-BA3A-D3A5622B9864}"/>
            </c:ext>
          </c:extLst>
        </c:ser>
        <c:ser>
          <c:idx val="10"/>
          <c:order val="11"/>
          <c:tx>
            <c:strRef>
              <c:f>'aNA.pt0.33'!$F$115</c:f>
              <c:strCache>
                <c:ptCount val="1"/>
                <c:pt idx="0">
                  <c:v>turkish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'aNA.pt0.33'!$G$1:$S$1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'aNA.pt0.33'!$G$115:$S$115</c:f>
              <c:numCache>
                <c:formatCode>0.00</c:formatCode>
                <c:ptCount val="13"/>
                <c:pt idx="0">
                  <c:v>0.72977826461598083</c:v>
                </c:pt>
                <c:pt idx="1">
                  <c:v>0.6552091426136869</c:v>
                </c:pt>
                <c:pt idx="2">
                  <c:v>0.66844665802135783</c:v>
                </c:pt>
                <c:pt idx="3">
                  <c:v>0.73923550334234778</c:v>
                </c:pt>
                <c:pt idx="4">
                  <c:v>0.71890253078303523</c:v>
                </c:pt>
                <c:pt idx="5">
                  <c:v>0.63897962034950651</c:v>
                </c:pt>
                <c:pt idx="6">
                  <c:v>0.65106927774786783</c:v>
                </c:pt>
                <c:pt idx="7">
                  <c:v>0.78943679350762164</c:v>
                </c:pt>
                <c:pt idx="8">
                  <c:v>0.60913105576170989</c:v>
                </c:pt>
                <c:pt idx="9">
                  <c:v>0.60184113912865811</c:v>
                </c:pt>
                <c:pt idx="10">
                  <c:v>0.90839617477685086</c:v>
                </c:pt>
                <c:pt idx="11">
                  <c:v>0.90929944256477757</c:v>
                </c:pt>
                <c:pt idx="12">
                  <c:v>0.50863745156503459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70-1346-ADFB-B1A9B6FF6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005344"/>
        <c:axId val="2135655616"/>
      </c:lineChart>
      <c:catAx>
        <c:axId val="21350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655616"/>
        <c:crosses val="autoZero"/>
        <c:auto val="1"/>
        <c:lblAlgn val="ctr"/>
        <c:lblOffset val="100"/>
        <c:noMultiLvlLbl val="0"/>
      </c:catAx>
      <c:valAx>
        <c:axId val="2135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0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895350</xdr:colOff>
      <xdr:row>114</xdr:row>
      <xdr:rowOff>342898</xdr:rowOff>
    </xdr:from>
    <xdr:to>
      <xdr:col>24</xdr:col>
      <xdr:colOff>897350</xdr:colOff>
      <xdr:row>123</xdr:row>
      <xdr:rowOff>153898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E0F10-1F44-87D6-9469-8DE2AB2D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863600</xdr:colOff>
      <xdr:row>102</xdr:row>
      <xdr:rowOff>184147</xdr:rowOff>
    </xdr:from>
    <xdr:to>
      <xdr:col>25</xdr:col>
      <xdr:colOff>866100</xdr:colOff>
      <xdr:row>111</xdr:row>
      <xdr:rowOff>355147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937A4-89BF-0CEC-A1FB-25B75627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T85" totalsRowShown="0">
  <autoFilter ref="A1:T85" xr:uid="{CFFBF5C2-C562-4A4E-B95B-091D1721BBE3}"/>
  <tableColumns count="20">
    <tableColumn id="1" xr3:uid="{B965C989-233C-BA49-B251-382897A2BABE}" name="lang">
      <calculatedColumnFormula>_xlfn.LET(_xlpm.c,$F2,_xlfn.TEXTBEFORE(_xlpm.c,"-"))</calculatedColumnFormula>
    </tableColumn>
    <tableColumn id="13" xr3:uid="{F3AD09D6-DEE4-004B-9353-31CAC865BD48}" name="1g" dataDxfId="17">
      <calculatedColumnFormula>_xlfn.LET(_xlpm.c,_xlfn.SINGLE(Table1[condition]),IF(RIGHT(_xlpm.c,2)="1g",1,0))</calculatedColumnFormula>
    </tableColumn>
    <tableColumn id="18" xr3:uid="{6A766CD9-CC08-B048-BDB2-C5B6C8FBAC9E}" name="xsk" dataDxfId="16">
      <calculatedColumnFormula>_xlfn.LET(_xlpm.c,_xlfn.SINGLE(Table1[condition]),_xlpm.k,CONCATENATE("*","-xsk","*"),IF(COUNTIF(_xlpm.c,_xlpm.k)&gt;0,1,0))</calculatedColumnFormula>
    </tableColumn>
    <tableColumn id="19" xr3:uid="{70CABA00-98B5-654F-8AF7-EF28D5D5FFAE}" name="sk" dataDxfId="15">
      <calculatedColumnFormula>_xlfn.LET(_xlpm.c,_xlfn.SINGLE(Table1[condition]),_xlpm.k,CONCATENATE("*","-sk","*"),IF(COUNTIF(_xlpm.c,_xlpm.k)&gt;0,1,0))</calculatedColumnFormula>
    </tableColumn>
    <tableColumn id="20" xr3:uid="{1055BC00-75EE-C949-95C7-47A8186D731F}" name="norm" dataDxfId="14">
      <calculatedColumnFormula>IF(AND(Table1[[#This Row],[xsk]]=1,Table1[[#This Row],[sk]]=1),0,1)</calculatedColumnFormula>
    </tableColumn>
    <tableColumn id="12" xr3:uid="{67CADDAA-63EE-5F45-989C-A240EB19AD7C}" name="condition"/>
    <tableColumn id="2" xr3:uid="{E49E0B59-37B0-284D-BE77-40B5319AB755}" name="3" dataDxfId="13"/>
    <tableColumn id="3" xr3:uid="{12F044D8-6B04-8146-9059-0DD6BE8C153F}" name="4" dataDxfId="12"/>
    <tableColumn id="4" xr3:uid="{28314014-34F8-EF4B-AF7B-FC88FF8A6DA9}" name="5" dataDxfId="11"/>
    <tableColumn id="5" xr3:uid="{0BD4A703-F893-784A-B65E-DB2D1E798103}" name="6" dataDxfId="10"/>
    <tableColumn id="6" xr3:uid="{50D9F421-0114-CF41-9767-B830E35DC34D}" name="7" dataDxfId="9"/>
    <tableColumn id="7" xr3:uid="{E0DD0445-0346-1E47-9A2C-83486C4A03C4}" name="8" dataDxfId="8"/>
    <tableColumn id="8" xr3:uid="{5556115A-B62B-C140-944D-BADBB061EBB5}" name="9" dataDxfId="7"/>
    <tableColumn id="9" xr3:uid="{1B92E407-F94E-544F-B76D-B160EB3BC0AB}" name="10" dataDxfId="6"/>
    <tableColumn id="15" xr3:uid="{CA9D90BA-009C-464D-BE92-0011909FDA2B}" name="11" dataDxfId="5"/>
    <tableColumn id="10" xr3:uid="{6871B4E2-64FC-EF4F-91D7-DFBFD9EFB3C2}" name="12" dataDxfId="4"/>
    <tableColumn id="16" xr3:uid="{940501F9-5D71-6942-A362-A269C3BC407F}" name="13" dataDxfId="3"/>
    <tableColumn id="17" xr3:uid="{50A93E03-F3FA-1141-B60E-E238694C2C39}" name="14" dataDxfId="2"/>
    <tableColumn id="11" xr3:uid="{059EBDD8-5269-D041-AFDD-56AB88BB8F27}" name="15" dataDxfId="1"/>
    <tableColumn id="14" xr3:uid="{C3D92A6B-91A7-7248-A813-2D0B01CBD1F8}" name="average" dataDxfId="0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T121"/>
  <sheetViews>
    <sheetView tabSelected="1" workbookViewId="0">
      <pane xSplit="9080" ySplit="3520" topLeftCell="F102" activePane="topRight"/>
      <selection activeCell="F2" sqref="F2:F85"/>
      <selection pane="topRight" activeCell="S2" sqref="S2:S85"/>
      <selection pane="bottomLeft" activeCell="A115" sqref="A115"/>
      <selection pane="bottomRight" activeCell="F108" sqref="F108"/>
    </sheetView>
  </sheetViews>
  <sheetFormatPr baseColWidth="10" defaultRowHeight="30" customHeight="1"/>
  <cols>
    <col min="1" max="1" width="9.25" customWidth="1"/>
    <col min="2" max="5" width="7.5" customWidth="1"/>
    <col min="6" max="6" width="14.25" customWidth="1"/>
    <col min="7" max="20" width="5.625" customWidth="1"/>
  </cols>
  <sheetData>
    <row r="1" spans="1:20" ht="30" customHeight="1">
      <c r="A1" t="s">
        <v>36</v>
      </c>
      <c r="B1" t="s">
        <v>43</v>
      </c>
      <c r="C1" t="s">
        <v>49</v>
      </c>
      <c r="D1" t="s">
        <v>50</v>
      </c>
      <c r="E1" t="s">
        <v>51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46</v>
      </c>
      <c r="P1" t="s">
        <v>9</v>
      </c>
      <c r="Q1" t="s">
        <v>47</v>
      </c>
      <c r="R1" t="s">
        <v>48</v>
      </c>
      <c r="S1" t="s">
        <v>10</v>
      </c>
      <c r="T1" t="s">
        <v>45</v>
      </c>
    </row>
    <row r="2" spans="1:20" ht="30" customHeight="1">
      <c r="A2" t="str">
        <f>_xlfn.LET(_xlpm.c,$F2,_xlfn.TEXTBEFORE(_xlpm.c,"-"))</f>
        <v>arabic</v>
      </c>
      <c r="B2">
        <f>_xlfn.LET(_xlpm.c,_xlfn.SINGLE(Table1[condition]),IF(RIGHT(_xlpm.c,2)="1g",1,0))</f>
        <v>1</v>
      </c>
      <c r="C2">
        <f>_xlfn.LET(_xlpm.c,_xlfn.SINGLE(Table1[condition]),_xlpm.k,CONCATENATE("*","-xsk","*"),IF(COUNTIF(_xlpm.c,_xlpm.k)&gt;0,1,0))</f>
        <v>0</v>
      </c>
      <c r="D2">
        <f>_xlfn.LET(_xlpm.c,_xlfn.SINGLE(Table1[condition]),_xlpm.k,CONCATENATE("*","-sk","*"),IF(COUNTIF(_xlpm.c,_xlpm.k)&gt;0,1,0))</f>
        <v>0</v>
      </c>
      <c r="E2">
        <f>IF(AND(Table1[[#This Row],[xsk]]=1,Table1[[#This Row],[sk]]=1),0,1)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85" si="0">_xlfn.LET(_xlpm.d,$G2:$S2,AVERAGE(_xlpm.d))</f>
        <v>1</v>
      </c>
    </row>
    <row r="3" spans="1:20" ht="30" customHeight="1">
      <c r="A3" t="str">
        <f t="shared" ref="A3:A70" si="1">_xlfn.LET(_xlpm.c,$F3,_xlfn.TEXTBEFORE(_xlpm.c,"-"))</f>
        <v>arabic</v>
      </c>
      <c r="B3">
        <f>_xlfn.LET(_xlpm.c,_xlfn.SINGLE(Table1[condition]),IF(RIGHT(_xlpm.c,2)="1g",1,0))</f>
        <v>0</v>
      </c>
      <c r="C3">
        <f>_xlfn.LET(_xlpm.c,_xlfn.SINGLE(Table1[condition]),_xlpm.k,CONCATENATE("*","-xsk","*"),IF(COUNTIF(_xlpm.c,_xlpm.k)&gt;0,1,0))</f>
        <v>0</v>
      </c>
      <c r="D3">
        <f>_xlfn.LET(_xlpm.c,_xlfn.SINGLE(Table1[condition]),_xlpm.k,CONCATENATE("*","-sk","*"),IF(COUNTIF(_xlpm.c,_xlpm.k)&gt;0,1,0))</f>
        <v>0</v>
      </c>
      <c r="E3">
        <f>IF(AND(Table1[[#This Row],[xsk]]=1,Table1[[#This Row],[sk]]=1),0,1)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70" si="2">_xlfn.LET(_xlpm.d,$G3:$S3,AVERAGE(_xlpm.d))</f>
        <v>1</v>
      </c>
    </row>
    <row r="4" spans="1:20" ht="30" customHeight="1">
      <c r="A4" t="str">
        <f t="shared" ref="A4:A39" si="3">_xlfn.LET(_xlpm.c,$F4,_xlfn.TEXTBEFORE(_xlpm.c,"-"))</f>
        <v>arabic</v>
      </c>
      <c r="B4">
        <f>_xlfn.LET(_xlpm.c,_xlfn.SINGLE(Table1[condition]),IF(RIGHT(_xlpm.c,2)="1g",1,0))</f>
        <v>0</v>
      </c>
      <c r="C4">
        <f>_xlfn.LET(_xlpm.c,_xlfn.SINGLE(Table1[condition]),_xlpm.k,CONCATENATE("*","-xsk","*"),IF(COUNTIF(_xlpm.c,_xlpm.k)&gt;0,1,0))</f>
        <v>0</v>
      </c>
      <c r="D4">
        <f>_xlfn.LET(_xlpm.c,_xlfn.SINGLE(Table1[condition]),_xlpm.k,CONCATENATE("*","-sk","*"),IF(COUNTIF(_xlpm.c,_xlpm.k)&gt;0,1,0))</f>
        <v>0</v>
      </c>
      <c r="E4">
        <f>IF(AND(Table1[[#This Row],[xsk]]=1,Table1[[#This Row],[sk]]=1),0,1)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ref="T4:T39" si="4">_xlfn.LET(_xlpm.d,$G4:$S4,AVERAGE(_xlpm.d))</f>
        <v>1</v>
      </c>
    </row>
    <row r="5" spans="1:20" ht="30" customHeight="1">
      <c r="A5" t="str">
        <f t="shared" si="3"/>
        <v>arabic</v>
      </c>
      <c r="B5">
        <f>_xlfn.LET(_xlpm.c,_xlfn.SINGLE(Table1[condition]),IF(RIGHT(_xlpm.c,2)="1g",1,0))</f>
        <v>0</v>
      </c>
      <c r="C5">
        <f>_xlfn.LET(_xlpm.c,_xlfn.SINGLE(Table1[condition]),_xlpm.k,CONCATENATE("*","-xsk","*"),IF(COUNTIF(_xlpm.c,_xlpm.k)&gt;0,1,0))</f>
        <v>0</v>
      </c>
      <c r="D5">
        <f>_xlfn.LET(_xlpm.c,_xlfn.SINGLE(Table1[condition]),_xlpm.k,CONCATENATE("*","-sk","*"),IF(COUNTIF(_xlpm.c,_xlpm.k)&gt;0,1,0))</f>
        <v>1</v>
      </c>
      <c r="E5">
        <f>IF(AND(Table1[[#This Row],[xsk]]=1,Table1[[#This Row],[sk]]=1),0,1)</f>
        <v>1</v>
      </c>
      <c r="F5" t="s">
        <v>14</v>
      </c>
      <c r="G5" s="1">
        <v>1</v>
      </c>
      <c r="H5" s="1">
        <v>0.98211757727731097</v>
      </c>
      <c r="I5" s="1">
        <v>1</v>
      </c>
      <c r="J5" s="1">
        <v>1</v>
      </c>
      <c r="K5" s="1">
        <v>1</v>
      </c>
      <c r="L5" s="1">
        <v>0.92168837284602201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f t="shared" si="4"/>
        <v>0.99260045770179484</v>
      </c>
    </row>
    <row r="6" spans="1:20" ht="30" customHeight="1">
      <c r="A6" t="str">
        <f t="shared" si="3"/>
        <v>arabic</v>
      </c>
      <c r="B6">
        <f>_xlfn.LET(_xlpm.c,_xlfn.SINGLE(Table1[condition]),IF(RIGHT(_xlpm.c,2)="1g",1,0))</f>
        <v>0</v>
      </c>
      <c r="C6">
        <f>_xlfn.LET(_xlpm.c,_xlfn.SINGLE(Table1[condition]),_xlpm.k,CONCATENATE("*","-xsk","*"),IF(COUNTIF(_xlpm.c,_xlpm.k)&gt;0,1,0))</f>
        <v>0</v>
      </c>
      <c r="D6">
        <f>_xlfn.LET(_xlpm.c,_xlfn.SINGLE(Table1[condition]),_xlpm.k,CONCATENATE("*","-sk","*"),IF(COUNTIF(_xlpm.c,_xlpm.k)&gt;0,1,0))</f>
        <v>1</v>
      </c>
      <c r="E6">
        <f>IF(AND(Table1[[#This Row],[xsk]]=1,Table1[[#This Row],[sk]]=1),0,1)</f>
        <v>1</v>
      </c>
      <c r="F6" t="s">
        <v>15</v>
      </c>
      <c r="G6" s="1">
        <v>1</v>
      </c>
      <c r="H6" s="1">
        <v>1</v>
      </c>
      <c r="I6" s="1">
        <v>1</v>
      </c>
      <c r="J6" s="1">
        <v>1</v>
      </c>
      <c r="K6" s="1">
        <v>0.98241274700324899</v>
      </c>
      <c r="L6" s="1">
        <v>1</v>
      </c>
      <c r="M6" s="1">
        <v>1</v>
      </c>
      <c r="N6" s="1">
        <v>1</v>
      </c>
      <c r="O6" s="1">
        <v>0.89108280031269105</v>
      </c>
      <c r="P6" s="1">
        <v>0.92684692956148895</v>
      </c>
      <c r="Q6" s="1">
        <v>1</v>
      </c>
      <c r="R6" s="1">
        <v>1</v>
      </c>
      <c r="S6" s="1">
        <v>1</v>
      </c>
      <c r="T6" s="1">
        <f t="shared" si="4"/>
        <v>0.98464172899057145</v>
      </c>
    </row>
    <row r="7" spans="1:20" ht="30" customHeight="1">
      <c r="A7" t="str">
        <f t="shared" si="3"/>
        <v>arabic</v>
      </c>
      <c r="B7">
        <f>_xlfn.LET(_xlpm.c,_xlfn.SINGLE(Table1[condition]),IF(RIGHT(_xlpm.c,2)="1g",1,0))</f>
        <v>0</v>
      </c>
      <c r="C7">
        <f>_xlfn.LET(_xlpm.c,_xlfn.SINGLE(Table1[condition]),_xlpm.k,CONCATENATE("*","-xsk","*"),IF(COUNTIF(_xlpm.c,_xlpm.k)&gt;0,1,0))</f>
        <v>1</v>
      </c>
      <c r="D7">
        <f>_xlfn.LET(_xlpm.c,_xlfn.SINGLE(Table1[condition]),_xlpm.k,CONCATENATE("*","-sk","*"),IF(COUNTIF(_xlpm.c,_xlpm.k)&gt;0,1,0))</f>
        <v>0</v>
      </c>
      <c r="E7">
        <f>IF(AND(Table1[[#This Row],[xsk]]=1,Table1[[#This Row],[sk]]=1),0,1)</f>
        <v>1</v>
      </c>
      <c r="F7" t="s">
        <v>52</v>
      </c>
      <c r="G7" s="1">
        <v>1</v>
      </c>
      <c r="H7" s="1">
        <v>1</v>
      </c>
      <c r="I7" s="1">
        <v>0.984745890435473</v>
      </c>
      <c r="J7" s="1">
        <v>0.99459333055661703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0.99076293071321797</v>
      </c>
      <c r="S7" s="1">
        <v>0.97230954265343095</v>
      </c>
      <c r="T7" s="1">
        <f t="shared" si="4"/>
        <v>0.99557013033528763</v>
      </c>
    </row>
    <row r="8" spans="1:20" ht="30" customHeight="1">
      <c r="A8" t="str">
        <f t="shared" si="3"/>
        <v>arabic</v>
      </c>
      <c r="B8">
        <f>_xlfn.LET(_xlpm.c,_xlfn.SINGLE(Table1[condition]),IF(RIGHT(_xlpm.c,2)="1g",1,0))</f>
        <v>0</v>
      </c>
      <c r="C8">
        <f>_xlfn.LET(_xlpm.c,_xlfn.SINGLE(Table1[condition]),_xlpm.k,CONCATENATE("*","-xsk","*"),IF(COUNTIF(_xlpm.c,_xlpm.k)&gt;0,1,0))</f>
        <v>1</v>
      </c>
      <c r="D8">
        <f>_xlfn.LET(_xlpm.c,_xlfn.SINGLE(Table1[condition]),_xlpm.k,CONCATENATE("*","-sk","*"),IF(COUNTIF(_xlpm.c,_xlpm.k)&gt;0,1,0))</f>
        <v>0</v>
      </c>
      <c r="E8">
        <f>IF(AND(Table1[[#This Row],[xsk]]=1,Table1[[#This Row],[sk]]=1),0,1)</f>
        <v>1</v>
      </c>
      <c r="F8" t="s">
        <v>53</v>
      </c>
      <c r="G8" s="1">
        <v>0.94936021489399902</v>
      </c>
      <c r="H8" s="1">
        <v>0.93323725315246597</v>
      </c>
      <c r="I8" s="1">
        <v>0.99179684460790796</v>
      </c>
      <c r="J8" s="1">
        <v>0.99046927060927004</v>
      </c>
      <c r="K8" s="1">
        <v>0.93625451207452004</v>
      </c>
      <c r="L8" s="1">
        <v>0.909425277928958</v>
      </c>
      <c r="M8" s="1">
        <v>0.96121074419497499</v>
      </c>
      <c r="N8" s="1">
        <v>0.91122060818916595</v>
      </c>
      <c r="O8" s="1">
        <v>0.85805660891052704</v>
      </c>
      <c r="P8" s="1">
        <v>1</v>
      </c>
      <c r="Q8" s="1">
        <v>0.98924399463254098</v>
      </c>
      <c r="R8" s="1">
        <v>0.99137610486453698</v>
      </c>
      <c r="S8" s="1">
        <v>0.96275833688742696</v>
      </c>
      <c r="T8" s="1">
        <f t="shared" si="4"/>
        <v>0.95264690545740727</v>
      </c>
    </row>
    <row r="9" spans="1:20" ht="30" customHeight="1">
      <c r="A9" t="str">
        <f t="shared" si="3"/>
        <v>english</v>
      </c>
      <c r="B9">
        <f>_xlfn.LET(_xlpm.c,_xlfn.SINGLE(Table1[condition]),IF(RIGHT(_xlpm.c,2)="1g",1,0))</f>
        <v>1</v>
      </c>
      <c r="C9">
        <f>_xlfn.LET(_xlpm.c,_xlfn.SINGLE(Table1[condition]),_xlpm.k,CONCATENATE("*","-xsk","*"),IF(COUNTIF(_xlpm.c,_xlpm.k)&gt;0,1,0))</f>
        <v>0</v>
      </c>
      <c r="D9">
        <f>_xlfn.LET(_xlpm.c,_xlfn.SINGLE(Table1[condition]),_xlpm.k,CONCATENATE("*","-sk","*"),IF(COUNTIF(_xlpm.c,_xlpm.k)&gt;0,1,0))</f>
        <v>0</v>
      </c>
      <c r="E9">
        <f>IF(AND(Table1[[#This Row],[xsk]]=1,Table1[[#This Row],[sk]]=1),0,1)</f>
        <v>1</v>
      </c>
      <c r="F9" t="s">
        <v>16</v>
      </c>
      <c r="G9" s="1">
        <v>0.81350155371642496</v>
      </c>
      <c r="H9" s="1">
        <v>0.612315900017531</v>
      </c>
      <c r="I9" s="1">
        <v>0.52965268144077604</v>
      </c>
      <c r="J9" s="1">
        <v>0.45406258235147701</v>
      </c>
      <c r="K9" s="1">
        <v>0.47207583130991099</v>
      </c>
      <c r="L9" s="1">
        <v>0.39787727296580999</v>
      </c>
      <c r="M9" s="1">
        <v>0.39324041985733199</v>
      </c>
      <c r="N9" s="1">
        <v>0.42941635856888599</v>
      </c>
      <c r="O9" s="1">
        <v>0.30932696343787902</v>
      </c>
      <c r="P9" s="1">
        <v>0.48132127056971202</v>
      </c>
      <c r="Q9" s="1">
        <v>0</v>
      </c>
      <c r="R9" s="1">
        <v>0.66666666666666596</v>
      </c>
      <c r="S9" s="1">
        <v>0</v>
      </c>
      <c r="T9" s="1">
        <f t="shared" si="4"/>
        <v>0.4276505769924927</v>
      </c>
    </row>
    <row r="10" spans="1:20" ht="30" customHeight="1">
      <c r="A10" t="str">
        <f t="shared" si="3"/>
        <v>english</v>
      </c>
      <c r="B10">
        <f>_xlfn.LET(_xlpm.c,_xlfn.SINGLE(Table1[condition]),IF(RIGHT(_xlpm.c,2)="1g",1,0))</f>
        <v>0</v>
      </c>
      <c r="C10">
        <f>_xlfn.LET(_xlpm.c,_xlfn.SINGLE(Table1[condition]),_xlpm.k,CONCATENATE("*","-xsk","*"),IF(COUNTIF(_xlpm.c,_xlpm.k)&gt;0,1,0))</f>
        <v>0</v>
      </c>
      <c r="D10">
        <f>_xlfn.LET(_xlpm.c,_xlfn.SINGLE(Table1[condition]),_xlpm.k,CONCATENATE("*","-sk","*"),IF(COUNTIF(_xlpm.c,_xlpm.k)&gt;0,1,0))</f>
        <v>0</v>
      </c>
      <c r="E10">
        <f>IF(AND(Table1[[#This Row],[xsk]]=1,Table1[[#This Row],[sk]]=1),0,1)</f>
        <v>1</v>
      </c>
      <c r="F10" t="s">
        <v>17</v>
      </c>
      <c r="G10" s="1">
        <v>0.46755560129766699</v>
      </c>
      <c r="H10" s="1">
        <v>0.48799744380688997</v>
      </c>
      <c r="I10" s="1">
        <v>0.53923538013197003</v>
      </c>
      <c r="J10" s="1">
        <v>0.39026517633019397</v>
      </c>
      <c r="K10" s="1">
        <v>0.38388150896957302</v>
      </c>
      <c r="L10" s="1">
        <v>0.36509991400500102</v>
      </c>
      <c r="M10" s="1">
        <v>0.47086260602552799</v>
      </c>
      <c r="N10" s="1">
        <v>0.32157596108736403</v>
      </c>
      <c r="O10" s="1">
        <v>0.54545454545454497</v>
      </c>
      <c r="P10" s="1">
        <v>0.6</v>
      </c>
      <c r="Q10" s="1">
        <v>0.397582774801233</v>
      </c>
      <c r="R10" s="1">
        <v>0</v>
      </c>
      <c r="S10" s="1"/>
      <c r="T10" s="1">
        <f t="shared" si="4"/>
        <v>0.41412590932583032</v>
      </c>
    </row>
    <row r="11" spans="1:20" ht="30" customHeight="1">
      <c r="A11" t="str">
        <f t="shared" si="3"/>
        <v>english</v>
      </c>
      <c r="B11">
        <f>_xlfn.LET(_xlpm.c,_xlfn.SINGLE(Table1[condition]),IF(RIGHT(_xlpm.c,2)="1g",1,0))</f>
        <v>0</v>
      </c>
      <c r="C11">
        <f>_xlfn.LET(_xlpm.c,_xlfn.SINGLE(Table1[condition]),_xlpm.k,CONCATENATE("*","-xsk","*"),IF(COUNTIF(_xlpm.c,_xlpm.k)&gt;0,1,0))</f>
        <v>0</v>
      </c>
      <c r="D11">
        <f>_xlfn.LET(_xlpm.c,_xlfn.SINGLE(Table1[condition]),_xlpm.k,CONCATENATE("*","-sk","*"),IF(COUNTIF(_xlpm.c,_xlpm.k)&gt;0,1,0))</f>
        <v>0</v>
      </c>
      <c r="E11">
        <f>IF(AND(Table1[[#This Row],[xsk]]=1,Table1[[#This Row],[sk]]=1),0,1)</f>
        <v>1</v>
      </c>
      <c r="F11" t="s">
        <v>18</v>
      </c>
      <c r="G11" s="1">
        <v>0.438040744192637</v>
      </c>
      <c r="H11" s="1">
        <v>0.43175118842768001</v>
      </c>
      <c r="I11" s="1">
        <v>0.333711591921724</v>
      </c>
      <c r="J11" s="1"/>
      <c r="K11" s="1">
        <v>0.45639907559107201</v>
      </c>
      <c r="L11" s="1">
        <v>0.38493303066845003</v>
      </c>
      <c r="M11" s="1">
        <v>0.46466668902073899</v>
      </c>
      <c r="N11" s="1">
        <v>0.50087108278322301</v>
      </c>
      <c r="O11" s="1">
        <v>0</v>
      </c>
      <c r="P11" s="1">
        <v>0</v>
      </c>
      <c r="Q11" s="1">
        <v>0</v>
      </c>
      <c r="R11" s="1"/>
      <c r="S11" s="1"/>
      <c r="T11" s="1">
        <f t="shared" si="4"/>
        <v>0.30103734026055251</v>
      </c>
    </row>
    <row r="12" spans="1:20" ht="30" customHeight="1">
      <c r="A12" t="str">
        <f t="shared" si="3"/>
        <v>english</v>
      </c>
      <c r="B12">
        <f>_xlfn.LET(_xlpm.c,_xlfn.SINGLE(Table1[condition]),IF(RIGHT(_xlpm.c,2)="1g",1,0))</f>
        <v>0</v>
      </c>
      <c r="C12">
        <f>_xlfn.LET(_xlpm.c,_xlfn.SINGLE(Table1[condition]),_xlpm.k,CONCATENATE("*","-xsk","*"),IF(COUNTIF(_xlpm.c,_xlpm.k)&gt;0,1,0))</f>
        <v>0</v>
      </c>
      <c r="D12">
        <f>_xlfn.LET(_xlpm.c,_xlfn.SINGLE(Table1[condition]),_xlpm.k,CONCATENATE("*","-sk","*"),IF(COUNTIF(_xlpm.c,_xlpm.k)&gt;0,1,0))</f>
        <v>1</v>
      </c>
      <c r="E12">
        <f>IF(AND(Table1[[#This Row],[xsk]]=1,Table1[[#This Row],[sk]]=1),0,1)</f>
        <v>1</v>
      </c>
      <c r="F12" t="s">
        <v>19</v>
      </c>
      <c r="G12" s="1">
        <v>0.62838033941465199</v>
      </c>
      <c r="H12" s="1">
        <v>0.45301547710981199</v>
      </c>
      <c r="I12" s="1">
        <v>0.558806706004078</v>
      </c>
      <c r="J12" s="1">
        <v>0.55646482830926103</v>
      </c>
      <c r="K12" s="1">
        <v>0.52227515878569097</v>
      </c>
      <c r="L12" s="1">
        <v>0</v>
      </c>
      <c r="M12" s="1">
        <v>0.53853513287214105</v>
      </c>
      <c r="N12" s="1">
        <v>0.33916639195868697</v>
      </c>
      <c r="O12" s="1">
        <v>0.56169635558731601</v>
      </c>
      <c r="P12" s="1">
        <v>0</v>
      </c>
      <c r="Q12" s="1">
        <v>0.5</v>
      </c>
      <c r="R12" s="1">
        <v>0.61538461538461497</v>
      </c>
      <c r="S12" s="1">
        <v>0</v>
      </c>
      <c r="T12" s="1">
        <f t="shared" si="4"/>
        <v>0.40567115426355793</v>
      </c>
    </row>
    <row r="13" spans="1:20" ht="30" customHeight="1">
      <c r="A13" t="str">
        <f t="shared" si="3"/>
        <v>english</v>
      </c>
      <c r="B13">
        <f>_xlfn.LET(_xlpm.c,_xlfn.SINGLE(Table1[condition]),IF(RIGHT(_xlpm.c,2)="1g",1,0))</f>
        <v>0</v>
      </c>
      <c r="C13">
        <f>_xlfn.LET(_xlpm.c,_xlfn.SINGLE(Table1[condition]),_xlpm.k,CONCATENATE("*","-xsk","*"),IF(COUNTIF(_xlpm.c,_xlpm.k)&gt;0,1,0))</f>
        <v>0</v>
      </c>
      <c r="D13">
        <f>_xlfn.LET(_xlpm.c,_xlfn.SINGLE(Table1[condition]),_xlpm.k,CONCATENATE("*","-sk","*"),IF(COUNTIF(_xlpm.c,_xlpm.k)&gt;0,1,0))</f>
        <v>1</v>
      </c>
      <c r="E13">
        <f>IF(AND(Table1[[#This Row],[xsk]]=1,Table1[[#This Row],[sk]]=1),0,1)</f>
        <v>1</v>
      </c>
      <c r="F13" t="s">
        <v>20</v>
      </c>
      <c r="G13" s="1">
        <v>0.51114129482347403</v>
      </c>
      <c r="H13" s="1">
        <v>0.60060738070014097</v>
      </c>
      <c r="I13" s="1">
        <v>0.55245955834757998</v>
      </c>
      <c r="J13" s="1">
        <v>0.57853302962603304</v>
      </c>
      <c r="K13" s="1">
        <v>0.45405391251646099</v>
      </c>
      <c r="L13" s="1">
        <v>0.48015600024911498</v>
      </c>
      <c r="M13" s="1">
        <v>0.5</v>
      </c>
      <c r="N13" s="1">
        <v>0</v>
      </c>
      <c r="O13" s="1">
        <v>0.50098213458980301</v>
      </c>
      <c r="P13" s="1">
        <v>0.51355277154550805</v>
      </c>
      <c r="Q13" s="1">
        <v>0.42705098312484202</v>
      </c>
      <c r="R13" s="1">
        <v>0</v>
      </c>
      <c r="S13" s="1">
        <v>0.374665715643833</v>
      </c>
      <c r="T13" s="1">
        <f t="shared" si="4"/>
        <v>0.42255406008975316</v>
      </c>
    </row>
    <row r="14" spans="1:20" ht="30" customHeight="1">
      <c r="A14" t="str">
        <f t="shared" si="3"/>
        <v>english</v>
      </c>
      <c r="B14">
        <f>_xlfn.LET(_xlpm.c,_xlfn.SINGLE(Table1[condition]),IF(RIGHT(_xlpm.c,2)="1g",1,0))</f>
        <v>0</v>
      </c>
      <c r="C14">
        <f>_xlfn.LET(_xlpm.c,_xlfn.SINGLE(Table1[condition]),_xlpm.k,CONCATENATE("*","-xsk","*"),IF(COUNTIF(_xlpm.c,_xlpm.k)&gt;0,1,0))</f>
        <v>1</v>
      </c>
      <c r="D14">
        <f>_xlfn.LET(_xlpm.c,_xlfn.SINGLE(Table1[condition]),_xlpm.k,CONCATENATE("*","-sk","*"),IF(COUNTIF(_xlpm.c,_xlpm.k)&gt;0,1,0))</f>
        <v>0</v>
      </c>
      <c r="E14">
        <f>IF(AND(Table1[[#This Row],[xsk]]=1,Table1[[#This Row],[sk]]=1),0,1)</f>
        <v>1</v>
      </c>
      <c r="F14" t="s">
        <v>54</v>
      </c>
      <c r="G14" s="1">
        <v>0.69623446967435199</v>
      </c>
      <c r="H14" s="1">
        <v>0.65194327250151896</v>
      </c>
      <c r="I14" s="1">
        <v>0.42489905817766299</v>
      </c>
      <c r="J14" s="1">
        <v>0.37808416706203002</v>
      </c>
      <c r="K14" s="1">
        <v>0.26076959588689202</v>
      </c>
      <c r="L14" s="1">
        <v>0.236277299818833</v>
      </c>
      <c r="M14" s="1">
        <v>0.66900179424898198</v>
      </c>
      <c r="N14" s="1">
        <v>0.41359819583652002</v>
      </c>
      <c r="O14" s="1">
        <v>0.33519153264372598</v>
      </c>
      <c r="P14" s="1">
        <v>0.62002744784047803</v>
      </c>
      <c r="Q14" s="1">
        <v>0.27485827193194101</v>
      </c>
      <c r="R14" s="1">
        <v>0.48205963309769001</v>
      </c>
      <c r="S14" s="1">
        <v>0.45510064369158298</v>
      </c>
      <c r="T14" s="1">
        <f t="shared" si="4"/>
        <v>0.45369579864709297</v>
      </c>
    </row>
    <row r="15" spans="1:20" ht="30" customHeight="1">
      <c r="A15" t="str">
        <f t="shared" si="3"/>
        <v>english</v>
      </c>
      <c r="B15">
        <f>_xlfn.LET(_xlpm.c,_xlfn.SINGLE(Table1[condition]),IF(RIGHT(_xlpm.c,2)="1g",1,0))</f>
        <v>0</v>
      </c>
      <c r="C15">
        <f>_xlfn.LET(_xlpm.c,_xlfn.SINGLE(Table1[condition]),_xlpm.k,CONCATENATE("*","-xsk","*"),IF(COUNTIF(_xlpm.c,_xlpm.k)&gt;0,1,0))</f>
        <v>1</v>
      </c>
      <c r="D15">
        <f>_xlfn.LET(_xlpm.c,_xlfn.SINGLE(Table1[condition]),_xlpm.k,CONCATENATE("*","-sk","*"),IF(COUNTIF(_xlpm.c,_xlpm.k)&gt;0,1,0))</f>
        <v>0</v>
      </c>
      <c r="E15">
        <f>IF(AND(Table1[[#This Row],[xsk]]=1,Table1[[#This Row],[sk]]=1),0,1)</f>
        <v>1</v>
      </c>
      <c r="F15" t="s">
        <v>55</v>
      </c>
      <c r="G15" s="1">
        <v>0.55144275800184395</v>
      </c>
      <c r="H15" s="1">
        <v>0.54935969067675505</v>
      </c>
      <c r="I15" s="1">
        <v>0.52880882121380801</v>
      </c>
      <c r="J15" s="1">
        <v>0.50766170289746104</v>
      </c>
      <c r="K15" s="1">
        <v>0.35622658300556798</v>
      </c>
      <c r="L15" s="1">
        <v>0.25581692261745298</v>
      </c>
      <c r="M15" s="1">
        <v>0.40352181163637901</v>
      </c>
      <c r="N15" s="1">
        <v>0.29224177142055902</v>
      </c>
      <c r="O15" s="1">
        <v>0.204933992821561</v>
      </c>
      <c r="P15" s="1">
        <v>0.34721406510990799</v>
      </c>
      <c r="Q15" s="1">
        <v>0.355241601065797</v>
      </c>
      <c r="R15" s="1">
        <v>0.36082872072357802</v>
      </c>
      <c r="S15" s="1">
        <v>0.28616340493398101</v>
      </c>
      <c r="T15" s="1">
        <f t="shared" si="4"/>
        <v>0.3845739881634348</v>
      </c>
    </row>
    <row r="16" spans="1:20" ht="30" customHeight="1">
      <c r="A16" t="str">
        <f t="shared" si="3"/>
        <v>french</v>
      </c>
      <c r="B16">
        <f>_xlfn.LET(_xlpm.c,_xlfn.SINGLE(Table1[condition]),IF(RIGHT(_xlpm.c,2)="1g",1,0))</f>
        <v>1</v>
      </c>
      <c r="C16">
        <f>_xlfn.LET(_xlpm.c,_xlfn.SINGLE(Table1[condition]),_xlpm.k,CONCATENATE("*","-xsk","*"),IF(COUNTIF(_xlpm.c,_xlpm.k)&gt;0,1,0))</f>
        <v>0</v>
      </c>
      <c r="D16">
        <f>_xlfn.LET(_xlpm.c,_xlfn.SINGLE(Table1[condition]),_xlpm.k,CONCATENATE("*","-sk","*"),IF(COUNTIF(_xlpm.c,_xlpm.k)&gt;0,1,0))</f>
        <v>0</v>
      </c>
      <c r="E16">
        <f>IF(AND(Table1[[#This Row],[xsk]]=1,Table1[[#This Row],[sk]]=1),0,1)</f>
        <v>1</v>
      </c>
      <c r="F16" t="s">
        <v>21</v>
      </c>
      <c r="G16" s="1">
        <v>0.881125805376065</v>
      </c>
      <c r="H16" s="1">
        <v>0.73205080756887697</v>
      </c>
      <c r="I16" s="1">
        <v>0.48186527980512001</v>
      </c>
      <c r="J16" s="1">
        <v>0.88888888888888895</v>
      </c>
      <c r="K16" s="1">
        <v>0.49173372686622602</v>
      </c>
      <c r="L16" s="1">
        <v>0.40563293554584801</v>
      </c>
      <c r="M16" s="1">
        <v>0.29840233976171898</v>
      </c>
      <c r="N16" s="1">
        <v>0.34025269458117802</v>
      </c>
      <c r="O16" s="1">
        <v>0.55599475325641501</v>
      </c>
      <c r="P16" s="1"/>
      <c r="Q16" s="1">
        <v>0.43534441725476403</v>
      </c>
      <c r="R16" s="1">
        <v>0.32749814844607</v>
      </c>
      <c r="S16" s="1">
        <v>0</v>
      </c>
      <c r="T16" s="1">
        <f t="shared" si="4"/>
        <v>0.48656581644593083</v>
      </c>
    </row>
    <row r="17" spans="1:20" ht="30" customHeight="1">
      <c r="A17" t="str">
        <f t="shared" si="3"/>
        <v>french</v>
      </c>
      <c r="B17">
        <f>_xlfn.LET(_xlpm.c,_xlfn.SINGLE(Table1[condition]),IF(RIGHT(_xlpm.c,2)="1g",1,0))</f>
        <v>0</v>
      </c>
      <c r="C17">
        <f>_xlfn.LET(_xlpm.c,_xlfn.SINGLE(Table1[condition]),_xlpm.k,CONCATENATE("*","-xsk","*"),IF(COUNTIF(_xlpm.c,_xlpm.k)&gt;0,1,0))</f>
        <v>0</v>
      </c>
      <c r="D17">
        <f>_xlfn.LET(_xlpm.c,_xlfn.SINGLE(Table1[condition]),_xlpm.k,CONCATENATE("*","-sk","*"),IF(COUNTIF(_xlpm.c,_xlpm.k)&gt;0,1,0))</f>
        <v>0</v>
      </c>
      <c r="E17">
        <f>IF(AND(Table1[[#This Row],[xsk]]=1,Table1[[#This Row],[sk]]=1),0,1)</f>
        <v>1</v>
      </c>
      <c r="F17" t="s">
        <v>22</v>
      </c>
      <c r="G17" s="1">
        <v>0.36290858613820698</v>
      </c>
      <c r="H17" s="1">
        <v>0.38601135428672301</v>
      </c>
      <c r="I17" s="1">
        <v>0.321636691902772</v>
      </c>
      <c r="J17" s="1">
        <v>0.33935932612560599</v>
      </c>
      <c r="K17" s="1">
        <v>0.31949919587284797</v>
      </c>
      <c r="L17" s="1">
        <v>0.57979589711327095</v>
      </c>
      <c r="M17" s="1">
        <v>0</v>
      </c>
      <c r="N17" s="1">
        <v>0</v>
      </c>
      <c r="O17" s="1">
        <v>0.29476876087741899</v>
      </c>
      <c r="P17" s="1">
        <v>0.42826312767473501</v>
      </c>
      <c r="Q17" s="1">
        <v>0.42485085817776103</v>
      </c>
      <c r="R17" s="1">
        <v>0.66666666666666596</v>
      </c>
      <c r="S17" s="1">
        <v>0.306262376415811</v>
      </c>
      <c r="T17" s="1">
        <f t="shared" si="4"/>
        <v>0.34077098778860143</v>
      </c>
    </row>
    <row r="18" spans="1:20" ht="30" customHeight="1">
      <c r="A18" t="str">
        <f t="shared" si="3"/>
        <v>french</v>
      </c>
      <c r="B18">
        <f>_xlfn.LET(_xlpm.c,_xlfn.SINGLE(Table1[condition]),IF(RIGHT(_xlpm.c,2)="1g",1,0))</f>
        <v>0</v>
      </c>
      <c r="C18">
        <f>_xlfn.LET(_xlpm.c,_xlfn.SINGLE(Table1[condition]),_xlpm.k,CONCATENATE("*","-xsk","*"),IF(COUNTIF(_xlpm.c,_xlpm.k)&gt;0,1,0))</f>
        <v>0</v>
      </c>
      <c r="D18">
        <f>_xlfn.LET(_xlpm.c,_xlfn.SINGLE(Table1[condition]),_xlpm.k,CONCATENATE("*","-sk","*"),IF(COUNTIF(_xlpm.c,_xlpm.k)&gt;0,1,0))</f>
        <v>0</v>
      </c>
      <c r="E18">
        <f>IF(AND(Table1[[#This Row],[xsk]]=1,Table1[[#This Row],[sk]]=1),0,1)</f>
        <v>1</v>
      </c>
      <c r="F18" t="s">
        <v>23</v>
      </c>
      <c r="G18" s="1">
        <v>0.53806609028058805</v>
      </c>
      <c r="H18" s="1">
        <v>0.28411743441540099</v>
      </c>
      <c r="I18" s="1">
        <v>0.23231474084364601</v>
      </c>
      <c r="J18" s="1">
        <v>0.50831053187476904</v>
      </c>
      <c r="K18" s="1"/>
      <c r="L18" s="1">
        <v>0.232688543961307</v>
      </c>
      <c r="M18" s="1">
        <v>0.46894176899096401</v>
      </c>
      <c r="N18" s="1">
        <v>0.365277166429953</v>
      </c>
      <c r="O18" s="1">
        <v>0.41612544004152502</v>
      </c>
      <c r="P18" s="1">
        <v>0.8</v>
      </c>
      <c r="Q18" s="1"/>
      <c r="R18" s="1">
        <v>0.6</v>
      </c>
      <c r="S18" s="1"/>
      <c r="T18" s="1">
        <f t="shared" si="4"/>
        <v>0.4445841716838152</v>
      </c>
    </row>
    <row r="19" spans="1:20" ht="30" customHeight="1">
      <c r="A19" t="str">
        <f t="shared" si="3"/>
        <v>french</v>
      </c>
      <c r="B19">
        <f>_xlfn.LET(_xlpm.c,_xlfn.SINGLE(Table1[condition]),IF(RIGHT(_xlpm.c,2)="1g",1,0))</f>
        <v>0</v>
      </c>
      <c r="C19">
        <f>_xlfn.LET(_xlpm.c,_xlfn.SINGLE(Table1[condition]),_xlpm.k,CONCATENATE("*","-xsk","*"),IF(COUNTIF(_xlpm.c,_xlpm.k)&gt;0,1,0))</f>
        <v>0</v>
      </c>
      <c r="D19">
        <f>_xlfn.LET(_xlpm.c,_xlfn.SINGLE(Table1[condition]),_xlpm.k,CONCATENATE("*","-sk","*"),IF(COUNTIF(_xlpm.c,_xlpm.k)&gt;0,1,0))</f>
        <v>1</v>
      </c>
      <c r="E19">
        <f>IF(AND(Table1[[#This Row],[xsk]]=1,Table1[[#This Row],[sk]]=1),0,1)</f>
        <v>1</v>
      </c>
      <c r="F19" t="s">
        <v>24</v>
      </c>
      <c r="G19" s="1">
        <v>0.59429372832157501</v>
      </c>
      <c r="H19" s="1">
        <v>0.51154243536542199</v>
      </c>
      <c r="I19" s="1">
        <v>0.47544561970765198</v>
      </c>
      <c r="J19" s="1">
        <v>0.30777056995318303</v>
      </c>
      <c r="K19" s="1">
        <v>0.45940999818028599</v>
      </c>
      <c r="L19" s="1">
        <v>0.52242260507906102</v>
      </c>
      <c r="M19" s="1">
        <v>0.49095590317767102</v>
      </c>
      <c r="N19" s="1">
        <v>0.50418909956436797</v>
      </c>
      <c r="O19" s="1">
        <v>0.50457007980990398</v>
      </c>
      <c r="P19" s="1">
        <v>0.447328756425181</v>
      </c>
      <c r="Q19" s="1">
        <v>0.45772908787509697</v>
      </c>
      <c r="R19" s="1"/>
      <c r="S19" s="1">
        <v>0.47476588763763</v>
      </c>
      <c r="T19" s="1">
        <f t="shared" si="4"/>
        <v>0.47920198092475247</v>
      </c>
    </row>
    <row r="20" spans="1:20" ht="30" customHeight="1">
      <c r="A20" t="str">
        <f t="shared" si="3"/>
        <v>french</v>
      </c>
      <c r="B20">
        <f>_xlfn.LET(_xlpm.c,_xlfn.SINGLE(Table1[condition]),IF(RIGHT(_xlpm.c,2)="1g",1,0))</f>
        <v>0</v>
      </c>
      <c r="C20">
        <f>_xlfn.LET(_xlpm.c,_xlfn.SINGLE(Table1[condition]),_xlpm.k,CONCATENATE("*","-xsk","*"),IF(COUNTIF(_xlpm.c,_xlpm.k)&gt;0,1,0))</f>
        <v>0</v>
      </c>
      <c r="D20">
        <f>_xlfn.LET(_xlpm.c,_xlfn.SINGLE(Table1[condition]),_xlpm.k,CONCATENATE("*","-sk","*"),IF(COUNTIF(_xlpm.c,_xlpm.k)&gt;0,1,0))</f>
        <v>1</v>
      </c>
      <c r="E20">
        <f>IF(AND(Table1[[#This Row],[xsk]]=1,Table1[[#This Row],[sk]]=1),0,1)</f>
        <v>1</v>
      </c>
      <c r="F20" t="s">
        <v>25</v>
      </c>
      <c r="G20" s="1">
        <v>0.65276951342651701</v>
      </c>
      <c r="H20" s="1">
        <v>0.52070952680397298</v>
      </c>
      <c r="I20" s="1">
        <v>0.47661349579602102</v>
      </c>
      <c r="J20" s="1">
        <v>0.49569332283727402</v>
      </c>
      <c r="K20" s="1">
        <v>0.51754349372267106</v>
      </c>
      <c r="L20" s="1">
        <v>0.61337332872782602</v>
      </c>
      <c r="M20" s="1">
        <v>0.467438002436736</v>
      </c>
      <c r="N20" s="1">
        <v>0.44913727620433003</v>
      </c>
      <c r="O20" s="1">
        <v>0.52649405367277402</v>
      </c>
      <c r="P20" s="1">
        <v>0.59925039997818397</v>
      </c>
      <c r="Q20" s="1">
        <v>0.32500507879933399</v>
      </c>
      <c r="R20" s="1">
        <v>0.30859086790981199</v>
      </c>
      <c r="S20" s="1">
        <v>0.35938419833720298</v>
      </c>
      <c r="T20" s="1">
        <f t="shared" si="4"/>
        <v>0.48553865835789661</v>
      </c>
    </row>
    <row r="21" spans="1:20" ht="30" customHeight="1">
      <c r="A21" t="str">
        <f t="shared" si="3"/>
        <v>french</v>
      </c>
      <c r="B21">
        <f>_xlfn.LET(_xlpm.c,_xlfn.SINGLE(Table1[condition]),IF(RIGHT(_xlpm.c,2)="1g",1,0))</f>
        <v>0</v>
      </c>
      <c r="C21">
        <f>_xlfn.LET(_xlpm.c,_xlfn.SINGLE(Table1[condition]),_xlpm.k,CONCATENATE("*","-xsk","*"),IF(COUNTIF(_xlpm.c,_xlpm.k)&gt;0,1,0))</f>
        <v>1</v>
      </c>
      <c r="D21">
        <f>_xlfn.LET(_xlpm.c,_xlfn.SINGLE(Table1[condition]),_xlpm.k,CONCATENATE("*","-sk","*"),IF(COUNTIF(_xlpm.c,_xlpm.k)&gt;0,1,0))</f>
        <v>0</v>
      </c>
      <c r="E21">
        <f>IF(AND(Table1[[#This Row],[xsk]]=1,Table1[[#This Row],[sk]]=1),0,1)</f>
        <v>1</v>
      </c>
      <c r="F21" t="s">
        <v>56</v>
      </c>
      <c r="G21" s="1">
        <v>0.477892495195822</v>
      </c>
      <c r="H21" s="1">
        <v>0.59639853060550296</v>
      </c>
      <c r="I21" s="1">
        <v>0.49340338265113998</v>
      </c>
      <c r="J21" s="1">
        <v>0.56950292589136098</v>
      </c>
      <c r="K21" s="1">
        <v>0.55891207245485797</v>
      </c>
      <c r="L21" s="1">
        <v>0.61404431587972497</v>
      </c>
      <c r="M21" s="1">
        <v>0.37681192690815402</v>
      </c>
      <c r="N21" s="1">
        <v>0.48990561500345498</v>
      </c>
      <c r="O21" s="1">
        <v>0.39399506414207103</v>
      </c>
      <c r="P21" s="1">
        <v>0.480243392869944</v>
      </c>
      <c r="Q21" s="1">
        <v>0.56142656217537701</v>
      </c>
      <c r="R21" s="1">
        <v>0.37321180222183797</v>
      </c>
      <c r="S21" s="1">
        <v>0.282385255190719</v>
      </c>
      <c r="T21" s="1">
        <f t="shared" si="4"/>
        <v>0.48216410316845898</v>
      </c>
    </row>
    <row r="22" spans="1:20" ht="30" customHeight="1">
      <c r="A22" t="str">
        <f t="shared" si="3"/>
        <v>french</v>
      </c>
      <c r="B22">
        <f>_xlfn.LET(_xlpm.c,_xlfn.SINGLE(Table1[condition]),IF(RIGHT(_xlpm.c,2)="1g",1,0))</f>
        <v>0</v>
      </c>
      <c r="C22">
        <f>_xlfn.LET(_xlpm.c,_xlfn.SINGLE(Table1[condition]),_xlpm.k,CONCATENATE("*","-xsk","*"),IF(COUNTIF(_xlpm.c,_xlpm.k)&gt;0,1,0))</f>
        <v>1</v>
      </c>
      <c r="D22">
        <f>_xlfn.LET(_xlpm.c,_xlfn.SINGLE(Table1[condition]),_xlpm.k,CONCATENATE("*","-sk","*"),IF(COUNTIF(_xlpm.c,_xlpm.k)&gt;0,1,0))</f>
        <v>0</v>
      </c>
      <c r="E22">
        <f>IF(AND(Table1[[#This Row],[xsk]]=1,Table1[[#This Row],[sk]]=1),0,1)</f>
        <v>1</v>
      </c>
      <c r="F22" t="s">
        <v>57</v>
      </c>
      <c r="G22" s="1">
        <v>0.55285660260696801</v>
      </c>
      <c r="H22" s="1">
        <v>0.67715304809045496</v>
      </c>
      <c r="I22" s="1">
        <v>0.54418347477887197</v>
      </c>
      <c r="J22" s="1">
        <v>0.53555139171371402</v>
      </c>
      <c r="K22" s="1">
        <v>0.638426526599566</v>
      </c>
      <c r="L22" s="1">
        <v>0.43520430860583798</v>
      </c>
      <c r="M22" s="1">
        <v>0.30361366606754397</v>
      </c>
      <c r="N22" s="1">
        <v>0.64165111999205005</v>
      </c>
      <c r="O22" s="1">
        <v>0.34315876847223098</v>
      </c>
      <c r="P22" s="1">
        <v>0.53472942942296298</v>
      </c>
      <c r="Q22" s="1">
        <v>0.23549354541575099</v>
      </c>
      <c r="R22" s="1">
        <v>0.37816973204986298</v>
      </c>
      <c r="S22" s="1">
        <v>0.35684110601542202</v>
      </c>
      <c r="T22" s="1">
        <f t="shared" si="4"/>
        <v>0.47515636306394138</v>
      </c>
    </row>
    <row r="23" spans="1:20" ht="30" customHeight="1">
      <c r="A23" t="str">
        <f t="shared" si="3"/>
        <v>finnish</v>
      </c>
      <c r="B23">
        <f>_xlfn.LET(_xlpm.c,_xlfn.SINGLE(Table1[condition]),IF(RIGHT(_xlpm.c,2)="1g",1,0))</f>
        <v>1</v>
      </c>
      <c r="C23">
        <f>_xlfn.LET(_xlpm.c,_xlfn.SINGLE(Table1[condition]),_xlpm.k,CONCATENATE("*","-xsk","*"),IF(COUNTIF(_xlpm.c,_xlpm.k)&gt;0,1,0))</f>
        <v>0</v>
      </c>
      <c r="D23">
        <f>_xlfn.LET(_xlpm.c,_xlfn.SINGLE(Table1[condition]),_xlpm.k,CONCATENATE("*","-sk","*"),IF(COUNTIF(_xlpm.c,_xlpm.k)&gt;0,1,0))</f>
        <v>0</v>
      </c>
      <c r="E23">
        <f>IF(AND(Table1[[#This Row],[xsk]]=1,Table1[[#This Row],[sk]]=1),0,1)</f>
        <v>1</v>
      </c>
      <c r="F23" t="s">
        <v>58</v>
      </c>
      <c r="G23" s="1">
        <v>0.69469678024293902</v>
      </c>
      <c r="H23" s="1">
        <v>0.66267857615618098</v>
      </c>
      <c r="I23" s="1">
        <v>0.83131851872919904</v>
      </c>
      <c r="J23" s="1">
        <v>0.63466360753604001</v>
      </c>
      <c r="K23" s="1">
        <v>0.42090184959695298</v>
      </c>
      <c r="L23" s="1">
        <v>0.54990189929209699</v>
      </c>
      <c r="M23" s="1">
        <v>0.74591594163351504</v>
      </c>
      <c r="N23" s="1">
        <v>0.43947421719573299</v>
      </c>
      <c r="O23" s="1">
        <v>0.56452102699614304</v>
      </c>
      <c r="P23" s="1">
        <v>0.58826496634338798</v>
      </c>
      <c r="Q23" s="1">
        <v>0.39736060726578998</v>
      </c>
      <c r="R23" s="1">
        <v>0.72</v>
      </c>
      <c r="S23" s="1">
        <v>0.49185830692947702</v>
      </c>
      <c r="T23" s="1">
        <f t="shared" si="4"/>
        <v>0.59550433060903496</v>
      </c>
    </row>
    <row r="24" spans="1:20" ht="30" customHeight="1">
      <c r="A24" t="str">
        <f t="shared" si="3"/>
        <v>finnish</v>
      </c>
      <c r="B24">
        <f>_xlfn.LET(_xlpm.c,_xlfn.SINGLE(Table1[condition]),IF(RIGHT(_xlpm.c,2)="1g",1,0))</f>
        <v>0</v>
      </c>
      <c r="C24">
        <f>_xlfn.LET(_xlpm.c,_xlfn.SINGLE(Table1[condition]),_xlpm.k,CONCATENATE("*","-xsk","*"),IF(COUNTIF(_xlpm.c,_xlpm.k)&gt;0,1,0))</f>
        <v>0</v>
      </c>
      <c r="D24">
        <f>_xlfn.LET(_xlpm.c,_xlfn.SINGLE(Table1[condition]),_xlpm.k,CONCATENATE("*","-sk","*"),IF(COUNTIF(_xlpm.c,_xlpm.k)&gt;0,1,0))</f>
        <v>0</v>
      </c>
      <c r="E24">
        <f>IF(AND(Table1[[#This Row],[xsk]]=1,Table1[[#This Row],[sk]]=1),0,1)</f>
        <v>1</v>
      </c>
      <c r="F24" t="s">
        <v>59</v>
      </c>
      <c r="G24" s="1">
        <v>0.71410887985175497</v>
      </c>
      <c r="H24" s="1">
        <v>0.67696617018204996</v>
      </c>
      <c r="I24" s="1">
        <v>0.636099552024186</v>
      </c>
      <c r="J24" s="1">
        <v>0.65041220836121605</v>
      </c>
      <c r="K24" s="1">
        <v>0.63724763101468196</v>
      </c>
      <c r="L24" s="1">
        <v>0.42994039982274201</v>
      </c>
      <c r="M24" s="1">
        <v>0.75716485681734602</v>
      </c>
      <c r="N24" s="1">
        <v>0.57399113654327205</v>
      </c>
      <c r="O24" s="1">
        <v>0.73809523809523803</v>
      </c>
      <c r="P24" s="1">
        <v>0.44516652195512801</v>
      </c>
      <c r="Q24" s="1">
        <v>0.78123081489712498</v>
      </c>
      <c r="R24" s="1">
        <v>0.689355979891764</v>
      </c>
      <c r="S24" s="1">
        <v>0.50131851782134795</v>
      </c>
      <c r="T24" s="1">
        <f t="shared" si="4"/>
        <v>0.63316137748291179</v>
      </c>
    </row>
    <row r="25" spans="1:20" ht="30" customHeight="1">
      <c r="A25" t="str">
        <f t="shared" si="3"/>
        <v>finnish</v>
      </c>
      <c r="B25">
        <f>_xlfn.LET(_xlpm.c,_xlfn.SINGLE(Table1[condition]),IF(RIGHT(_xlpm.c,2)="1g",1,0))</f>
        <v>0</v>
      </c>
      <c r="C25">
        <f>_xlfn.LET(_xlpm.c,_xlfn.SINGLE(Table1[condition]),_xlpm.k,CONCATENATE("*","-xsk","*"),IF(COUNTIF(_xlpm.c,_xlpm.k)&gt;0,1,0))</f>
        <v>0</v>
      </c>
      <c r="D25">
        <f>_xlfn.LET(_xlpm.c,_xlfn.SINGLE(Table1[condition]),_xlpm.k,CONCATENATE("*","-sk","*"),IF(COUNTIF(_xlpm.c,_xlpm.k)&gt;0,1,0))</f>
        <v>0</v>
      </c>
      <c r="E25">
        <f>IF(AND(Table1[[#This Row],[xsk]]=1,Table1[[#This Row],[sk]]=1),0,1)</f>
        <v>1</v>
      </c>
      <c r="F25" t="s">
        <v>60</v>
      </c>
      <c r="G25" s="1">
        <v>0.64712360169809302</v>
      </c>
      <c r="H25" s="1">
        <v>0.62480025350898005</v>
      </c>
      <c r="I25" s="1">
        <v>0.57743256699265599</v>
      </c>
      <c r="J25" s="1">
        <v>0.51988088270862498</v>
      </c>
      <c r="K25" s="1">
        <v>0.72618581496168499</v>
      </c>
      <c r="L25" s="1">
        <v>0.70777873572904604</v>
      </c>
      <c r="M25" s="1">
        <v>0.51465407679255604</v>
      </c>
      <c r="N25" s="1">
        <v>0.68465560993263497</v>
      </c>
      <c r="O25" s="1"/>
      <c r="P25" s="1"/>
      <c r="Q25" s="1">
        <v>0</v>
      </c>
      <c r="R25" s="1">
        <v>0</v>
      </c>
      <c r="S25" s="1">
        <v>0</v>
      </c>
      <c r="T25" s="1">
        <f t="shared" si="4"/>
        <v>0.45477377657493423</v>
      </c>
    </row>
    <row r="26" spans="1:20" ht="30" customHeight="1">
      <c r="A26" t="str">
        <f t="shared" si="3"/>
        <v>finnish</v>
      </c>
      <c r="B26">
        <f>_xlfn.LET(_xlpm.c,_xlfn.SINGLE(Table1[condition]),IF(RIGHT(_xlpm.c,2)="1g",1,0))</f>
        <v>0</v>
      </c>
      <c r="C26">
        <f>_xlfn.LET(_xlpm.c,_xlfn.SINGLE(Table1[condition]),_xlpm.k,CONCATENATE("*","-xsk","*"),IF(COUNTIF(_xlpm.c,_xlpm.k)&gt;0,1,0))</f>
        <v>0</v>
      </c>
      <c r="D26">
        <f>_xlfn.LET(_xlpm.c,_xlfn.SINGLE(Table1[condition]),_xlpm.k,CONCATENATE("*","-sk","*"),IF(COUNTIF(_xlpm.c,_xlpm.k)&gt;0,1,0))</f>
        <v>1</v>
      </c>
      <c r="E26">
        <f>IF(AND(Table1[[#This Row],[xsk]]=1,Table1[[#This Row],[sk]]=1),0,1)</f>
        <v>1</v>
      </c>
      <c r="F26" t="s">
        <v>61</v>
      </c>
      <c r="G26" s="1">
        <v>0.61415618853492104</v>
      </c>
      <c r="H26" s="1">
        <v>0.72879693643822596</v>
      </c>
      <c r="I26" s="1">
        <v>0.77557164766085196</v>
      </c>
      <c r="J26" s="1">
        <v>0.82469637704244703</v>
      </c>
      <c r="K26" s="1">
        <v>0.70442845938364196</v>
      </c>
      <c r="L26" s="1">
        <v>0.41389893978853098</v>
      </c>
      <c r="M26" s="1">
        <v>0.66997971483596197</v>
      </c>
      <c r="N26" s="1">
        <v>0.51827740204471395</v>
      </c>
      <c r="O26" s="1">
        <v>0.50581435295669797</v>
      </c>
      <c r="P26" s="1">
        <v>0.38278221853731798</v>
      </c>
      <c r="Q26" s="1">
        <v>0.56896900363484804</v>
      </c>
      <c r="R26" s="1">
        <v>0.97674418604651103</v>
      </c>
      <c r="S26" s="1">
        <v>0.57719604726266704</v>
      </c>
      <c r="T26" s="1">
        <f t="shared" si="4"/>
        <v>0.63548549801287202</v>
      </c>
    </row>
    <row r="27" spans="1:20" ht="30" customHeight="1">
      <c r="A27" t="str">
        <f t="shared" si="3"/>
        <v>finnish</v>
      </c>
      <c r="B27">
        <f>_xlfn.LET(_xlpm.c,_xlfn.SINGLE(Table1[condition]),IF(RIGHT(_xlpm.c,2)="1g",1,0))</f>
        <v>0</v>
      </c>
      <c r="C27">
        <f>_xlfn.LET(_xlpm.c,_xlfn.SINGLE(Table1[condition]),_xlpm.k,CONCATENATE("*","-xsk","*"),IF(COUNTIF(_xlpm.c,_xlpm.k)&gt;0,1,0))</f>
        <v>0</v>
      </c>
      <c r="D27">
        <f>_xlfn.LET(_xlpm.c,_xlfn.SINGLE(Table1[condition]),_xlpm.k,CONCATENATE("*","-sk","*"),IF(COUNTIF(_xlpm.c,_xlpm.k)&gt;0,1,0))</f>
        <v>1</v>
      </c>
      <c r="E27">
        <f>IF(AND(Table1[[#This Row],[xsk]]=1,Table1[[#This Row],[sk]]=1),0,1)</f>
        <v>1</v>
      </c>
      <c r="F27" t="s">
        <v>62</v>
      </c>
      <c r="G27" s="1">
        <v>0.95297501255275496</v>
      </c>
      <c r="H27" s="1">
        <v>0.64970611035015402</v>
      </c>
      <c r="I27" s="1">
        <v>0.63330925124151505</v>
      </c>
      <c r="J27" s="1">
        <v>0.72783639950817902</v>
      </c>
      <c r="K27" s="1">
        <v>0.61371631784695801</v>
      </c>
      <c r="L27" s="1">
        <v>0.49709165121032101</v>
      </c>
      <c r="M27" s="1">
        <v>0.54619443524492794</v>
      </c>
      <c r="N27" s="1">
        <v>0.65927465763673299</v>
      </c>
      <c r="O27" s="1">
        <v>0.59816577693058604</v>
      </c>
      <c r="P27" s="1">
        <v>0.74811443208986395</v>
      </c>
      <c r="Q27" s="1">
        <v>0.71333173198773003</v>
      </c>
      <c r="R27" s="1">
        <v>0.600240880893675</v>
      </c>
      <c r="S27" s="1">
        <v>0.63775463664235199</v>
      </c>
      <c r="T27" s="1">
        <f t="shared" si="4"/>
        <v>0.65982394570274994</v>
      </c>
    </row>
    <row r="28" spans="1:20" ht="30" customHeight="1">
      <c r="A28" t="str">
        <f t="shared" si="3"/>
        <v>finnish</v>
      </c>
      <c r="B28">
        <f>_xlfn.LET(_xlpm.c,_xlfn.SINGLE(Table1[condition]),IF(RIGHT(_xlpm.c,2)="1g",1,0))</f>
        <v>0</v>
      </c>
      <c r="C28">
        <f>_xlfn.LET(_xlpm.c,_xlfn.SINGLE(Table1[condition]),_xlpm.k,CONCATENATE("*","-xsk","*"),IF(COUNTIF(_xlpm.c,_xlpm.k)&gt;0,1,0))</f>
        <v>1</v>
      </c>
      <c r="D28">
        <f>_xlfn.LET(_xlpm.c,_xlfn.SINGLE(Table1[condition]),_xlpm.k,CONCATENATE("*","-sk","*"),IF(COUNTIF(_xlpm.c,_xlpm.k)&gt;0,1,0))</f>
        <v>0</v>
      </c>
      <c r="E28">
        <f>IF(AND(Table1[[#This Row],[xsk]]=1,Table1[[#This Row],[sk]]=1),0,1)</f>
        <v>1</v>
      </c>
      <c r="F28" t="s">
        <v>63</v>
      </c>
      <c r="G28" s="1">
        <v>0.79980045808024702</v>
      </c>
      <c r="H28" s="1">
        <v>0.67205060564358499</v>
      </c>
      <c r="I28" s="1">
        <v>0.75841256531600099</v>
      </c>
      <c r="J28" s="1">
        <v>0.38531663808550198</v>
      </c>
      <c r="K28" s="1">
        <v>0.799627974992978</v>
      </c>
      <c r="L28" s="1">
        <v>0.82773368071393605</v>
      </c>
      <c r="M28" s="1">
        <v>0.72621179107604805</v>
      </c>
      <c r="N28" s="1">
        <v>0.77649482024108996</v>
      </c>
      <c r="O28" s="1">
        <v>0.49329552498764301</v>
      </c>
      <c r="P28" s="1">
        <v>0.68927108918778901</v>
      </c>
      <c r="Q28" s="1">
        <v>0.57384005424871898</v>
      </c>
      <c r="R28" s="1">
        <v>0.766540283338213</v>
      </c>
      <c r="S28" s="1">
        <v>0.39982421801319101</v>
      </c>
      <c r="T28" s="1">
        <f t="shared" si="4"/>
        <v>0.66680151568653401</v>
      </c>
    </row>
    <row r="29" spans="1:20" ht="30" customHeight="1">
      <c r="A29" t="str">
        <f t="shared" si="3"/>
        <v>finnish</v>
      </c>
      <c r="B29">
        <f>_xlfn.LET(_xlpm.c,_xlfn.SINGLE(Table1[condition]),IF(RIGHT(_xlpm.c,2)="1g",1,0))</f>
        <v>0</v>
      </c>
      <c r="C29">
        <f>_xlfn.LET(_xlpm.c,_xlfn.SINGLE(Table1[condition]),_xlpm.k,CONCATENATE("*","-xsk","*"),IF(COUNTIF(_xlpm.c,_xlpm.k)&gt;0,1,0))</f>
        <v>1</v>
      </c>
      <c r="D29">
        <f>_xlfn.LET(_xlpm.c,_xlfn.SINGLE(Table1[condition]),_xlpm.k,CONCATENATE("*","-sk","*"),IF(COUNTIF(_xlpm.c,_xlpm.k)&gt;0,1,0))</f>
        <v>0</v>
      </c>
      <c r="E29">
        <f>IF(AND(Table1[[#This Row],[xsk]]=1,Table1[[#This Row],[sk]]=1),0,1)</f>
        <v>1</v>
      </c>
      <c r="F29" t="s">
        <v>64</v>
      </c>
      <c r="G29" s="1">
        <v>0.81853970395211895</v>
      </c>
      <c r="H29" s="1">
        <v>0.65213690454183504</v>
      </c>
      <c r="I29" s="1">
        <v>0.83333333333333304</v>
      </c>
      <c r="J29" s="1">
        <v>0.472696897845367</v>
      </c>
      <c r="K29" s="1">
        <v>0.70623836484885005</v>
      </c>
      <c r="L29" s="1">
        <v>0.56634337676318802</v>
      </c>
      <c r="M29" s="1">
        <v>0.69970103159178298</v>
      </c>
      <c r="N29" s="1">
        <v>0.74706217115337104</v>
      </c>
      <c r="O29" s="1">
        <v>0.597994134733705</v>
      </c>
      <c r="P29" s="1">
        <v>0.471096655175546</v>
      </c>
      <c r="Q29" s="1">
        <v>0.48720290820745299</v>
      </c>
      <c r="R29" s="1">
        <v>0.42121992496878302</v>
      </c>
      <c r="S29" s="1">
        <v>0.487321891084954</v>
      </c>
      <c r="T29" s="1">
        <f t="shared" si="4"/>
        <v>0.61237594601540668</v>
      </c>
    </row>
    <row r="30" spans="1:20" ht="30" customHeight="1">
      <c r="A30" t="str">
        <f t="shared" si="3"/>
        <v>german</v>
      </c>
      <c r="B30">
        <f>_xlfn.LET(_xlpm.c,_xlfn.SINGLE(Table1[condition]),IF(RIGHT(_xlpm.c,2)="1g",1,0))</f>
        <v>1</v>
      </c>
      <c r="C30">
        <f>_xlfn.LET(_xlpm.c,_xlfn.SINGLE(Table1[condition]),_xlpm.k,CONCATENATE("*","-xsk","*"),IF(COUNTIF(_xlpm.c,_xlpm.k)&gt;0,1,0))</f>
        <v>0</v>
      </c>
      <c r="D30">
        <f>_xlfn.LET(_xlpm.c,_xlfn.SINGLE(Table1[condition]),_xlpm.k,CONCATENATE("*","-sk","*"),IF(COUNTIF(_xlpm.c,_xlpm.k)&gt;0,1,0))</f>
        <v>0</v>
      </c>
      <c r="E30">
        <f>IF(AND(Table1[[#This Row],[xsk]]=1,Table1[[#This Row],[sk]]=1),0,1)</f>
        <v>1</v>
      </c>
      <c r="F30" t="s">
        <v>26</v>
      </c>
      <c r="G30" s="1">
        <v>0.78678391537000703</v>
      </c>
      <c r="H30" s="1">
        <v>0.87901360974287002</v>
      </c>
      <c r="I30" s="1">
        <v>0.69788684632320397</v>
      </c>
      <c r="J30" s="1">
        <v>0.61251493369921794</v>
      </c>
      <c r="K30" s="1">
        <v>0.56208123866356097</v>
      </c>
      <c r="L30" s="1">
        <v>0.50788937445821603</v>
      </c>
      <c r="M30" s="1">
        <v>0.46321744070605497</v>
      </c>
      <c r="N30" s="1">
        <v>0.61927652304421699</v>
      </c>
      <c r="O30" s="1">
        <v>0.36165604931329698</v>
      </c>
      <c r="P30" s="1">
        <v>0.60130061723129702</v>
      </c>
      <c r="Q30" s="1">
        <v>0.43657445510012199</v>
      </c>
      <c r="R30" s="1">
        <v>0.53684404819456299</v>
      </c>
      <c r="S30" s="1">
        <v>0</v>
      </c>
      <c r="T30" s="1">
        <f t="shared" si="4"/>
        <v>0.54346454244974063</v>
      </c>
    </row>
    <row r="31" spans="1:20" ht="30" customHeight="1">
      <c r="A31" t="str">
        <f t="shared" si="3"/>
        <v>german</v>
      </c>
      <c r="B31">
        <f>_xlfn.LET(_xlpm.c,_xlfn.SINGLE(Table1[condition]),IF(RIGHT(_xlpm.c,2)="1g",1,0))</f>
        <v>0</v>
      </c>
      <c r="C31">
        <f>_xlfn.LET(_xlpm.c,_xlfn.SINGLE(Table1[condition]),_xlpm.k,CONCATENATE("*","-xsk","*"),IF(COUNTIF(_xlpm.c,_xlpm.k)&gt;0,1,0))</f>
        <v>0</v>
      </c>
      <c r="D31">
        <f>_xlfn.LET(_xlpm.c,_xlfn.SINGLE(Table1[condition]),_xlpm.k,CONCATENATE("*","-sk","*"),IF(COUNTIF(_xlpm.c,_xlpm.k)&gt;0,1,0))</f>
        <v>0</v>
      </c>
      <c r="E31">
        <f>IF(AND(Table1[[#This Row],[xsk]]=1,Table1[[#This Row],[sk]]=1),0,1)</f>
        <v>1</v>
      </c>
      <c r="F31" t="s">
        <v>27</v>
      </c>
      <c r="G31" s="1">
        <v>0.57489235546435302</v>
      </c>
      <c r="H31" s="1">
        <v>0.47256111539690099</v>
      </c>
      <c r="I31" s="1">
        <v>0.353804002588823</v>
      </c>
      <c r="J31" s="1">
        <v>0.479205088680977</v>
      </c>
      <c r="K31" s="1">
        <v>0.41590130986026902</v>
      </c>
      <c r="L31" s="1">
        <v>0</v>
      </c>
      <c r="M31" s="1">
        <v>0.36967394336852599</v>
      </c>
      <c r="N31" s="1">
        <v>0</v>
      </c>
      <c r="O31" s="1">
        <v>0.570325831115714</v>
      </c>
      <c r="P31" s="1">
        <v>0.30020701357899598</v>
      </c>
      <c r="Q31" s="1">
        <v>0.35381762777785902</v>
      </c>
      <c r="R31" s="1">
        <v>0.28701392796401998</v>
      </c>
      <c r="S31" s="1">
        <v>0</v>
      </c>
      <c r="T31" s="1">
        <f t="shared" si="4"/>
        <v>0.32133863198434132</v>
      </c>
    </row>
    <row r="32" spans="1:20" ht="30" customHeight="1">
      <c r="A32" t="str">
        <f t="shared" si="3"/>
        <v>german</v>
      </c>
      <c r="B32">
        <f>_xlfn.LET(_xlpm.c,_xlfn.SINGLE(Table1[condition]),IF(RIGHT(_xlpm.c,2)="1g",1,0))</f>
        <v>0</v>
      </c>
      <c r="C32">
        <f>_xlfn.LET(_xlpm.c,_xlfn.SINGLE(Table1[condition]),_xlpm.k,CONCATENATE("*","-xsk","*"),IF(COUNTIF(_xlpm.c,_xlpm.k)&gt;0,1,0))</f>
        <v>0</v>
      </c>
      <c r="D32">
        <f>_xlfn.LET(_xlpm.c,_xlfn.SINGLE(Table1[condition]),_xlpm.k,CONCATENATE("*","-sk","*"),IF(COUNTIF(_xlpm.c,_xlpm.k)&gt;0,1,0))</f>
        <v>0</v>
      </c>
      <c r="E32">
        <f>IF(AND(Table1[[#This Row],[xsk]]=1,Table1[[#This Row],[sk]]=1),0,1)</f>
        <v>1</v>
      </c>
      <c r="F32" t="s">
        <v>28</v>
      </c>
      <c r="G32" s="1">
        <v>0.66043560279870495</v>
      </c>
      <c r="H32" s="1">
        <v>0.46946986740976998</v>
      </c>
      <c r="I32" s="1">
        <v>0.57729935436792301</v>
      </c>
      <c r="J32" s="1">
        <v>0.48301919981934099</v>
      </c>
      <c r="K32" s="1">
        <v>0.49841959275332198</v>
      </c>
      <c r="L32" s="1">
        <v>0.42343789463786602</v>
      </c>
      <c r="M32" s="1">
        <v>0.48189361775122702</v>
      </c>
      <c r="N32" s="1">
        <v>0.565033327784636</v>
      </c>
      <c r="O32" s="1">
        <v>0</v>
      </c>
      <c r="P32" s="1">
        <v>1</v>
      </c>
      <c r="Q32" s="1">
        <v>0</v>
      </c>
      <c r="R32" s="1">
        <v>0</v>
      </c>
      <c r="S32" s="1">
        <v>0.29315901906915298</v>
      </c>
      <c r="T32" s="1">
        <f t="shared" si="4"/>
        <v>0.41939749818399552</v>
      </c>
    </row>
    <row r="33" spans="1:20" ht="30" customHeight="1">
      <c r="A33" t="str">
        <f t="shared" si="3"/>
        <v>german</v>
      </c>
      <c r="B33">
        <f>_xlfn.LET(_xlpm.c,_xlfn.SINGLE(Table1[condition]),IF(RIGHT(_xlpm.c,2)="1g",1,0))</f>
        <v>0</v>
      </c>
      <c r="C33">
        <f>_xlfn.LET(_xlpm.c,_xlfn.SINGLE(Table1[condition]),_xlpm.k,CONCATENATE("*","-xsk","*"),IF(COUNTIF(_xlpm.c,_xlpm.k)&gt;0,1,0))</f>
        <v>0</v>
      </c>
      <c r="D33">
        <f>_xlfn.LET(_xlpm.c,_xlfn.SINGLE(Table1[condition]),_xlpm.k,CONCATENATE("*","-sk","*"),IF(COUNTIF(_xlpm.c,_xlpm.k)&gt;0,1,0))</f>
        <v>1</v>
      </c>
      <c r="E33">
        <f>IF(AND(Table1[[#This Row],[xsk]]=1,Table1[[#This Row],[sk]]=1),0,1)</f>
        <v>1</v>
      </c>
      <c r="F33" t="s">
        <v>29</v>
      </c>
      <c r="G33" s="1">
        <v>0.60112398770598696</v>
      </c>
      <c r="H33" s="1">
        <v>0.57430449191515898</v>
      </c>
      <c r="I33" s="1">
        <v>0.80511687394919296</v>
      </c>
      <c r="J33" s="1">
        <v>0.77090566111967196</v>
      </c>
      <c r="K33" s="1">
        <v>0.53288900289690599</v>
      </c>
      <c r="L33" s="1">
        <v>0.70680048135865103</v>
      </c>
      <c r="M33" s="1">
        <v>0.81891712637224701</v>
      </c>
      <c r="N33" s="1">
        <v>0.28630768691054798</v>
      </c>
      <c r="O33" s="1">
        <v>0.37845957603337999</v>
      </c>
      <c r="P33" s="1">
        <v>0.69169788639035501</v>
      </c>
      <c r="Q33" s="1">
        <v>0.35707436238315698</v>
      </c>
      <c r="R33" s="1">
        <v>0</v>
      </c>
      <c r="S33" s="1">
        <v>0.38610486667868699</v>
      </c>
      <c r="T33" s="1">
        <f t="shared" si="4"/>
        <v>0.53151553874722635</v>
      </c>
    </row>
    <row r="34" spans="1:20" ht="30" customHeight="1">
      <c r="A34" t="str">
        <f t="shared" si="3"/>
        <v>german</v>
      </c>
      <c r="B34">
        <f>_xlfn.LET(_xlpm.c,_xlfn.SINGLE(Table1[condition]),IF(RIGHT(_xlpm.c,2)="1g",1,0))</f>
        <v>0</v>
      </c>
      <c r="C34">
        <f>_xlfn.LET(_xlpm.c,_xlfn.SINGLE(Table1[condition]),_xlpm.k,CONCATENATE("*","-xsk","*"),IF(COUNTIF(_xlpm.c,_xlpm.k)&gt;0,1,0))</f>
        <v>0</v>
      </c>
      <c r="D34">
        <f>_xlfn.LET(_xlpm.c,_xlfn.SINGLE(Table1[condition]),_xlpm.k,CONCATENATE("*","-sk","*"),IF(COUNTIF(_xlpm.c,_xlpm.k)&gt;0,1,0))</f>
        <v>1</v>
      </c>
      <c r="E34">
        <f>IF(AND(Table1[[#This Row],[xsk]]=1,Table1[[#This Row],[sk]]=1),0,1)</f>
        <v>1</v>
      </c>
      <c r="F34" t="s">
        <v>30</v>
      </c>
      <c r="G34" s="1">
        <v>0.70318514242498698</v>
      </c>
      <c r="H34" s="1">
        <v>0.86566194875418401</v>
      </c>
      <c r="I34" s="1">
        <v>0.50594370330159999</v>
      </c>
      <c r="J34" s="1">
        <v>0.55894784003475895</v>
      </c>
      <c r="K34" s="1">
        <v>0.57358297704181005</v>
      </c>
      <c r="L34" s="1">
        <v>0.67190869345936</v>
      </c>
      <c r="M34" s="1">
        <v>0.55617173541075005</v>
      </c>
      <c r="N34" s="1">
        <v>0.395339267890704</v>
      </c>
      <c r="O34" s="1">
        <v>0.48528137423856998</v>
      </c>
      <c r="P34" s="1">
        <v>0.47199824824997999</v>
      </c>
      <c r="Q34" s="1">
        <v>0.46110013596232302</v>
      </c>
      <c r="R34" s="1">
        <v>0.548108648973476</v>
      </c>
      <c r="S34" s="1">
        <v>0.46002552772474198</v>
      </c>
      <c r="T34" s="1">
        <f t="shared" si="4"/>
        <v>0.55825040334363429</v>
      </c>
    </row>
    <row r="35" spans="1:20" ht="30" customHeight="1">
      <c r="A35" t="str">
        <f t="shared" si="3"/>
        <v>german</v>
      </c>
      <c r="B35">
        <f>_xlfn.LET(_xlpm.c,_xlfn.SINGLE(Table1[condition]),IF(RIGHT(_xlpm.c,2)="1g",1,0))</f>
        <v>0</v>
      </c>
      <c r="C35">
        <f>_xlfn.LET(_xlpm.c,_xlfn.SINGLE(Table1[condition]),_xlpm.k,CONCATENATE("*","-xsk","*"),IF(COUNTIF(_xlpm.c,_xlpm.k)&gt;0,1,0))</f>
        <v>1</v>
      </c>
      <c r="D35">
        <f>_xlfn.LET(_xlpm.c,_xlfn.SINGLE(Table1[condition]),_xlpm.k,CONCATENATE("*","-sk","*"),IF(COUNTIF(_xlpm.c,_xlpm.k)&gt;0,1,0))</f>
        <v>0</v>
      </c>
      <c r="E35">
        <f>IF(AND(Table1[[#This Row],[xsk]]=1,Table1[[#This Row],[sk]]=1),0,1)</f>
        <v>1</v>
      </c>
      <c r="F35" t="s">
        <v>65</v>
      </c>
      <c r="G35" s="1">
        <v>0.80963653274811498</v>
      </c>
      <c r="H35" s="1">
        <v>0.71746604755415899</v>
      </c>
      <c r="I35" s="1">
        <v>0.65364451147290004</v>
      </c>
      <c r="J35" s="1">
        <v>0.58629751703685595</v>
      </c>
      <c r="K35" s="1">
        <v>0.66425192882362805</v>
      </c>
      <c r="L35" s="1">
        <v>0.62533936090845299</v>
      </c>
      <c r="M35" s="1">
        <v>0.75959179422654199</v>
      </c>
      <c r="N35" s="1">
        <v>0.81891712637224701</v>
      </c>
      <c r="O35" s="1">
        <v>0.98591549295774605</v>
      </c>
      <c r="P35" s="1">
        <v>0.455824771944565</v>
      </c>
      <c r="Q35" s="1">
        <v>0.44387163217158798</v>
      </c>
      <c r="R35" s="1">
        <v>0.38710653085533597</v>
      </c>
      <c r="S35" s="1">
        <v>0.65602411923972304</v>
      </c>
      <c r="T35" s="1">
        <f t="shared" si="4"/>
        <v>0.65876056663937355</v>
      </c>
    </row>
    <row r="36" spans="1:20" ht="30" customHeight="1">
      <c r="A36" t="str">
        <f t="shared" si="3"/>
        <v>german</v>
      </c>
      <c r="B36">
        <f>_xlfn.LET(_xlpm.c,_xlfn.SINGLE(Table1[condition]),IF(RIGHT(_xlpm.c,2)="1g",1,0))</f>
        <v>0</v>
      </c>
      <c r="C36">
        <f>_xlfn.LET(_xlpm.c,_xlfn.SINGLE(Table1[condition]),_xlpm.k,CONCATENATE("*","-xsk","*"),IF(COUNTIF(_xlpm.c,_xlpm.k)&gt;0,1,0))</f>
        <v>1</v>
      </c>
      <c r="D36">
        <f>_xlfn.LET(_xlpm.c,_xlfn.SINGLE(Table1[condition]),_xlpm.k,CONCATENATE("*","-sk","*"),IF(COUNTIF(_xlpm.c,_xlpm.k)&gt;0,1,0))</f>
        <v>0</v>
      </c>
      <c r="E36">
        <f>IF(AND(Table1[[#This Row],[xsk]]=1,Table1[[#This Row],[sk]]=1),0,1)</f>
        <v>1</v>
      </c>
      <c r="F36" t="s">
        <v>66</v>
      </c>
      <c r="G36" s="1">
        <v>0.78046217888106095</v>
      </c>
      <c r="H36" s="1">
        <v>0.80119285767222503</v>
      </c>
      <c r="I36" s="1">
        <v>1</v>
      </c>
      <c r="J36" s="1">
        <v>0.62680969609619996</v>
      </c>
      <c r="K36" s="1">
        <v>0.74517075223622897</v>
      </c>
      <c r="L36" s="1">
        <v>0.53137303340311404</v>
      </c>
      <c r="M36" s="1">
        <v>0.57142857142857095</v>
      </c>
      <c r="N36" s="1">
        <v>0.65872715716677199</v>
      </c>
      <c r="O36" s="1">
        <v>1</v>
      </c>
      <c r="P36" s="1">
        <v>0.73205080756887697</v>
      </c>
      <c r="Q36" s="1">
        <v>0.47636238330916703</v>
      </c>
      <c r="R36" s="1">
        <v>0.52506281446689995</v>
      </c>
      <c r="S36" s="1">
        <v>0.46255715389207103</v>
      </c>
      <c r="T36" s="1">
        <f t="shared" si="4"/>
        <v>0.68547672354778355</v>
      </c>
    </row>
    <row r="37" spans="1:20" ht="30" customHeight="1">
      <c r="A37" t="str">
        <f t="shared" si="3"/>
        <v>greek</v>
      </c>
      <c r="B37">
        <f>_xlfn.LET(_xlpm.c,_xlfn.SINGLE(Table1[condition]),IF(RIGHT(_xlpm.c,2)="1g",1,0))</f>
        <v>1</v>
      </c>
      <c r="C37">
        <f>_xlfn.LET(_xlpm.c,_xlfn.SINGLE(Table1[condition]),_xlpm.k,CONCATENATE("*","-xsk","*"),IF(COUNTIF(_xlpm.c,_xlpm.k)&gt;0,1,0))</f>
        <v>0</v>
      </c>
      <c r="D37">
        <f>_xlfn.LET(_xlpm.c,_xlfn.SINGLE(Table1[condition]),_xlpm.k,CONCATENATE("*","-sk","*"),IF(COUNTIF(_xlpm.c,_xlpm.k)&gt;0,1,0))</f>
        <v>0</v>
      </c>
      <c r="E37">
        <f>IF(AND(Table1[[#This Row],[xsk]]=1,Table1[[#This Row],[sk]]=1),0,1)</f>
        <v>1</v>
      </c>
      <c r="F37" t="s">
        <v>67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f t="shared" si="4"/>
        <v>1</v>
      </c>
    </row>
    <row r="38" spans="1:20" ht="30" customHeight="1">
      <c r="A38" t="str">
        <f t="shared" si="3"/>
        <v>greek</v>
      </c>
      <c r="B38">
        <f>_xlfn.LET(_xlpm.c,_xlfn.SINGLE(Table1[condition]),IF(RIGHT(_xlpm.c,2)="1g",1,0))</f>
        <v>0</v>
      </c>
      <c r="C38">
        <f>_xlfn.LET(_xlpm.c,_xlfn.SINGLE(Table1[condition]),_xlpm.k,CONCATENATE("*","-xsk","*"),IF(COUNTIF(_xlpm.c,_xlpm.k)&gt;0,1,0))</f>
        <v>0</v>
      </c>
      <c r="D38">
        <f>_xlfn.LET(_xlpm.c,_xlfn.SINGLE(Table1[condition]),_xlpm.k,CONCATENATE("*","-sk","*"),IF(COUNTIF(_xlpm.c,_xlpm.k)&gt;0,1,0))</f>
        <v>0</v>
      </c>
      <c r="E38">
        <f>IF(AND(Table1[[#This Row],[xsk]]=1,Table1[[#This Row],[sk]]=1),0,1)</f>
        <v>1</v>
      </c>
      <c r="F38" t="s">
        <v>68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f t="shared" si="4"/>
        <v>1</v>
      </c>
    </row>
    <row r="39" spans="1:20" ht="30" customHeight="1">
      <c r="A39" t="str">
        <f t="shared" si="3"/>
        <v>greek</v>
      </c>
      <c r="B39">
        <f>_xlfn.LET(_xlpm.c,_xlfn.SINGLE(Table1[condition]),IF(RIGHT(_xlpm.c,2)="1g",1,0))</f>
        <v>0</v>
      </c>
      <c r="C39">
        <f>_xlfn.LET(_xlpm.c,_xlfn.SINGLE(Table1[condition]),_xlpm.k,CONCATENATE("*","-xsk","*"),IF(COUNTIF(_xlpm.c,_xlpm.k)&gt;0,1,0))</f>
        <v>0</v>
      </c>
      <c r="D39">
        <f>_xlfn.LET(_xlpm.c,_xlfn.SINGLE(Table1[condition]),_xlpm.k,CONCATENATE("*","-sk","*"),IF(COUNTIF(_xlpm.c,_xlpm.k)&gt;0,1,0))</f>
        <v>0</v>
      </c>
      <c r="E39">
        <f>IF(AND(Table1[[#This Row],[xsk]]=1,Table1[[#This Row],[sk]]=1),0,1)</f>
        <v>1</v>
      </c>
      <c r="F39" t="s">
        <v>69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f t="shared" si="4"/>
        <v>1</v>
      </c>
    </row>
    <row r="40" spans="1:20" ht="30" customHeight="1">
      <c r="A40" t="str">
        <f t="shared" si="1"/>
        <v>greek</v>
      </c>
      <c r="B40">
        <f>_xlfn.LET(_xlpm.c,_xlfn.SINGLE(Table1[condition]),IF(RIGHT(_xlpm.c,2)="1g",1,0))</f>
        <v>0</v>
      </c>
      <c r="C40">
        <f>_xlfn.LET(_xlpm.c,_xlfn.SINGLE(Table1[condition]),_xlpm.k,CONCATENATE("*","-xsk","*"),IF(COUNTIF(_xlpm.c,_xlpm.k)&gt;0,1,0))</f>
        <v>0</v>
      </c>
      <c r="D40">
        <f>_xlfn.LET(_xlpm.c,_xlfn.SINGLE(Table1[condition]),_xlpm.k,CONCATENATE("*","-sk","*"),IF(COUNTIF(_xlpm.c,_xlpm.k)&gt;0,1,0))</f>
        <v>1</v>
      </c>
      <c r="E40">
        <f>IF(AND(Table1[[#This Row],[xsk]]=1,Table1[[#This Row],[sk]]=1),0,1)</f>
        <v>1</v>
      </c>
      <c r="F40" t="s">
        <v>70</v>
      </c>
      <c r="G40" s="1">
        <v>1</v>
      </c>
      <c r="H40" s="1">
        <v>0.98806813167421303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0.66666666666666596</v>
      </c>
      <c r="T40" s="1">
        <f t="shared" si="2"/>
        <v>0.97344113833391377</v>
      </c>
    </row>
    <row r="41" spans="1:20" ht="30" customHeight="1">
      <c r="A41" t="str">
        <f t="shared" si="1"/>
        <v>greek</v>
      </c>
      <c r="B41">
        <f>_xlfn.LET(_xlpm.c,_xlfn.SINGLE(Table1[condition]),IF(RIGHT(_xlpm.c,2)="1g",1,0))</f>
        <v>0</v>
      </c>
      <c r="C41">
        <f>_xlfn.LET(_xlpm.c,_xlfn.SINGLE(Table1[condition]),_xlpm.k,CONCATENATE("*","-xsk","*"),IF(COUNTIF(_xlpm.c,_xlpm.k)&gt;0,1,0))</f>
        <v>0</v>
      </c>
      <c r="D41">
        <f>_xlfn.LET(_xlpm.c,_xlfn.SINGLE(Table1[condition]),_xlpm.k,CONCATENATE("*","-sk","*"),IF(COUNTIF(_xlpm.c,_xlpm.k)&gt;0,1,0))</f>
        <v>1</v>
      </c>
      <c r="E41">
        <f>IF(AND(Table1[[#This Row],[xsk]]=1,Table1[[#This Row],[sk]]=1),0,1)</f>
        <v>1</v>
      </c>
      <c r="F41" t="s">
        <v>71</v>
      </c>
      <c r="G41" s="1">
        <v>0.95052990236519497</v>
      </c>
      <c r="H41" s="1">
        <v>0.98566736044191905</v>
      </c>
      <c r="I41" s="1">
        <v>0.99418506358805703</v>
      </c>
      <c r="J41" s="1">
        <v>0.96487466776854003</v>
      </c>
      <c r="K41" s="1">
        <v>0.95448258482724402</v>
      </c>
      <c r="L41" s="1">
        <v>1</v>
      </c>
      <c r="M41" s="1">
        <v>1</v>
      </c>
      <c r="N41" s="1">
        <v>0.932525163640893</v>
      </c>
      <c r="O41" s="1">
        <v>0.89931963353243705</v>
      </c>
      <c r="P41" s="1">
        <v>1</v>
      </c>
      <c r="Q41" s="1">
        <v>1</v>
      </c>
      <c r="R41" s="1">
        <v>0.78174242292714202</v>
      </c>
      <c r="S41" s="1">
        <v>1</v>
      </c>
      <c r="T41" s="1">
        <f t="shared" si="2"/>
        <v>0.95871744608395582</v>
      </c>
    </row>
    <row r="42" spans="1:20" ht="30" customHeight="1">
      <c r="A42" t="str">
        <f t="shared" si="1"/>
        <v>greek</v>
      </c>
      <c r="B42">
        <f>_xlfn.LET(_xlpm.c,_xlfn.SINGLE(Table1[condition]),IF(RIGHT(_xlpm.c,2)="1g",1,0))</f>
        <v>0</v>
      </c>
      <c r="C42">
        <f>_xlfn.LET(_xlpm.c,_xlfn.SINGLE(Table1[condition]),_xlpm.k,CONCATENATE("*","-xsk","*"),IF(COUNTIF(_xlpm.c,_xlpm.k)&gt;0,1,0))</f>
        <v>1</v>
      </c>
      <c r="D42">
        <f>_xlfn.LET(_xlpm.c,_xlfn.SINGLE(Table1[condition]),_xlpm.k,CONCATENATE("*","-sk","*"),IF(COUNTIF(_xlpm.c,_xlpm.k)&gt;0,1,0))</f>
        <v>0</v>
      </c>
      <c r="E42">
        <f>IF(AND(Table1[[#This Row],[xsk]]=1,Table1[[#This Row],[sk]]=1),0,1)</f>
        <v>1</v>
      </c>
      <c r="F42" t="s">
        <v>72</v>
      </c>
      <c r="G42" s="1">
        <v>0.98977886713005803</v>
      </c>
      <c r="H42" s="1">
        <v>0.990185062214332</v>
      </c>
      <c r="I42" s="1">
        <v>0.99428422086230905</v>
      </c>
      <c r="J42" s="1">
        <v>0.95745689241184295</v>
      </c>
      <c r="K42" s="1">
        <v>1</v>
      </c>
      <c r="L42" s="1">
        <v>1</v>
      </c>
      <c r="M42" s="1">
        <v>0.99206215856077495</v>
      </c>
      <c r="N42" s="1">
        <v>1</v>
      </c>
      <c r="O42" s="1">
        <v>0.96282654523311295</v>
      </c>
      <c r="P42" s="1">
        <v>0.95934462139935806</v>
      </c>
      <c r="Q42" s="1">
        <v>1</v>
      </c>
      <c r="R42" s="1">
        <v>0.92917414974928603</v>
      </c>
      <c r="S42" s="1">
        <v>0.96808510638297796</v>
      </c>
      <c r="T42" s="1">
        <f t="shared" si="2"/>
        <v>0.98024597107261946</v>
      </c>
    </row>
    <row r="43" spans="1:20" ht="30" customHeight="1">
      <c r="A43" t="str">
        <f t="shared" si="1"/>
        <v>greek</v>
      </c>
      <c r="B43">
        <f>_xlfn.LET(_xlpm.c,_xlfn.SINGLE(Table1[condition]),IF(RIGHT(_xlpm.c,2)="1g",1,0))</f>
        <v>0</v>
      </c>
      <c r="C43">
        <f>_xlfn.LET(_xlpm.c,_xlfn.SINGLE(Table1[condition]),_xlpm.k,CONCATENATE("*","-xsk","*"),IF(COUNTIF(_xlpm.c,_xlpm.k)&gt;0,1,0))</f>
        <v>1</v>
      </c>
      <c r="D43">
        <f>_xlfn.LET(_xlpm.c,_xlfn.SINGLE(Table1[condition]),_xlpm.k,CONCATENATE("*","-sk","*"),IF(COUNTIF(_xlpm.c,_xlpm.k)&gt;0,1,0))</f>
        <v>0</v>
      </c>
      <c r="E43">
        <f>IF(AND(Table1[[#This Row],[xsk]]=1,Table1[[#This Row],[sk]]=1),0,1)</f>
        <v>1</v>
      </c>
      <c r="F43" t="s">
        <v>73</v>
      </c>
      <c r="G43" s="1">
        <v>0.98613260227880695</v>
      </c>
      <c r="H43" s="1">
        <v>0.97394510357271502</v>
      </c>
      <c r="I43" s="1">
        <v>0.99324170023828295</v>
      </c>
      <c r="J43" s="1">
        <v>0.93623343716204799</v>
      </c>
      <c r="K43" s="1">
        <v>0.90752281547355995</v>
      </c>
      <c r="L43" s="1">
        <v>0.94948816860710294</v>
      </c>
      <c r="M43" s="1">
        <v>0.71430274099654301</v>
      </c>
      <c r="N43" s="1">
        <v>1</v>
      </c>
      <c r="O43" s="1">
        <v>0.99363057324840698</v>
      </c>
      <c r="P43" s="1">
        <v>1</v>
      </c>
      <c r="Q43" s="1">
        <v>0.92356068009885095</v>
      </c>
      <c r="R43" s="1">
        <v>0.89817009661218605</v>
      </c>
      <c r="S43" s="1">
        <v>0.77057985585696898</v>
      </c>
      <c r="T43" s="1">
        <f t="shared" si="2"/>
        <v>0.92667752108811308</v>
      </c>
    </row>
    <row r="44" spans="1:20" ht="30" customHeight="1">
      <c r="A44" t="str">
        <f t="shared" si="1"/>
        <v>hebrew</v>
      </c>
      <c r="B44">
        <f>_xlfn.LET(_xlpm.c,_xlfn.SINGLE(Table1[condition]),IF(RIGHT(_xlpm.c,2)="1g",1,0))</f>
        <v>1</v>
      </c>
      <c r="C44">
        <f>_xlfn.LET(_xlpm.c,_xlfn.SINGLE(Table1[condition]),_xlpm.k,CONCATENATE("*","-xsk","*"),IF(COUNTIF(_xlpm.c,_xlpm.k)&gt;0,1,0))</f>
        <v>0</v>
      </c>
      <c r="D44">
        <f>_xlfn.LET(_xlpm.c,_xlfn.SINGLE(Table1[condition]),_xlpm.k,CONCATENATE("*","-sk","*"),IF(COUNTIF(_xlpm.c,_xlpm.k)&gt;0,1,0))</f>
        <v>0</v>
      </c>
      <c r="E44">
        <f>IF(AND(Table1[[#This Row],[xsk]]=1,Table1[[#This Row],[sk]]=1),0,1)</f>
        <v>1</v>
      </c>
      <c r="F44" t="s">
        <v>74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f t="shared" si="2"/>
        <v>1</v>
      </c>
    </row>
    <row r="45" spans="1:20" ht="30" customHeight="1">
      <c r="A45" t="str">
        <f t="shared" si="1"/>
        <v>hebrew</v>
      </c>
      <c r="B45">
        <f>_xlfn.LET(_xlpm.c,_xlfn.SINGLE(Table1[condition]),IF(RIGHT(_xlpm.c,2)="1g",1,0))</f>
        <v>0</v>
      </c>
      <c r="C45">
        <f>_xlfn.LET(_xlpm.c,_xlfn.SINGLE(Table1[condition]),_xlpm.k,CONCATENATE("*","-xsk","*"),IF(COUNTIF(_xlpm.c,_xlpm.k)&gt;0,1,0))</f>
        <v>0</v>
      </c>
      <c r="D45">
        <f>_xlfn.LET(_xlpm.c,_xlfn.SINGLE(Table1[condition]),_xlpm.k,CONCATENATE("*","-sk","*"),IF(COUNTIF(_xlpm.c,_xlpm.k)&gt;0,1,0))</f>
        <v>0</v>
      </c>
      <c r="E45">
        <f>IF(AND(Table1[[#This Row],[xsk]]=1,Table1[[#This Row],[sk]]=1),0,1)</f>
        <v>1</v>
      </c>
      <c r="F45" t="s">
        <v>75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f t="shared" si="2"/>
        <v>1</v>
      </c>
    </row>
    <row r="46" spans="1:20" ht="30" customHeight="1">
      <c r="A46" t="str">
        <f t="shared" si="1"/>
        <v>hebrew</v>
      </c>
      <c r="B46">
        <f>_xlfn.LET(_xlpm.c,_xlfn.SINGLE(Table1[condition]),IF(RIGHT(_xlpm.c,2)="1g",1,0))</f>
        <v>0</v>
      </c>
      <c r="C46">
        <f>_xlfn.LET(_xlpm.c,_xlfn.SINGLE(Table1[condition]),_xlpm.k,CONCATENATE("*","-xsk","*"),IF(COUNTIF(_xlpm.c,_xlpm.k)&gt;0,1,0))</f>
        <v>0</v>
      </c>
      <c r="D46">
        <f>_xlfn.LET(_xlpm.c,_xlfn.SINGLE(Table1[condition]),_xlpm.k,CONCATENATE("*","-sk","*"),IF(COUNTIF(_xlpm.c,_xlpm.k)&gt;0,1,0))</f>
        <v>0</v>
      </c>
      <c r="E46">
        <f>IF(AND(Table1[[#This Row],[xsk]]=1,Table1[[#This Row],[sk]]=1),0,1)</f>
        <v>1</v>
      </c>
      <c r="F46" t="s">
        <v>76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f t="shared" si="2"/>
        <v>1</v>
      </c>
    </row>
    <row r="47" spans="1:20" ht="30" customHeight="1">
      <c r="A47" t="str">
        <f t="shared" si="1"/>
        <v>hebrew</v>
      </c>
      <c r="B47">
        <f>_xlfn.LET(_xlpm.c,_xlfn.SINGLE(Table1[condition]),IF(RIGHT(_xlpm.c,2)="1g",1,0))</f>
        <v>0</v>
      </c>
      <c r="C47">
        <f>_xlfn.LET(_xlpm.c,_xlfn.SINGLE(Table1[condition]),_xlpm.k,CONCATENATE("*","-xsk","*"),IF(COUNTIF(_xlpm.c,_xlpm.k)&gt;0,1,0))</f>
        <v>0</v>
      </c>
      <c r="D47">
        <f>_xlfn.LET(_xlpm.c,_xlfn.SINGLE(Table1[condition]),_xlpm.k,CONCATENATE("*","-sk","*"),IF(COUNTIF(_xlpm.c,_xlpm.k)&gt;0,1,0))</f>
        <v>1</v>
      </c>
      <c r="E47">
        <f>IF(AND(Table1[[#This Row],[xsk]]=1,Table1[[#This Row],[sk]]=1),0,1)</f>
        <v>1</v>
      </c>
      <c r="F47" t="s">
        <v>77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f t="shared" si="2"/>
        <v>1</v>
      </c>
    </row>
    <row r="48" spans="1:20" ht="30" customHeight="1">
      <c r="A48" t="str">
        <f t="shared" si="1"/>
        <v>hebrew</v>
      </c>
      <c r="B48">
        <f>_xlfn.LET(_xlpm.c,_xlfn.SINGLE(Table1[condition]),IF(RIGHT(_xlpm.c,2)="1g",1,0))</f>
        <v>0</v>
      </c>
      <c r="C48">
        <f>_xlfn.LET(_xlpm.c,_xlfn.SINGLE(Table1[condition]),_xlpm.k,CONCATENATE("*","-xsk","*"),IF(COUNTIF(_xlpm.c,_xlpm.k)&gt;0,1,0))</f>
        <v>0</v>
      </c>
      <c r="D48">
        <f>_xlfn.LET(_xlpm.c,_xlfn.SINGLE(Table1[condition]),_xlpm.k,CONCATENATE("*","-sk","*"),IF(COUNTIF(_xlpm.c,_xlpm.k)&gt;0,1,0))</f>
        <v>1</v>
      </c>
      <c r="E48">
        <f>IF(AND(Table1[[#This Row],[xsk]]=1,Table1[[#This Row],[sk]]=1),0,1)</f>
        <v>1</v>
      </c>
      <c r="F48" t="s">
        <v>78</v>
      </c>
      <c r="G48" s="1">
        <v>0.99682454323777803</v>
      </c>
      <c r="H48" s="1">
        <v>0.97582162991371402</v>
      </c>
      <c r="I48" s="1">
        <v>1</v>
      </c>
      <c r="J48" s="1">
        <v>1</v>
      </c>
      <c r="K48" s="1">
        <v>0.93888274033641805</v>
      </c>
      <c r="L48" s="1">
        <v>0.995368284861881</v>
      </c>
      <c r="M48" s="1">
        <v>0.97343607060991499</v>
      </c>
      <c r="N48" s="1">
        <v>1</v>
      </c>
      <c r="O48" s="1">
        <v>1</v>
      </c>
      <c r="P48" s="1">
        <v>1</v>
      </c>
      <c r="Q48" s="1">
        <v>0.94240837696335</v>
      </c>
      <c r="R48" s="1">
        <v>0.98534070278609198</v>
      </c>
      <c r="S48" s="1">
        <v>0.962691484545382</v>
      </c>
      <c r="T48" s="1">
        <f t="shared" si="2"/>
        <v>0.98236721794265613</v>
      </c>
    </row>
    <row r="49" spans="1:20" ht="30" customHeight="1">
      <c r="A49" t="str">
        <f t="shared" si="1"/>
        <v>hebrew</v>
      </c>
      <c r="B49">
        <f>_xlfn.LET(_xlpm.c,_xlfn.SINGLE(Table1[condition]),IF(RIGHT(_xlpm.c,2)="1g",1,0))</f>
        <v>0</v>
      </c>
      <c r="C49">
        <f>_xlfn.LET(_xlpm.c,_xlfn.SINGLE(Table1[condition]),_xlpm.k,CONCATENATE("*","-xsk","*"),IF(COUNTIF(_xlpm.c,_xlpm.k)&gt;0,1,0))</f>
        <v>1</v>
      </c>
      <c r="D49">
        <f>_xlfn.LET(_xlpm.c,_xlfn.SINGLE(Table1[condition]),_xlpm.k,CONCATENATE("*","-sk","*"),IF(COUNTIF(_xlpm.c,_xlpm.k)&gt;0,1,0))</f>
        <v>0</v>
      </c>
      <c r="E49">
        <f>IF(AND(Table1[[#This Row],[xsk]]=1,Table1[[#This Row],[sk]]=1),0,1)</f>
        <v>1</v>
      </c>
      <c r="F49" t="s">
        <v>79</v>
      </c>
      <c r="G49" s="1">
        <v>1</v>
      </c>
      <c r="H49" s="1">
        <v>0.98898968210386295</v>
      </c>
      <c r="I49" s="1">
        <v>1</v>
      </c>
      <c r="J49" s="1">
        <v>1</v>
      </c>
      <c r="K49" s="1">
        <v>1</v>
      </c>
      <c r="L49" s="1">
        <v>0.96755599363172495</v>
      </c>
      <c r="M49" s="1">
        <v>0.99258784524445498</v>
      </c>
      <c r="N49" s="1">
        <v>0.99512102229735999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f t="shared" si="2"/>
        <v>0.99571188794441556</v>
      </c>
    </row>
    <row r="50" spans="1:20" ht="30" customHeight="1">
      <c r="A50" t="str">
        <f t="shared" si="1"/>
        <v>hebrew</v>
      </c>
      <c r="B50">
        <f>_xlfn.LET(_xlpm.c,_xlfn.SINGLE(Table1[condition]),IF(RIGHT(_xlpm.c,2)="1g",1,0))</f>
        <v>0</v>
      </c>
      <c r="C50">
        <f>_xlfn.LET(_xlpm.c,_xlfn.SINGLE(Table1[condition]),_xlpm.k,CONCATENATE("*","-xsk","*"),IF(COUNTIF(_xlpm.c,_xlpm.k)&gt;0,1,0))</f>
        <v>1</v>
      </c>
      <c r="D50">
        <f>_xlfn.LET(_xlpm.c,_xlfn.SINGLE(Table1[condition]),_xlpm.k,CONCATENATE("*","-sk","*"),IF(COUNTIF(_xlpm.c,_xlpm.k)&gt;0,1,0))</f>
        <v>0</v>
      </c>
      <c r="E50">
        <f>IF(AND(Table1[[#This Row],[xsk]]=1,Table1[[#This Row],[sk]]=1),0,1)</f>
        <v>1</v>
      </c>
      <c r="F50" t="s">
        <v>80</v>
      </c>
      <c r="G50" s="1">
        <v>1</v>
      </c>
      <c r="H50" s="1">
        <v>0.966742722978295</v>
      </c>
      <c r="I50" s="1">
        <v>0.99599788598370398</v>
      </c>
      <c r="J50" s="1">
        <v>0.89718313760953095</v>
      </c>
      <c r="K50" s="1">
        <v>0.892829454621348</v>
      </c>
      <c r="L50" s="1">
        <v>0.94153831103455998</v>
      </c>
      <c r="M50" s="1">
        <v>0.84738205544547196</v>
      </c>
      <c r="N50" s="1">
        <v>0.94753471065458605</v>
      </c>
      <c r="O50" s="1">
        <v>0.63719229589925297</v>
      </c>
      <c r="P50" s="1">
        <v>0.98666034005428904</v>
      </c>
      <c r="Q50" s="1">
        <v>0.88818138306286998</v>
      </c>
      <c r="R50" s="1">
        <v>1</v>
      </c>
      <c r="S50" s="1">
        <v>0.72073705758391204</v>
      </c>
      <c r="T50" s="1">
        <f t="shared" si="2"/>
        <v>0.90169071960983227</v>
      </c>
    </row>
    <row r="51" spans="1:20" ht="30" customHeight="1">
      <c r="A51" t="str">
        <f t="shared" ref="A51:A64" si="5">_xlfn.LET(_xlpm.c,$F51,_xlfn.TEXTBEFORE(_xlpm.c,"-"))</f>
        <v>icelandic</v>
      </c>
      <c r="B51">
        <f>_xlfn.LET(_xlpm.c,_xlfn.SINGLE(Table1[condition]),IF(RIGHT(_xlpm.c,2)="1g",1,0))</f>
        <v>1</v>
      </c>
      <c r="C51">
        <f>_xlfn.LET(_xlpm.c,_xlfn.SINGLE(Table1[condition]),_xlpm.k,CONCATENATE("*","-xsk","*"),IF(COUNTIF(_xlpm.c,_xlpm.k)&gt;0,1,0))</f>
        <v>0</v>
      </c>
      <c r="D51">
        <f>_xlfn.LET(_xlpm.c,_xlfn.SINGLE(Table1[condition]),_xlpm.k,CONCATENATE("*","-sk","*"),IF(COUNTIF(_xlpm.c,_xlpm.k)&gt;0,1,0))</f>
        <v>0</v>
      </c>
      <c r="E51">
        <f>IF(AND(Table1[[#This Row],[xsk]]=1,Table1[[#This Row],[sk]]=1),0,1)</f>
        <v>1</v>
      </c>
      <c r="F51" t="s">
        <v>81</v>
      </c>
      <c r="G51" s="1">
        <v>1</v>
      </c>
      <c r="H51" s="1">
        <v>0.91293589894817995</v>
      </c>
      <c r="I51" s="1">
        <v>0.46315616126752202</v>
      </c>
      <c r="J51" s="1">
        <v>0.679930764399726</v>
      </c>
      <c r="K51" s="1">
        <v>0.485714919213727</v>
      </c>
      <c r="L51" s="1">
        <v>0.51624812894697603</v>
      </c>
      <c r="M51" s="1">
        <v>0.51983552172373704</v>
      </c>
      <c r="N51" s="1">
        <v>0.25565949043856301</v>
      </c>
      <c r="O51" s="1">
        <v>0.32301542064211702</v>
      </c>
      <c r="P51" s="1">
        <v>0.34012981453489</v>
      </c>
      <c r="Q51" s="1">
        <v>0.60744118208142395</v>
      </c>
      <c r="R51" s="1">
        <v>0.32647990921798098</v>
      </c>
      <c r="S51" s="1">
        <v>0.39316100114058899</v>
      </c>
      <c r="T51" s="1">
        <f t="shared" ref="T51:T64" si="6">_xlfn.LET(_xlpm.d,$G51:$S51,AVERAGE(_xlpm.d))</f>
        <v>0.52490063173503332</v>
      </c>
    </row>
    <row r="52" spans="1:20" ht="30" customHeight="1">
      <c r="A52" t="str">
        <f t="shared" si="5"/>
        <v>icelandic</v>
      </c>
      <c r="B52">
        <f>_xlfn.LET(_xlpm.c,_xlfn.SINGLE(Table1[condition]),IF(RIGHT(_xlpm.c,2)="1g",1,0))</f>
        <v>0</v>
      </c>
      <c r="C52">
        <f>_xlfn.LET(_xlpm.c,_xlfn.SINGLE(Table1[condition]),_xlpm.k,CONCATENATE("*","-xsk","*"),IF(COUNTIF(_xlpm.c,_xlpm.k)&gt;0,1,0))</f>
        <v>0</v>
      </c>
      <c r="D52">
        <f>_xlfn.LET(_xlpm.c,_xlfn.SINGLE(Table1[condition]),_xlpm.k,CONCATENATE("*","-sk","*"),IF(COUNTIF(_xlpm.c,_xlpm.k)&gt;0,1,0))</f>
        <v>0</v>
      </c>
      <c r="E52">
        <f>IF(AND(Table1[[#This Row],[xsk]]=1,Table1[[#This Row],[sk]]=1),0,1)</f>
        <v>1</v>
      </c>
      <c r="F52" t="s">
        <v>82</v>
      </c>
      <c r="G52" s="1">
        <v>0.64123951446941796</v>
      </c>
      <c r="H52" s="1">
        <v>0.41353700451134201</v>
      </c>
      <c r="I52" s="1">
        <v>0.70871567199809704</v>
      </c>
      <c r="J52" s="1">
        <v>0.28368724999889</v>
      </c>
      <c r="K52" s="1">
        <v>0.79418829337395203</v>
      </c>
      <c r="L52" s="1">
        <v>0.37602050973030199</v>
      </c>
      <c r="M52" s="1">
        <v>0.65771569300911603</v>
      </c>
      <c r="N52" s="1">
        <v>0.60137590447445</v>
      </c>
      <c r="O52" s="1">
        <v>0.37169818901287999</v>
      </c>
      <c r="P52" s="1">
        <v>0.81533936612440405</v>
      </c>
      <c r="Q52" s="1">
        <v>0</v>
      </c>
      <c r="R52" s="1">
        <v>0.66010727345846099</v>
      </c>
      <c r="S52" s="1">
        <v>0</v>
      </c>
      <c r="T52" s="1">
        <f t="shared" si="6"/>
        <v>0.48643266693548559</v>
      </c>
    </row>
    <row r="53" spans="1:20" ht="30" customHeight="1">
      <c r="A53" t="str">
        <f t="shared" si="5"/>
        <v>icelandic</v>
      </c>
      <c r="B53">
        <f>_xlfn.LET(_xlpm.c,_xlfn.SINGLE(Table1[condition]),IF(RIGHT(_xlpm.c,2)="1g",1,0))</f>
        <v>0</v>
      </c>
      <c r="C53">
        <f>_xlfn.LET(_xlpm.c,_xlfn.SINGLE(Table1[condition]),_xlpm.k,CONCATENATE("*","-xsk","*"),IF(COUNTIF(_xlpm.c,_xlpm.k)&gt;0,1,0))</f>
        <v>0</v>
      </c>
      <c r="D53">
        <f>_xlfn.LET(_xlpm.c,_xlfn.SINGLE(Table1[condition]),_xlpm.k,CONCATENATE("*","-sk","*"),IF(COUNTIF(_xlpm.c,_xlpm.k)&gt;0,1,0))</f>
        <v>0</v>
      </c>
      <c r="E53">
        <f>IF(AND(Table1[[#This Row],[xsk]]=1,Table1[[#This Row],[sk]]=1),0,1)</f>
        <v>1</v>
      </c>
      <c r="F53" t="s">
        <v>83</v>
      </c>
      <c r="G53" s="1">
        <v>0.83611398670473802</v>
      </c>
      <c r="H53" s="1">
        <v>0.58102986965950598</v>
      </c>
      <c r="I53" s="1">
        <v>0.56209204170881499</v>
      </c>
      <c r="J53" s="1">
        <v>0.40163287071057502</v>
      </c>
      <c r="K53" s="1">
        <v>0.584601999010391</v>
      </c>
      <c r="L53" s="1">
        <v>0.80249618418030599</v>
      </c>
      <c r="M53" s="1">
        <v>0.63250069796375596</v>
      </c>
      <c r="N53" s="1">
        <v>0.53199578105216005</v>
      </c>
      <c r="O53" s="1">
        <v>0.51828953184743098</v>
      </c>
      <c r="P53" s="1">
        <v>0.53686201819389201</v>
      </c>
      <c r="Q53" s="1">
        <v>0.66666666666666596</v>
      </c>
      <c r="R53" s="1">
        <v>0.79128784747791903</v>
      </c>
      <c r="S53" s="1">
        <v>1</v>
      </c>
      <c r="T53" s="1">
        <f t="shared" si="6"/>
        <v>0.64965919193662736</v>
      </c>
    </row>
    <row r="54" spans="1:20" ht="30" customHeight="1">
      <c r="A54" t="str">
        <f t="shared" si="5"/>
        <v>icelandic</v>
      </c>
      <c r="B54">
        <f>_xlfn.LET(_xlpm.c,_xlfn.SINGLE(Table1[condition]),IF(RIGHT(_xlpm.c,2)="1g",1,0))</f>
        <v>0</v>
      </c>
      <c r="C54">
        <f>_xlfn.LET(_xlpm.c,_xlfn.SINGLE(Table1[condition]),_xlpm.k,CONCATENATE("*","-xsk","*"),IF(COUNTIF(_xlpm.c,_xlpm.k)&gt;0,1,0))</f>
        <v>0</v>
      </c>
      <c r="D54">
        <f>_xlfn.LET(_xlpm.c,_xlfn.SINGLE(Table1[condition]),_xlpm.k,CONCATENATE("*","-sk","*"),IF(COUNTIF(_xlpm.c,_xlpm.k)&gt;0,1,0))</f>
        <v>1</v>
      </c>
      <c r="E54">
        <f>IF(AND(Table1[[#This Row],[xsk]]=1,Table1[[#This Row],[sk]]=1),0,1)</f>
        <v>1</v>
      </c>
      <c r="F54" t="s">
        <v>84</v>
      </c>
      <c r="G54" s="1">
        <v>1</v>
      </c>
      <c r="H54" s="1">
        <v>0.932525163640893</v>
      </c>
      <c r="I54" s="1">
        <v>0.89100117365879095</v>
      </c>
      <c r="J54" s="1">
        <v>0.66364446969095803</v>
      </c>
      <c r="K54" s="1">
        <v>0.64626584865125003</v>
      </c>
      <c r="L54" s="1">
        <v>0.48961489681409398</v>
      </c>
      <c r="M54" s="1">
        <v>0.68794077450283597</v>
      </c>
      <c r="N54" s="1">
        <v>0.51415361952041105</v>
      </c>
      <c r="O54" s="1">
        <v>0.66063274114849602</v>
      </c>
      <c r="P54" s="1">
        <v>0.44237813131492998</v>
      </c>
      <c r="Q54" s="1">
        <v>0.55485310494859896</v>
      </c>
      <c r="R54" s="1">
        <v>0.73205080756887697</v>
      </c>
      <c r="S54" s="1">
        <v>0.29404800229021499</v>
      </c>
      <c r="T54" s="1">
        <f t="shared" si="6"/>
        <v>0.65454682567310385</v>
      </c>
    </row>
    <row r="55" spans="1:20" ht="30" customHeight="1">
      <c r="A55" t="str">
        <f t="shared" si="5"/>
        <v>icelandic</v>
      </c>
      <c r="B55">
        <f>_xlfn.LET(_xlpm.c,_xlfn.SINGLE(Table1[condition]),IF(RIGHT(_xlpm.c,2)="1g",1,0))</f>
        <v>0</v>
      </c>
      <c r="C55">
        <f>_xlfn.LET(_xlpm.c,_xlfn.SINGLE(Table1[condition]),_xlpm.k,CONCATENATE("*","-xsk","*"),IF(COUNTIF(_xlpm.c,_xlpm.k)&gt;0,1,0))</f>
        <v>0</v>
      </c>
      <c r="D55">
        <f>_xlfn.LET(_xlpm.c,_xlfn.SINGLE(Table1[condition]),_xlpm.k,CONCATENATE("*","-sk","*"),IF(COUNTIF(_xlpm.c,_xlpm.k)&gt;0,1,0))</f>
        <v>1</v>
      </c>
      <c r="E55">
        <f>IF(AND(Table1[[#This Row],[xsk]]=1,Table1[[#This Row],[sk]]=1),0,1)</f>
        <v>1</v>
      </c>
      <c r="F55" t="s">
        <v>85</v>
      </c>
      <c r="G55" s="1">
        <v>1</v>
      </c>
      <c r="H55" s="1">
        <v>0.75843446591172003</v>
      </c>
      <c r="I55" s="1">
        <v>0.74871923299338805</v>
      </c>
      <c r="J55" s="1">
        <v>0.67640486066433803</v>
      </c>
      <c r="K55" s="1">
        <v>0.86100174808611996</v>
      </c>
      <c r="L55" s="1">
        <v>0.73205080756887697</v>
      </c>
      <c r="M55" s="1">
        <v>0.64440873024700096</v>
      </c>
      <c r="N55" s="1">
        <v>0.51287453374668401</v>
      </c>
      <c r="O55" s="1">
        <v>0.48528137423856998</v>
      </c>
      <c r="P55" s="1">
        <v>0.38678125604557001</v>
      </c>
      <c r="Q55" s="1">
        <v>1</v>
      </c>
      <c r="R55" s="1">
        <v>0.65945819211836598</v>
      </c>
      <c r="S55" s="1">
        <v>0.46715405439461199</v>
      </c>
      <c r="T55" s="1">
        <f t="shared" si="6"/>
        <v>0.68712071200117286</v>
      </c>
    </row>
    <row r="56" spans="1:20" ht="30" customHeight="1">
      <c r="A56" t="str">
        <f t="shared" si="5"/>
        <v>icelandic</v>
      </c>
      <c r="B56">
        <f>_xlfn.LET(_xlpm.c,_xlfn.SINGLE(Table1[condition]),IF(RIGHT(_xlpm.c,2)="1g",1,0))</f>
        <v>0</v>
      </c>
      <c r="C56">
        <f>_xlfn.LET(_xlpm.c,_xlfn.SINGLE(Table1[condition]),_xlpm.k,CONCATENATE("*","-xsk","*"),IF(COUNTIF(_xlpm.c,_xlpm.k)&gt;0,1,0))</f>
        <v>1</v>
      </c>
      <c r="D56">
        <f>_xlfn.LET(_xlpm.c,_xlfn.SINGLE(Table1[condition]),_xlpm.k,CONCATENATE("*","-sk","*"),IF(COUNTIF(_xlpm.c,_xlpm.k)&gt;0,1,0))</f>
        <v>0</v>
      </c>
      <c r="E56">
        <f>IF(AND(Table1[[#This Row],[xsk]]=1,Table1[[#This Row],[sk]]=1),0,1)</f>
        <v>1</v>
      </c>
      <c r="F56" t="s">
        <v>86</v>
      </c>
      <c r="G56" s="1">
        <v>0.80728970191740101</v>
      </c>
      <c r="H56" s="1">
        <v>0.81170420711119695</v>
      </c>
      <c r="I56" s="1">
        <v>0.85511529321089796</v>
      </c>
      <c r="J56" s="1">
        <v>0.375319771793024</v>
      </c>
      <c r="K56" s="1">
        <v>0.82842712474618996</v>
      </c>
      <c r="L56" s="1">
        <v>0.67042271379108098</v>
      </c>
      <c r="M56" s="1">
        <v>0.55531962215368103</v>
      </c>
      <c r="N56" s="1">
        <v>0.81891712637224701</v>
      </c>
      <c r="O56" s="1">
        <v>0.54728026894429205</v>
      </c>
      <c r="P56" s="1">
        <v>0.46628668594714701</v>
      </c>
      <c r="Q56" s="1">
        <v>0.61766268413340197</v>
      </c>
      <c r="R56" s="1">
        <v>0.37811268374860502</v>
      </c>
      <c r="S56" s="1">
        <v>0.86315789473684201</v>
      </c>
      <c r="T56" s="1">
        <f t="shared" si="6"/>
        <v>0.66115505989276968</v>
      </c>
    </row>
    <row r="57" spans="1:20" ht="30" customHeight="1">
      <c r="A57" t="str">
        <f t="shared" si="5"/>
        <v>icelandic</v>
      </c>
      <c r="B57">
        <f>_xlfn.LET(_xlpm.c,_xlfn.SINGLE(Table1[condition]),IF(RIGHT(_xlpm.c,2)="1g",1,0))</f>
        <v>0</v>
      </c>
      <c r="C57">
        <f>_xlfn.LET(_xlpm.c,_xlfn.SINGLE(Table1[condition]),_xlpm.k,CONCATENATE("*","-xsk","*"),IF(COUNTIF(_xlpm.c,_xlpm.k)&gt;0,1,0))</f>
        <v>1</v>
      </c>
      <c r="D57">
        <f>_xlfn.LET(_xlpm.c,_xlfn.SINGLE(Table1[condition]),_xlpm.k,CONCATENATE("*","-sk","*"),IF(COUNTIF(_xlpm.c,_xlpm.k)&gt;0,1,0))</f>
        <v>0</v>
      </c>
      <c r="E57">
        <f>IF(AND(Table1[[#This Row],[xsk]]=1,Table1[[#This Row],[sk]]=1),0,1)</f>
        <v>1</v>
      </c>
      <c r="F57" t="s">
        <v>87</v>
      </c>
      <c r="G57" s="1">
        <v>1</v>
      </c>
      <c r="H57" s="1">
        <v>0.966365468330877</v>
      </c>
      <c r="I57" s="1">
        <v>0.795002118531278</v>
      </c>
      <c r="J57" s="1">
        <v>0.54098158424976805</v>
      </c>
      <c r="K57" s="1">
        <v>0.77445934132174399</v>
      </c>
      <c r="L57" s="1">
        <v>0.89100117365879095</v>
      </c>
      <c r="M57" s="1">
        <v>1</v>
      </c>
      <c r="N57" s="1">
        <v>0.46104678553062201</v>
      </c>
      <c r="O57" s="1">
        <v>1</v>
      </c>
      <c r="P57" s="1">
        <v>0.424019648544112</v>
      </c>
      <c r="Q57" s="1">
        <v>0.51471862576142902</v>
      </c>
      <c r="R57" s="1">
        <v>1</v>
      </c>
      <c r="S57" s="1">
        <v>0.48528137423856998</v>
      </c>
      <c r="T57" s="1">
        <f t="shared" si="6"/>
        <v>0.7579135477051685</v>
      </c>
    </row>
    <row r="58" spans="1:20" ht="30" customHeight="1">
      <c r="A58" t="str">
        <f t="shared" si="5"/>
        <v>russian</v>
      </c>
      <c r="B58">
        <f>_xlfn.LET(_xlpm.c,_xlfn.SINGLE(Table1[condition]),IF(RIGHT(_xlpm.c,2)="1g",1,0))</f>
        <v>1</v>
      </c>
      <c r="C58">
        <f>_xlfn.LET(_xlpm.c,_xlfn.SINGLE(Table1[condition]),_xlpm.k,CONCATENATE("*","-xsk","*"),IF(COUNTIF(_xlpm.c,_xlpm.k)&gt;0,1,0))</f>
        <v>0</v>
      </c>
      <c r="D58">
        <f>_xlfn.LET(_xlpm.c,_xlfn.SINGLE(Table1[condition]),_xlpm.k,CONCATENATE("*","-sk","*"),IF(COUNTIF(_xlpm.c,_xlpm.k)&gt;0,1,0))</f>
        <v>0</v>
      </c>
      <c r="E58">
        <f>IF(AND(Table1[[#This Row],[xsk]]=1,Table1[[#This Row],[sk]]=1),0,1)</f>
        <v>1</v>
      </c>
      <c r="F58" t="s">
        <v>31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f t="shared" si="6"/>
        <v>1</v>
      </c>
    </row>
    <row r="59" spans="1:20" ht="30" customHeight="1">
      <c r="A59" t="str">
        <f t="shared" si="5"/>
        <v>russian</v>
      </c>
      <c r="B59">
        <f>_xlfn.LET(_xlpm.c,_xlfn.SINGLE(Table1[condition]),IF(RIGHT(_xlpm.c,2)="1g",1,0))</f>
        <v>0</v>
      </c>
      <c r="C59">
        <f>_xlfn.LET(_xlpm.c,_xlfn.SINGLE(Table1[condition]),_xlpm.k,CONCATENATE("*","-xsk","*"),IF(COUNTIF(_xlpm.c,_xlpm.k)&gt;0,1,0))</f>
        <v>0</v>
      </c>
      <c r="D59">
        <f>_xlfn.LET(_xlpm.c,_xlfn.SINGLE(Table1[condition]),_xlpm.k,CONCATENATE("*","-sk","*"),IF(COUNTIF(_xlpm.c,_xlpm.k)&gt;0,1,0))</f>
        <v>0</v>
      </c>
      <c r="E59">
        <f>IF(AND(Table1[[#This Row],[xsk]]=1,Table1[[#This Row],[sk]]=1),0,1)</f>
        <v>1</v>
      </c>
      <c r="F59" t="s">
        <v>32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f t="shared" si="6"/>
        <v>1</v>
      </c>
    </row>
    <row r="60" spans="1:20" ht="30" customHeight="1">
      <c r="A60" t="str">
        <f t="shared" si="5"/>
        <v>russian</v>
      </c>
      <c r="B60">
        <f>_xlfn.LET(_xlpm.c,_xlfn.SINGLE(Table1[condition]),IF(RIGHT(_xlpm.c,2)="1g",1,0))</f>
        <v>0</v>
      </c>
      <c r="C60">
        <f>_xlfn.LET(_xlpm.c,_xlfn.SINGLE(Table1[condition]),_xlpm.k,CONCATENATE("*","-xsk","*"),IF(COUNTIF(_xlpm.c,_xlpm.k)&gt;0,1,0))</f>
        <v>0</v>
      </c>
      <c r="D60">
        <f>_xlfn.LET(_xlpm.c,_xlfn.SINGLE(Table1[condition]),_xlpm.k,CONCATENATE("*","-sk","*"),IF(COUNTIF(_xlpm.c,_xlpm.k)&gt;0,1,0))</f>
        <v>0</v>
      </c>
      <c r="E60">
        <f>IF(AND(Table1[[#This Row],[xsk]]=1,Table1[[#This Row],[sk]]=1),0,1)</f>
        <v>1</v>
      </c>
      <c r="F60" t="s">
        <v>33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f t="shared" si="6"/>
        <v>1</v>
      </c>
    </row>
    <row r="61" spans="1:20" ht="30" customHeight="1">
      <c r="A61" t="str">
        <f t="shared" si="5"/>
        <v>russian</v>
      </c>
      <c r="B61">
        <f>_xlfn.LET(_xlpm.c,_xlfn.SINGLE(Table1[condition]),IF(RIGHT(_xlpm.c,2)="1g",1,0))</f>
        <v>0</v>
      </c>
      <c r="C61">
        <f>_xlfn.LET(_xlpm.c,_xlfn.SINGLE(Table1[condition]),_xlpm.k,CONCATENATE("*","-xsk","*"),IF(COUNTIF(_xlpm.c,_xlpm.k)&gt;0,1,0))</f>
        <v>0</v>
      </c>
      <c r="D61">
        <f>_xlfn.LET(_xlpm.c,_xlfn.SINGLE(Table1[condition]),_xlpm.k,CONCATENATE("*","-sk","*"),IF(COUNTIF(_xlpm.c,_xlpm.k)&gt;0,1,0))</f>
        <v>1</v>
      </c>
      <c r="E61">
        <f>IF(AND(Table1[[#This Row],[xsk]]=1,Table1[[#This Row],[sk]]=1),0,1)</f>
        <v>1</v>
      </c>
      <c r="F61" t="s">
        <v>34</v>
      </c>
      <c r="G61" s="1">
        <v>1</v>
      </c>
      <c r="H61" s="1">
        <v>1</v>
      </c>
      <c r="I61" s="1">
        <v>1</v>
      </c>
      <c r="J61" s="1">
        <v>1</v>
      </c>
      <c r="K61" s="1">
        <v>0.978377437758155</v>
      </c>
      <c r="L61" s="1">
        <v>1</v>
      </c>
      <c r="M61" s="1">
        <v>0.95037361227078399</v>
      </c>
      <c r="N61" s="1">
        <v>1</v>
      </c>
      <c r="O61" s="1">
        <v>1</v>
      </c>
      <c r="P61" s="1">
        <v>0.943980005878164</v>
      </c>
      <c r="Q61" s="1">
        <v>0.98527818424344404</v>
      </c>
      <c r="R61" s="1">
        <v>0.95445115010332204</v>
      </c>
      <c r="S61" s="1"/>
      <c r="T61" s="1">
        <f t="shared" si="6"/>
        <v>0.98437169918782252</v>
      </c>
    </row>
    <row r="62" spans="1:20" ht="30" customHeight="1">
      <c r="A62" t="str">
        <f t="shared" si="5"/>
        <v>russian</v>
      </c>
      <c r="B62">
        <f>_xlfn.LET(_xlpm.c,_xlfn.SINGLE(Table1[condition]),IF(RIGHT(_xlpm.c,2)="1g",1,0))</f>
        <v>0</v>
      </c>
      <c r="C62">
        <f>_xlfn.LET(_xlpm.c,_xlfn.SINGLE(Table1[condition]),_xlpm.k,CONCATENATE("*","-xsk","*"),IF(COUNTIF(_xlpm.c,_xlpm.k)&gt;0,1,0))</f>
        <v>0</v>
      </c>
      <c r="D62">
        <f>_xlfn.LET(_xlpm.c,_xlfn.SINGLE(Table1[condition]),_xlpm.k,CONCATENATE("*","-sk","*"),IF(COUNTIF(_xlpm.c,_xlpm.k)&gt;0,1,0))</f>
        <v>1</v>
      </c>
      <c r="E62">
        <f>IF(AND(Table1[[#This Row],[xsk]]=1,Table1[[#This Row],[sk]]=1),0,1)</f>
        <v>1</v>
      </c>
      <c r="F62" t="s">
        <v>35</v>
      </c>
      <c r="G62" s="1">
        <v>0.94709333075913904</v>
      </c>
      <c r="H62" s="1">
        <v>0.99719852781796703</v>
      </c>
      <c r="I62" s="1">
        <v>1</v>
      </c>
      <c r="J62" s="1">
        <v>0.983673927950386</v>
      </c>
      <c r="K62" s="1">
        <v>0.98887789512898705</v>
      </c>
      <c r="L62" s="1">
        <v>0.93016190178874003</v>
      </c>
      <c r="M62" s="1">
        <v>0.93174566520233604</v>
      </c>
      <c r="N62" s="1">
        <v>1</v>
      </c>
      <c r="O62" s="1">
        <v>1</v>
      </c>
      <c r="P62" s="1">
        <v>0.64286003833524197</v>
      </c>
      <c r="Q62" s="1">
        <v>0.84646400472315197</v>
      </c>
      <c r="R62" s="1">
        <v>0.91885525034833204</v>
      </c>
      <c r="S62" s="1">
        <v>1</v>
      </c>
      <c r="T62" s="1">
        <f t="shared" si="6"/>
        <v>0.93745619554263704</v>
      </c>
    </row>
    <row r="63" spans="1:20" ht="30" customHeight="1">
      <c r="A63" t="str">
        <f t="shared" si="5"/>
        <v>russian</v>
      </c>
      <c r="B63">
        <f>_xlfn.LET(_xlpm.c,_xlfn.SINGLE(Table1[condition]),IF(RIGHT(_xlpm.c,2)="1g",1,0))</f>
        <v>0</v>
      </c>
      <c r="C63">
        <f>_xlfn.LET(_xlpm.c,_xlfn.SINGLE(Table1[condition]),_xlpm.k,CONCATENATE("*","-xsk","*"),IF(COUNTIF(_xlpm.c,_xlpm.k)&gt;0,1,0))</f>
        <v>1</v>
      </c>
      <c r="D63">
        <f>_xlfn.LET(_xlpm.c,_xlfn.SINGLE(Table1[condition]),_xlpm.k,CONCATENATE("*","-sk","*"),IF(COUNTIF(_xlpm.c,_xlpm.k)&gt;0,1,0))</f>
        <v>0</v>
      </c>
      <c r="E63">
        <f>IF(AND(Table1[[#This Row],[xsk]]=1,Table1[[#This Row],[sk]]=1),0,1)</f>
        <v>1</v>
      </c>
      <c r="F63" t="s">
        <v>88</v>
      </c>
      <c r="G63" s="1">
        <v>0.98094981882483601</v>
      </c>
      <c r="H63" s="1">
        <v>0.95743933006325199</v>
      </c>
      <c r="I63" s="1">
        <v>0.98799928799122005</v>
      </c>
      <c r="J63" s="1">
        <v>0.99747466695360498</v>
      </c>
      <c r="K63" s="1">
        <v>0.981406847085734</v>
      </c>
      <c r="L63" s="1">
        <v>0.93755588631168396</v>
      </c>
      <c r="M63" s="1">
        <v>0.92351163101393596</v>
      </c>
      <c r="N63" s="1">
        <v>0.92481131761240998</v>
      </c>
      <c r="O63" s="1">
        <v>1</v>
      </c>
      <c r="P63" s="1">
        <v>1</v>
      </c>
      <c r="Q63" s="1">
        <v>0.994285714285714</v>
      </c>
      <c r="R63" s="1">
        <v>0.747090739999826</v>
      </c>
      <c r="S63" s="1">
        <v>0.84532192156526198</v>
      </c>
      <c r="T63" s="1">
        <f t="shared" si="6"/>
        <v>0.94444978166980609</v>
      </c>
    </row>
    <row r="64" spans="1:20" ht="30" customHeight="1">
      <c r="A64" t="str">
        <f t="shared" si="5"/>
        <v>russian</v>
      </c>
      <c r="B64">
        <f>_xlfn.LET(_xlpm.c,_xlfn.SINGLE(Table1[condition]),IF(RIGHT(_xlpm.c,2)="1g",1,0))</f>
        <v>0</v>
      </c>
      <c r="C64">
        <f>_xlfn.LET(_xlpm.c,_xlfn.SINGLE(Table1[condition]),_xlpm.k,CONCATENATE("*","-xsk","*"),IF(COUNTIF(_xlpm.c,_xlpm.k)&gt;0,1,0))</f>
        <v>1</v>
      </c>
      <c r="D64">
        <f>_xlfn.LET(_xlpm.c,_xlfn.SINGLE(Table1[condition]),_xlpm.k,CONCATENATE("*","-sk","*"),IF(COUNTIF(_xlpm.c,_xlpm.k)&gt;0,1,0))</f>
        <v>0</v>
      </c>
      <c r="E64">
        <f>IF(AND(Table1[[#This Row],[xsk]]=1,Table1[[#This Row],[sk]]=1),0,1)</f>
        <v>1</v>
      </c>
      <c r="F64" t="s">
        <v>89</v>
      </c>
      <c r="G64" s="1">
        <v>0.96509148696341895</v>
      </c>
      <c r="H64" s="1">
        <v>0.96327985091650503</v>
      </c>
      <c r="I64" s="1">
        <v>0.99708415151227703</v>
      </c>
      <c r="J64" s="1">
        <v>0.980733549429882</v>
      </c>
      <c r="K64" s="1">
        <v>1</v>
      </c>
      <c r="L64" s="1">
        <v>0.98480770591891997</v>
      </c>
      <c r="M64" s="1">
        <v>0.89142843690302598</v>
      </c>
      <c r="N64" s="1">
        <v>0.88582078174478496</v>
      </c>
      <c r="O64" s="1">
        <v>0.84064514539583102</v>
      </c>
      <c r="P64" s="1">
        <v>0.892265299037034</v>
      </c>
      <c r="Q64" s="1">
        <v>1</v>
      </c>
      <c r="R64" s="1">
        <v>0.63196063481315601</v>
      </c>
      <c r="S64" s="1">
        <v>0.99275324264136</v>
      </c>
      <c r="T64" s="1">
        <f t="shared" si="6"/>
        <v>0.92506694502124576</v>
      </c>
    </row>
    <row r="65" spans="1:20" ht="30" customHeight="1">
      <c r="A65" t="str">
        <f t="shared" si="1"/>
        <v>spanish</v>
      </c>
      <c r="B65">
        <f>_xlfn.LET(_xlpm.c,_xlfn.SINGLE(Table1[condition]),IF(RIGHT(_xlpm.c,2)="1g",1,0))</f>
        <v>1</v>
      </c>
      <c r="C65">
        <f>_xlfn.LET(_xlpm.c,_xlfn.SINGLE(Table1[condition]),_xlpm.k,CONCATENATE("*","-xsk","*"),IF(COUNTIF(_xlpm.c,_xlpm.k)&gt;0,1,0))</f>
        <v>0</v>
      </c>
      <c r="D65">
        <f>_xlfn.LET(_xlpm.c,_xlfn.SINGLE(Table1[condition]),_xlpm.k,CONCATENATE("*","-sk","*"),IF(COUNTIF(_xlpm.c,_xlpm.k)&gt;0,1,0))</f>
        <v>0</v>
      </c>
      <c r="E65">
        <f>IF(AND(Table1[[#This Row],[xsk]]=1,Table1[[#This Row],[sk]]=1),0,1)</f>
        <v>1</v>
      </c>
      <c r="F65" t="s">
        <v>104</v>
      </c>
      <c r="G65" s="1">
        <v>0.82678346840768502</v>
      </c>
      <c r="H65" s="1">
        <v>0.69174713987423297</v>
      </c>
      <c r="I65" s="1">
        <v>0.60580606267634995</v>
      </c>
      <c r="J65" s="1">
        <v>0.67269630375380796</v>
      </c>
      <c r="K65" s="1">
        <v>0.62082415439518401</v>
      </c>
      <c r="L65" s="1">
        <v>0.41716496076311599</v>
      </c>
      <c r="M65" s="1">
        <v>0.440338955232288</v>
      </c>
      <c r="N65" s="1">
        <v>0.53344497009050096</v>
      </c>
      <c r="O65" s="1">
        <v>0.53297861675055802</v>
      </c>
      <c r="P65" s="1">
        <v>0</v>
      </c>
      <c r="Q65" s="1">
        <v>0.35247044508942399</v>
      </c>
      <c r="R65" s="1">
        <v>0.53244972881595798</v>
      </c>
      <c r="S65" s="1">
        <v>0.45842369737509497</v>
      </c>
      <c r="T65" s="1">
        <f t="shared" si="2"/>
        <v>0.51424065409416919</v>
      </c>
    </row>
    <row r="66" spans="1:20" ht="30" customHeight="1">
      <c r="A66" t="str">
        <f t="shared" si="1"/>
        <v>spanish</v>
      </c>
      <c r="B66">
        <f>_xlfn.LET(_xlpm.c,_xlfn.SINGLE(Table1[condition]),IF(RIGHT(_xlpm.c,2)="1g",1,0))</f>
        <v>0</v>
      </c>
      <c r="C66">
        <f>_xlfn.LET(_xlpm.c,_xlfn.SINGLE(Table1[condition]),_xlpm.k,CONCATENATE("*","-xsk","*"),IF(COUNTIF(_xlpm.c,_xlpm.k)&gt;0,1,0))</f>
        <v>0</v>
      </c>
      <c r="D66">
        <f>_xlfn.LET(_xlpm.c,_xlfn.SINGLE(Table1[condition]),_xlpm.k,CONCATENATE("*","-sk","*"),IF(COUNTIF(_xlpm.c,_xlpm.k)&gt;0,1,0))</f>
        <v>0</v>
      </c>
      <c r="E66">
        <f>IF(AND(Table1[[#This Row],[xsk]]=1,Table1[[#This Row],[sk]]=1),0,1)</f>
        <v>1</v>
      </c>
      <c r="F66" t="s">
        <v>105</v>
      </c>
      <c r="G66" s="1">
        <v>0.51472857401908101</v>
      </c>
      <c r="H66" s="1">
        <v>0.51412514644777696</v>
      </c>
      <c r="I66" s="1">
        <v>0.373545369999912</v>
      </c>
      <c r="J66" s="1">
        <v>0.30633741402346398</v>
      </c>
      <c r="K66" s="1">
        <v>0.37541936960421102</v>
      </c>
      <c r="L66" s="1">
        <v>0.62345301501004402</v>
      </c>
      <c r="M66" s="1">
        <v>0.230216805068682</v>
      </c>
      <c r="N66" s="1">
        <v>0.57575757575757502</v>
      </c>
      <c r="O66" s="1">
        <v>0</v>
      </c>
      <c r="P66" s="1">
        <v>0</v>
      </c>
      <c r="Q66" s="1">
        <v>0.34339099015427499</v>
      </c>
      <c r="R66" s="1">
        <v>0.51969342490890402</v>
      </c>
      <c r="S66" s="1">
        <v>0.37579730588542898</v>
      </c>
      <c r="T66" s="1">
        <f t="shared" si="2"/>
        <v>0.36557423006764267</v>
      </c>
    </row>
    <row r="67" spans="1:20" ht="30" customHeight="1">
      <c r="A67" t="str">
        <f t="shared" si="1"/>
        <v>spanish</v>
      </c>
      <c r="B67">
        <f>_xlfn.LET(_xlpm.c,_xlfn.SINGLE(Table1[condition]),IF(RIGHT(_xlpm.c,2)="1g",1,0))</f>
        <v>0</v>
      </c>
      <c r="C67">
        <f>_xlfn.LET(_xlpm.c,_xlfn.SINGLE(Table1[condition]),_xlpm.k,CONCATENATE("*","-xsk","*"),IF(COUNTIF(_xlpm.c,_xlpm.k)&gt;0,1,0))</f>
        <v>0</v>
      </c>
      <c r="D67">
        <f>_xlfn.LET(_xlpm.c,_xlfn.SINGLE(Table1[condition]),_xlpm.k,CONCATENATE("*","-sk","*"),IF(COUNTIF(_xlpm.c,_xlpm.k)&gt;0,1,0))</f>
        <v>0</v>
      </c>
      <c r="E67">
        <f>IF(AND(Table1[[#This Row],[xsk]]=1,Table1[[#This Row],[sk]]=1),0,1)</f>
        <v>1</v>
      </c>
      <c r="F67" t="s">
        <v>106</v>
      </c>
      <c r="G67" s="1">
        <v>0.59561428908900804</v>
      </c>
      <c r="H67" s="1">
        <v>0.50816161496305201</v>
      </c>
      <c r="I67" s="1">
        <v>0.58600654185337597</v>
      </c>
      <c r="J67" s="1">
        <v>0.51653450687753</v>
      </c>
      <c r="K67" s="1">
        <v>0.54455751866754698</v>
      </c>
      <c r="L67" s="1">
        <v>0.30883134206670099</v>
      </c>
      <c r="M67" s="1">
        <v>0.54647376392980596</v>
      </c>
      <c r="N67" s="1">
        <v>0.49180418267734799</v>
      </c>
      <c r="O67" s="1"/>
      <c r="P67" s="1">
        <v>0.66666666666666596</v>
      </c>
      <c r="Q67" s="1">
        <v>0.6</v>
      </c>
      <c r="R67" s="1"/>
      <c r="S67" s="1">
        <v>0</v>
      </c>
      <c r="T67" s="1">
        <f t="shared" si="2"/>
        <v>0.48769549334463935</v>
      </c>
    </row>
    <row r="68" spans="1:20" ht="30" customHeight="1">
      <c r="A68" t="str">
        <f t="shared" si="1"/>
        <v>spanish</v>
      </c>
      <c r="B68">
        <f>_xlfn.LET(_xlpm.c,_xlfn.SINGLE(Table1[condition]),IF(RIGHT(_xlpm.c,2)="1g",1,0))</f>
        <v>0</v>
      </c>
      <c r="C68">
        <f>_xlfn.LET(_xlpm.c,_xlfn.SINGLE(Table1[condition]),_xlpm.k,CONCATENATE("*","-xsk","*"),IF(COUNTIF(_xlpm.c,_xlpm.k)&gt;0,1,0))</f>
        <v>0</v>
      </c>
      <c r="D68">
        <f>_xlfn.LET(_xlpm.c,_xlfn.SINGLE(Table1[condition]),_xlpm.k,CONCATENATE("*","-sk","*"),IF(COUNTIF(_xlpm.c,_xlpm.k)&gt;0,1,0))</f>
        <v>1</v>
      </c>
      <c r="E68">
        <f>IF(AND(Table1[[#This Row],[xsk]]=1,Table1[[#This Row],[sk]]=1),0,1)</f>
        <v>1</v>
      </c>
      <c r="F68" t="s">
        <v>107</v>
      </c>
      <c r="G68" s="1">
        <v>0.64995976304908598</v>
      </c>
      <c r="H68" s="1">
        <v>0.87800698408177102</v>
      </c>
      <c r="I68" s="1">
        <v>0.66477917847907497</v>
      </c>
      <c r="J68" s="1">
        <v>0.75531584792511197</v>
      </c>
      <c r="K68" s="1">
        <v>0.82842712474618996</v>
      </c>
      <c r="L68" s="1">
        <v>0.42373086546697902</v>
      </c>
      <c r="M68" s="1">
        <v>0.36474911563780199</v>
      </c>
      <c r="N68" s="1">
        <v>0.50719363463740597</v>
      </c>
      <c r="O68" s="1">
        <v>0.74205494669043204</v>
      </c>
      <c r="P68" s="1">
        <v>0.59252949022319201</v>
      </c>
      <c r="Q68" s="1">
        <v>0.38394342617010502</v>
      </c>
      <c r="R68" s="1">
        <v>0</v>
      </c>
      <c r="S68" s="1">
        <v>0.50641131038207199</v>
      </c>
      <c r="T68" s="1">
        <f t="shared" si="2"/>
        <v>0.56131551442224781</v>
      </c>
    </row>
    <row r="69" spans="1:20" ht="30" customHeight="1">
      <c r="A69" t="str">
        <f t="shared" si="1"/>
        <v>spanish</v>
      </c>
      <c r="B69">
        <f>_xlfn.LET(_xlpm.c,_xlfn.SINGLE(Table1[condition]),IF(RIGHT(_xlpm.c,2)="1g",1,0))</f>
        <v>0</v>
      </c>
      <c r="C69">
        <f>_xlfn.LET(_xlpm.c,_xlfn.SINGLE(Table1[condition]),_xlpm.k,CONCATENATE("*","-xsk","*"),IF(COUNTIF(_xlpm.c,_xlpm.k)&gt;0,1,0))</f>
        <v>0</v>
      </c>
      <c r="D69">
        <f>_xlfn.LET(_xlpm.c,_xlfn.SINGLE(Table1[condition]),_xlpm.k,CONCATENATE("*","-sk","*"),IF(COUNTIF(_xlpm.c,_xlpm.k)&gt;0,1,0))</f>
        <v>1</v>
      </c>
      <c r="E69">
        <f>IF(AND(Table1[[#This Row],[xsk]]=1,Table1[[#This Row],[sk]]=1),0,1)</f>
        <v>1</v>
      </c>
      <c r="F69" t="s">
        <v>108</v>
      </c>
      <c r="G69" s="1">
        <v>0.89598070391782703</v>
      </c>
      <c r="H69" s="1">
        <v>0.64909699608158</v>
      </c>
      <c r="I69" s="1">
        <v>0.75212946614821596</v>
      </c>
      <c r="J69" s="1">
        <v>0.64461297777168003</v>
      </c>
      <c r="K69" s="1">
        <v>0.49481807980813303</v>
      </c>
      <c r="L69" s="1">
        <v>0.466060555964672</v>
      </c>
      <c r="M69" s="1">
        <v>0.52786404500041995</v>
      </c>
      <c r="N69" s="1">
        <v>0.49229551242519398</v>
      </c>
      <c r="O69" s="1">
        <v>0.73570431885864396</v>
      </c>
      <c r="P69" s="1">
        <v>0.51316701949486199</v>
      </c>
      <c r="Q69" s="1">
        <v>0.37444467526005898</v>
      </c>
      <c r="R69" s="1">
        <v>0.22204818452543601</v>
      </c>
      <c r="S69" s="1">
        <v>0.51087470692394199</v>
      </c>
      <c r="T69" s="1">
        <f t="shared" si="2"/>
        <v>0.55993055709082029</v>
      </c>
    </row>
    <row r="70" spans="1:20" ht="30" customHeight="1">
      <c r="A70" t="str">
        <f t="shared" si="1"/>
        <v>spanish</v>
      </c>
      <c r="B70">
        <f>_xlfn.LET(_xlpm.c,_xlfn.SINGLE(Table1[condition]),IF(RIGHT(_xlpm.c,2)="1g",1,0))</f>
        <v>0</v>
      </c>
      <c r="C70">
        <f>_xlfn.LET(_xlpm.c,_xlfn.SINGLE(Table1[condition]),_xlpm.k,CONCATENATE("*","-xsk","*"),IF(COUNTIF(_xlpm.c,_xlpm.k)&gt;0,1,0))</f>
        <v>1</v>
      </c>
      <c r="D70">
        <f>_xlfn.LET(_xlpm.c,_xlfn.SINGLE(Table1[condition]),_xlpm.k,CONCATENATE("*","-sk","*"),IF(COUNTIF(_xlpm.c,_xlpm.k)&gt;0,1,0))</f>
        <v>0</v>
      </c>
      <c r="E70">
        <f>IF(AND(Table1[[#This Row],[xsk]]=1,Table1[[#This Row],[sk]]=1),0,1)</f>
        <v>1</v>
      </c>
      <c r="F70" t="s">
        <v>109</v>
      </c>
      <c r="G70" s="1">
        <v>0.53137303340311404</v>
      </c>
      <c r="H70" s="1">
        <v>0.77196194350633396</v>
      </c>
      <c r="I70" s="1">
        <v>0.66064201006288104</v>
      </c>
      <c r="J70" s="1">
        <v>0.75597101321169502</v>
      </c>
      <c r="K70" s="1">
        <v>0.65771569300911603</v>
      </c>
      <c r="L70" s="1">
        <v>0.55776956061276295</v>
      </c>
      <c r="M70" s="1">
        <v>0.68481606042061705</v>
      </c>
      <c r="N70" s="1">
        <v>0.53987580874174801</v>
      </c>
      <c r="O70" s="1">
        <v>0.51773883461639303</v>
      </c>
      <c r="P70" s="1">
        <v>1</v>
      </c>
      <c r="Q70" s="1">
        <v>0.47791577132560298</v>
      </c>
      <c r="R70" s="1">
        <v>0.746618531261938</v>
      </c>
      <c r="S70" s="1">
        <v>1</v>
      </c>
      <c r="T70" s="1">
        <f t="shared" si="2"/>
        <v>0.68479986616709243</v>
      </c>
    </row>
    <row r="71" spans="1:20" ht="30" customHeight="1">
      <c r="A71" t="str">
        <f t="shared" ref="A71:A85" si="7">_xlfn.LET(_xlpm.c,$F71,_xlfn.TEXTBEFORE(_xlpm.c,"-"))</f>
        <v>spanish</v>
      </c>
      <c r="B71">
        <f>_xlfn.LET(_xlpm.c,_xlfn.SINGLE(Table1[condition]),IF(RIGHT(_xlpm.c,2)="1g",1,0))</f>
        <v>0</v>
      </c>
      <c r="C71">
        <f>_xlfn.LET(_xlpm.c,_xlfn.SINGLE(Table1[condition]),_xlpm.k,CONCATENATE("*","-xsk","*"),IF(COUNTIF(_xlpm.c,_xlpm.k)&gt;0,1,0))</f>
        <v>1</v>
      </c>
      <c r="D71">
        <f>_xlfn.LET(_xlpm.c,_xlfn.SINGLE(Table1[condition]),_xlpm.k,CONCATENATE("*","-sk","*"),IF(COUNTIF(_xlpm.c,_xlpm.k)&gt;0,1,0))</f>
        <v>0</v>
      </c>
      <c r="E71">
        <f>IF(AND(Table1[[#This Row],[xsk]]=1,Table1[[#This Row],[sk]]=1),0,1)</f>
        <v>1</v>
      </c>
      <c r="F71" t="s">
        <v>110</v>
      </c>
      <c r="G71" s="1">
        <v>0.90130134900724901</v>
      </c>
      <c r="H71" s="1">
        <v>0.88498666804888404</v>
      </c>
      <c r="I71" s="1">
        <v>1</v>
      </c>
      <c r="J71" s="1">
        <v>0.52778407294410301</v>
      </c>
      <c r="K71" s="1">
        <v>0.41967010933571902</v>
      </c>
      <c r="L71" s="1">
        <v>0.64389881828786699</v>
      </c>
      <c r="M71" s="1">
        <v>1</v>
      </c>
      <c r="N71" s="1">
        <v>1</v>
      </c>
      <c r="O71" s="1">
        <v>1</v>
      </c>
      <c r="P71" s="1">
        <v>1</v>
      </c>
      <c r="Q71" s="1">
        <v>0.35786781797550499</v>
      </c>
      <c r="R71" s="1">
        <v>1</v>
      </c>
      <c r="S71" s="1">
        <v>0.80699807460497797</v>
      </c>
      <c r="T71" s="1">
        <f t="shared" si="0"/>
        <v>0.81096207001571585</v>
      </c>
    </row>
    <row r="72" spans="1:20" ht="30" customHeight="1">
      <c r="A72" t="str">
        <f t="shared" si="7"/>
        <v>swahili</v>
      </c>
      <c r="B72">
        <f>_xlfn.LET(_xlpm.c,_xlfn.SINGLE(Table1[condition]),IF(RIGHT(_xlpm.c,2)="1g",1,0))</f>
        <v>1</v>
      </c>
      <c r="C72">
        <f>_xlfn.LET(_xlpm.c,_xlfn.SINGLE(Table1[condition]),_xlpm.k,CONCATENATE("*","-xsk","*"),IF(COUNTIF(_xlpm.c,_xlpm.k)&gt;0,1,0))</f>
        <v>0</v>
      </c>
      <c r="D72">
        <f>_xlfn.LET(_xlpm.c,_xlfn.SINGLE(Table1[condition]),_xlpm.k,CONCATENATE("*","-sk","*"),IF(COUNTIF(_xlpm.c,_xlpm.k)&gt;0,1,0))</f>
        <v>0</v>
      </c>
      <c r="E72">
        <f>IF(AND(Table1[[#This Row],[xsk]]=1,Table1[[#This Row],[sk]]=1),0,1)</f>
        <v>1</v>
      </c>
      <c r="F72" t="s">
        <v>111</v>
      </c>
      <c r="G72" s="1">
        <v>0.79483788371304998</v>
      </c>
      <c r="H72" s="1">
        <v>0.85071628918819797</v>
      </c>
      <c r="I72" s="1">
        <v>0.48991074579494598</v>
      </c>
      <c r="J72" s="1">
        <v>0.71168005712316496</v>
      </c>
      <c r="K72" s="1">
        <v>0.63365844451003295</v>
      </c>
      <c r="L72" s="1">
        <v>0.81891712637224701</v>
      </c>
      <c r="M72" s="1">
        <v>0.53846153846153799</v>
      </c>
      <c r="N72" s="1">
        <v>0.60379069077405301</v>
      </c>
      <c r="O72" s="1">
        <v>0.40837535387344998</v>
      </c>
      <c r="P72" s="1">
        <v>0.54064837533316801</v>
      </c>
      <c r="Q72" s="1">
        <v>0.53705979928970105</v>
      </c>
      <c r="R72" s="1">
        <v>0</v>
      </c>
      <c r="S72" s="1"/>
      <c r="T72" s="1">
        <f t="shared" si="0"/>
        <v>0.57733802536946244</v>
      </c>
    </row>
    <row r="73" spans="1:20" ht="30" customHeight="1">
      <c r="A73" t="str">
        <f t="shared" si="7"/>
        <v>swahili</v>
      </c>
      <c r="B73">
        <f>_xlfn.LET(_xlpm.c,_xlfn.SINGLE(Table1[condition]),IF(RIGHT(_xlpm.c,2)="1g",1,0))</f>
        <v>0</v>
      </c>
      <c r="C73">
        <f>_xlfn.LET(_xlpm.c,_xlfn.SINGLE(Table1[condition]),_xlpm.k,CONCATENATE("*","-xsk","*"),IF(COUNTIF(_xlpm.c,_xlpm.k)&gt;0,1,0))</f>
        <v>0</v>
      </c>
      <c r="D73">
        <f>_xlfn.LET(_xlpm.c,_xlfn.SINGLE(Table1[condition]),_xlpm.k,CONCATENATE("*","-sk","*"),IF(COUNTIF(_xlpm.c,_xlpm.k)&gt;0,1,0))</f>
        <v>0</v>
      </c>
      <c r="E73">
        <f>IF(AND(Table1[[#This Row],[xsk]]=1,Table1[[#This Row],[sk]]=1),0,1)</f>
        <v>1</v>
      </c>
      <c r="F73" t="s">
        <v>112</v>
      </c>
      <c r="G73" s="1">
        <v>0.68375624007894698</v>
      </c>
      <c r="H73" s="1">
        <v>0.55305467550130905</v>
      </c>
      <c r="I73" s="1">
        <v>0.67648657861353201</v>
      </c>
      <c r="J73" s="1">
        <v>0.66826927241788103</v>
      </c>
      <c r="K73" s="1">
        <v>0.61307844692076996</v>
      </c>
      <c r="L73" s="1">
        <v>0.64179673480449295</v>
      </c>
      <c r="M73" s="1">
        <v>0.405611094695151</v>
      </c>
      <c r="N73" s="1">
        <v>0.35139464897216999</v>
      </c>
      <c r="O73" s="1">
        <v>0.79418829337395203</v>
      </c>
      <c r="P73" s="1">
        <v>0.54511078215053899</v>
      </c>
      <c r="Q73" s="1">
        <v>0.53755651130056203</v>
      </c>
      <c r="R73" s="1">
        <v>0</v>
      </c>
      <c r="S73" s="1">
        <v>0.69883676148853402</v>
      </c>
      <c r="T73" s="1">
        <f t="shared" si="0"/>
        <v>0.55147231079367998</v>
      </c>
    </row>
    <row r="74" spans="1:20" ht="30" customHeight="1">
      <c r="A74" t="str">
        <f t="shared" si="7"/>
        <v>swahili</v>
      </c>
      <c r="B74">
        <f>_xlfn.LET(_xlpm.c,_xlfn.SINGLE(Table1[condition]),IF(RIGHT(_xlpm.c,2)="1g",1,0))</f>
        <v>0</v>
      </c>
      <c r="C74">
        <f>_xlfn.LET(_xlpm.c,_xlfn.SINGLE(Table1[condition]),_xlpm.k,CONCATENATE("*","-xsk","*"),IF(COUNTIF(_xlpm.c,_xlpm.k)&gt;0,1,0))</f>
        <v>0</v>
      </c>
      <c r="D74">
        <f>_xlfn.LET(_xlpm.c,_xlfn.SINGLE(Table1[condition]),_xlpm.k,CONCATENATE("*","-sk","*"),IF(COUNTIF(_xlpm.c,_xlpm.k)&gt;0,1,0))</f>
        <v>0</v>
      </c>
      <c r="E74">
        <f>IF(AND(Table1[[#This Row],[xsk]]=1,Table1[[#This Row],[sk]]=1),0,1)</f>
        <v>1</v>
      </c>
      <c r="F74" t="s">
        <v>113</v>
      </c>
      <c r="G74" s="1">
        <v>0.53552321828780203</v>
      </c>
      <c r="H74" s="1">
        <v>0.67438818699061198</v>
      </c>
      <c r="I74" s="1">
        <v>0.58953272860959605</v>
      </c>
      <c r="J74" s="1">
        <v>0.54013587232142701</v>
      </c>
      <c r="K74" s="1">
        <v>0.46230685459279902</v>
      </c>
      <c r="L74" s="1">
        <v>0.425314704898899</v>
      </c>
      <c r="M74" s="1">
        <v>0.53658332977282197</v>
      </c>
      <c r="N74" s="1">
        <v>0.53115894906123995</v>
      </c>
      <c r="O74" s="1">
        <v>0.66116047507718301</v>
      </c>
      <c r="P74" s="1">
        <v>0.94736842105263097</v>
      </c>
      <c r="Q74" s="1">
        <v>0.58648579591846295</v>
      </c>
      <c r="R74" s="1">
        <v>0.9375</v>
      </c>
      <c r="S74" s="1">
        <v>0.66666666666666596</v>
      </c>
      <c r="T74" s="1">
        <f t="shared" si="0"/>
        <v>0.62262501563462602</v>
      </c>
    </row>
    <row r="75" spans="1:20" ht="30" customHeight="1">
      <c r="A75" t="str">
        <f t="shared" si="7"/>
        <v>swahili</v>
      </c>
      <c r="B75">
        <f>_xlfn.LET(_xlpm.c,_xlfn.SINGLE(Table1[condition]),IF(RIGHT(_xlpm.c,2)="1g",1,0))</f>
        <v>0</v>
      </c>
      <c r="C75">
        <f>_xlfn.LET(_xlpm.c,_xlfn.SINGLE(Table1[condition]),_xlpm.k,CONCATENATE("*","-xsk","*"),IF(COUNTIF(_xlpm.c,_xlpm.k)&gt;0,1,0))</f>
        <v>0</v>
      </c>
      <c r="D75">
        <f>_xlfn.LET(_xlpm.c,_xlfn.SINGLE(Table1[condition]),_xlpm.k,CONCATENATE("*","-sk","*"),IF(COUNTIF(_xlpm.c,_xlpm.k)&gt;0,1,0))</f>
        <v>1</v>
      </c>
      <c r="E75">
        <f>IF(AND(Table1[[#This Row],[xsk]]=1,Table1[[#This Row],[sk]]=1),0,1)</f>
        <v>1</v>
      </c>
      <c r="F75" t="s">
        <v>114</v>
      </c>
      <c r="G75" s="1">
        <v>0.68815994974904904</v>
      </c>
      <c r="H75" s="1">
        <v>0.74750573050010305</v>
      </c>
      <c r="I75" s="1">
        <v>0.72599270196517596</v>
      </c>
      <c r="J75" s="1">
        <v>0.66187185843933805</v>
      </c>
      <c r="K75" s="1">
        <v>0.76785257957674602</v>
      </c>
      <c r="L75" s="1">
        <v>0.74063050963014998</v>
      </c>
      <c r="M75" s="1">
        <v>0.65379066114808104</v>
      </c>
      <c r="N75" s="1">
        <v>0.74113835494567604</v>
      </c>
      <c r="O75" s="1">
        <v>0.48715223069997698</v>
      </c>
      <c r="P75" s="1">
        <v>0.69437174118116396</v>
      </c>
      <c r="Q75" s="1">
        <v>0.77698238883068405</v>
      </c>
      <c r="R75" s="1">
        <v>0.54116771944471798</v>
      </c>
      <c r="S75" s="1">
        <v>0.46487322045417001</v>
      </c>
      <c r="T75" s="1">
        <f t="shared" si="0"/>
        <v>0.66857612665884858</v>
      </c>
    </row>
    <row r="76" spans="1:20" ht="30" customHeight="1">
      <c r="A76" t="str">
        <f t="shared" si="7"/>
        <v>swahili</v>
      </c>
      <c r="B76">
        <f>_xlfn.LET(_xlpm.c,_xlfn.SINGLE(Table1[condition]),IF(RIGHT(_xlpm.c,2)="1g",1,0))</f>
        <v>0</v>
      </c>
      <c r="C76">
        <f>_xlfn.LET(_xlpm.c,_xlfn.SINGLE(Table1[condition]),_xlpm.k,CONCATENATE("*","-xsk","*"),IF(COUNTIF(_xlpm.c,_xlpm.k)&gt;0,1,0))</f>
        <v>0</v>
      </c>
      <c r="D76">
        <f>_xlfn.LET(_xlpm.c,_xlfn.SINGLE(Table1[condition]),_xlpm.k,CONCATENATE("*","-sk","*"),IF(COUNTIF(_xlpm.c,_xlpm.k)&gt;0,1,0))</f>
        <v>1</v>
      </c>
      <c r="E76">
        <f>IF(AND(Table1[[#This Row],[xsk]]=1,Table1[[#This Row],[sk]]=1),0,1)</f>
        <v>1</v>
      </c>
      <c r="F76" t="s">
        <v>115</v>
      </c>
      <c r="G76" s="1">
        <v>0.83432429313350398</v>
      </c>
      <c r="H76" s="1">
        <v>0.76036248160575304</v>
      </c>
      <c r="I76" s="1">
        <v>0.73504763303506604</v>
      </c>
      <c r="J76" s="1">
        <v>0.65147958011063101</v>
      </c>
      <c r="K76" s="1">
        <v>0.415060888178788</v>
      </c>
      <c r="L76" s="1">
        <v>0.72219881089414295</v>
      </c>
      <c r="M76" s="1">
        <v>0.41421356237309498</v>
      </c>
      <c r="N76" s="1">
        <v>0.77067611970859795</v>
      </c>
      <c r="O76" s="1">
        <v>0.424055240164185</v>
      </c>
      <c r="P76" s="1">
        <v>0.35097792526396099</v>
      </c>
      <c r="Q76" s="1">
        <v>0.46553464108725301</v>
      </c>
      <c r="R76" s="1">
        <v>0.50532516863942001</v>
      </c>
      <c r="S76" s="1">
        <v>0.64214349708162</v>
      </c>
      <c r="T76" s="1">
        <f t="shared" si="0"/>
        <v>0.59164614163661655</v>
      </c>
    </row>
    <row r="77" spans="1:20" ht="30" customHeight="1">
      <c r="A77" t="str">
        <f t="shared" si="7"/>
        <v>swahili</v>
      </c>
      <c r="B77">
        <f>_xlfn.LET(_xlpm.c,_xlfn.SINGLE(Table1[condition]),IF(RIGHT(_xlpm.c,2)="1g",1,0))</f>
        <v>0</v>
      </c>
      <c r="C77">
        <f>_xlfn.LET(_xlpm.c,_xlfn.SINGLE(Table1[condition]),_xlpm.k,CONCATENATE("*","-xsk","*"),IF(COUNTIF(_xlpm.c,_xlpm.k)&gt;0,1,0))</f>
        <v>1</v>
      </c>
      <c r="D77">
        <f>_xlfn.LET(_xlpm.c,_xlfn.SINGLE(Table1[condition]),_xlpm.k,CONCATENATE("*","-sk","*"),IF(COUNTIF(_xlpm.c,_xlpm.k)&gt;0,1,0))</f>
        <v>0</v>
      </c>
      <c r="E77">
        <f>IF(AND(Table1[[#This Row],[xsk]]=1,Table1[[#This Row],[sk]]=1),0,1)</f>
        <v>1</v>
      </c>
      <c r="F77" t="s">
        <v>116</v>
      </c>
      <c r="G77" s="1">
        <v>0.77104484123369599</v>
      </c>
      <c r="H77" s="1">
        <v>0.81777992540079303</v>
      </c>
      <c r="I77" s="1">
        <v>0.82416388978722199</v>
      </c>
      <c r="J77" s="1">
        <v>0.75980507946661602</v>
      </c>
      <c r="K77" s="1">
        <v>0.50083841041180399</v>
      </c>
      <c r="L77" s="1">
        <v>0.503327361913815</v>
      </c>
      <c r="M77" s="1">
        <v>0.68067011331743699</v>
      </c>
      <c r="N77" s="1">
        <v>0.60601634755490896</v>
      </c>
      <c r="O77" s="1">
        <v>0.65860218203586296</v>
      </c>
      <c r="P77" s="1">
        <v>0.43572794281177202</v>
      </c>
      <c r="Q77" s="1">
        <v>0.65623773292133303</v>
      </c>
      <c r="R77" s="1">
        <v>0.68322002569360096</v>
      </c>
      <c r="S77" s="1">
        <v>0.87526976719485095</v>
      </c>
      <c r="T77" s="1">
        <f t="shared" si="0"/>
        <v>0.6748233553649009</v>
      </c>
    </row>
    <row r="78" spans="1:20" ht="30" customHeight="1">
      <c r="A78" t="str">
        <f t="shared" si="7"/>
        <v>swahili</v>
      </c>
      <c r="B78">
        <f>_xlfn.LET(_xlpm.c,_xlfn.SINGLE(Table1[condition]),IF(RIGHT(_xlpm.c,2)="1g",1,0))</f>
        <v>0</v>
      </c>
      <c r="C78">
        <f>_xlfn.LET(_xlpm.c,_xlfn.SINGLE(Table1[condition]),_xlpm.k,CONCATENATE("*","-xsk","*"),IF(COUNTIF(_xlpm.c,_xlpm.k)&gt;0,1,0))</f>
        <v>1</v>
      </c>
      <c r="D78">
        <f>_xlfn.LET(_xlpm.c,_xlfn.SINGLE(Table1[condition]),_xlpm.k,CONCATENATE("*","-sk","*"),IF(COUNTIF(_xlpm.c,_xlpm.k)&gt;0,1,0))</f>
        <v>0</v>
      </c>
      <c r="E78">
        <f>IF(AND(Table1[[#This Row],[xsk]]=1,Table1[[#This Row],[sk]]=1),0,1)</f>
        <v>1</v>
      </c>
      <c r="F78" t="s">
        <v>117</v>
      </c>
      <c r="G78" s="1">
        <v>0.60209400074215402</v>
      </c>
      <c r="H78" s="1">
        <v>0.89564296238347996</v>
      </c>
      <c r="I78" s="1">
        <v>0.71487813756356</v>
      </c>
      <c r="J78" s="1">
        <v>0.80669651024223499</v>
      </c>
      <c r="K78" s="1">
        <v>0.88276759869004795</v>
      </c>
      <c r="L78" s="1">
        <v>0.50275835877028496</v>
      </c>
      <c r="M78" s="1">
        <v>0.639863566681383</v>
      </c>
      <c r="N78" s="1">
        <v>0.83362115761401701</v>
      </c>
      <c r="O78" s="1">
        <v>0.71494088904109199</v>
      </c>
      <c r="P78" s="1">
        <v>0.43939560000141398</v>
      </c>
      <c r="Q78" s="1">
        <v>0.47255204074663498</v>
      </c>
      <c r="R78" s="1">
        <v>0.68548657484418996</v>
      </c>
      <c r="S78" s="1">
        <v>0.53879994766501305</v>
      </c>
      <c r="T78" s="1">
        <f t="shared" si="0"/>
        <v>0.67149979576811569</v>
      </c>
    </row>
    <row r="79" spans="1:20" ht="30" customHeight="1">
      <c r="A79" t="str">
        <f t="shared" si="7"/>
        <v>turkish</v>
      </c>
      <c r="B79">
        <f>_xlfn.LET(_xlpm.c,_xlfn.SINGLE(Table1[condition]),IF(RIGHT(_xlpm.c,2)="1g",1,0))</f>
        <v>1</v>
      </c>
      <c r="C79">
        <f>_xlfn.LET(_xlpm.c,_xlfn.SINGLE(Table1[condition]),_xlpm.k,CONCATENATE("*","-xsk","*"),IF(COUNTIF(_xlpm.c,_xlpm.k)&gt;0,1,0))</f>
        <v>0</v>
      </c>
      <c r="D79">
        <f>_xlfn.LET(_xlpm.c,_xlfn.SINGLE(Table1[condition]),_xlpm.k,CONCATENATE("*","-sk","*"),IF(COUNTIF(_xlpm.c,_xlpm.k)&gt;0,1,0))</f>
        <v>0</v>
      </c>
      <c r="E79">
        <f>IF(AND(Table1[[#This Row],[xsk]]=1,Table1[[#This Row],[sk]]=1),0,1)</f>
        <v>1</v>
      </c>
      <c r="F79" t="s">
        <v>90</v>
      </c>
      <c r="G79" s="1">
        <v>1</v>
      </c>
      <c r="H79" s="1">
        <v>0.98912400673710399</v>
      </c>
      <c r="I79" s="1">
        <v>0.95227248018343602</v>
      </c>
      <c r="J79" s="1">
        <v>0.640092882779985</v>
      </c>
      <c r="K79" s="1">
        <v>1</v>
      </c>
      <c r="L79" s="1">
        <v>0.84196671868943596</v>
      </c>
      <c r="M79" s="1">
        <v>0.49221098562988302</v>
      </c>
      <c r="N79" s="1">
        <v>0.58712641670281196</v>
      </c>
      <c r="O79" s="1">
        <v>0.66804694469425496</v>
      </c>
      <c r="P79" s="1">
        <v>1</v>
      </c>
      <c r="Q79" s="1">
        <v>0.49928842213366098</v>
      </c>
      <c r="R79" s="1">
        <v>0.499999999999999</v>
      </c>
      <c r="S79" s="1">
        <v>0.45714569780845199</v>
      </c>
      <c r="T79" s="1">
        <f t="shared" si="0"/>
        <v>0.74055958118146314</v>
      </c>
    </row>
    <row r="80" spans="1:20" ht="30" customHeight="1">
      <c r="A80" t="str">
        <f t="shared" si="7"/>
        <v>turkish</v>
      </c>
      <c r="B80">
        <f>_xlfn.LET(_xlpm.c,_xlfn.SINGLE(Table1[condition]),IF(RIGHT(_xlpm.c,2)="1g",1,0))</f>
        <v>0</v>
      </c>
      <c r="C80">
        <f>_xlfn.LET(_xlpm.c,_xlfn.SINGLE(Table1[condition]),_xlpm.k,CONCATENATE("*","-xsk","*"),IF(COUNTIF(_xlpm.c,_xlpm.k)&gt;0,1,0))</f>
        <v>0</v>
      </c>
      <c r="D80">
        <f>_xlfn.LET(_xlpm.c,_xlfn.SINGLE(Table1[condition]),_xlpm.k,CONCATENATE("*","-sk","*"),IF(COUNTIF(_xlpm.c,_xlpm.k)&gt;0,1,0))</f>
        <v>0</v>
      </c>
      <c r="E80">
        <f>IF(AND(Table1[[#This Row],[xsk]]=1,Table1[[#This Row],[sk]]=1),0,1)</f>
        <v>1</v>
      </c>
      <c r="F80" t="s">
        <v>91</v>
      </c>
      <c r="G80" s="1">
        <v>0.89540177375891505</v>
      </c>
      <c r="H80" s="1">
        <v>0.75052462355544503</v>
      </c>
      <c r="I80" s="1">
        <v>0.59772284619724703</v>
      </c>
      <c r="J80" s="1">
        <v>0.54204073790921403</v>
      </c>
      <c r="K80" s="1">
        <v>0.73205080756887697</v>
      </c>
      <c r="L80" s="1">
        <v>0.85511529321089796</v>
      </c>
      <c r="M80" s="1">
        <v>0.54594475091483197</v>
      </c>
      <c r="N80" s="1">
        <v>0.84846110915585105</v>
      </c>
      <c r="O80" s="1">
        <v>0.83006159491871501</v>
      </c>
      <c r="P80" s="1">
        <v>0.45209592395537501</v>
      </c>
      <c r="Q80" s="1">
        <v>1</v>
      </c>
      <c r="R80" s="1">
        <v>0.86100174808611996</v>
      </c>
      <c r="S80" s="1">
        <v>0.31604491956393899</v>
      </c>
      <c r="T80" s="1">
        <f t="shared" si="0"/>
        <v>0.70972816375349446</v>
      </c>
    </row>
    <row r="81" spans="1:20" ht="30" customHeight="1">
      <c r="A81" t="str">
        <f t="shared" si="7"/>
        <v>turkish</v>
      </c>
      <c r="B81">
        <f>_xlfn.LET(_xlpm.c,_xlfn.SINGLE(Table1[condition]),IF(RIGHT(_xlpm.c,2)="1g",1,0))</f>
        <v>0</v>
      </c>
      <c r="C81">
        <f>_xlfn.LET(_xlpm.c,_xlfn.SINGLE(Table1[condition]),_xlpm.k,CONCATENATE("*","-xsk","*"),IF(COUNTIF(_xlpm.c,_xlpm.k)&gt;0,1,0))</f>
        <v>0</v>
      </c>
      <c r="D81">
        <f>_xlfn.LET(_xlpm.c,_xlfn.SINGLE(Table1[condition]),_xlpm.k,CONCATENATE("*","-sk","*"),IF(COUNTIF(_xlpm.c,_xlpm.k)&gt;0,1,0))</f>
        <v>0</v>
      </c>
      <c r="E81">
        <f>IF(AND(Table1[[#This Row],[xsk]]=1,Table1[[#This Row],[sk]]=1),0,1)</f>
        <v>1</v>
      </c>
      <c r="F81" t="s">
        <v>92</v>
      </c>
      <c r="G81" s="1">
        <v>0.51004027213000502</v>
      </c>
      <c r="H81" s="1">
        <v>0.39880311374175098</v>
      </c>
      <c r="I81" s="1">
        <v>0.63075494428728796</v>
      </c>
      <c r="J81" s="1">
        <v>0.75959179422654199</v>
      </c>
      <c r="K81" s="1">
        <v>0.61995381136856498</v>
      </c>
      <c r="L81" s="1">
        <v>0.74157303370786498</v>
      </c>
      <c r="M81" s="1">
        <v>0.83333333333333304</v>
      </c>
      <c r="N81" s="1">
        <v>0.741954662166738</v>
      </c>
      <c r="O81" s="1">
        <v>0.51746313682426104</v>
      </c>
      <c r="P81" s="1">
        <v>1</v>
      </c>
      <c r="Q81" s="1">
        <v>0.88989911634603802</v>
      </c>
      <c r="R81" s="1">
        <v>0.59479490730254603</v>
      </c>
      <c r="S81" s="1">
        <v>0.53010878466971401</v>
      </c>
      <c r="T81" s="1">
        <f t="shared" si="0"/>
        <v>0.67448237770035746</v>
      </c>
    </row>
    <row r="82" spans="1:20" ht="30" customHeight="1">
      <c r="A82" t="str">
        <f t="shared" si="7"/>
        <v>turkish</v>
      </c>
      <c r="B82">
        <f>_xlfn.LET(_xlpm.c,_xlfn.SINGLE(Table1[condition]),IF(RIGHT(_xlpm.c,2)="1g",1,0))</f>
        <v>0</v>
      </c>
      <c r="C82">
        <f>_xlfn.LET(_xlpm.c,_xlfn.SINGLE(Table1[condition]),_xlpm.k,CONCATENATE("*","-xsk","*"),IF(COUNTIF(_xlpm.c,_xlpm.k)&gt;0,1,0))</f>
        <v>0</v>
      </c>
      <c r="D82">
        <f>_xlfn.LET(_xlpm.c,_xlfn.SINGLE(Table1[condition]),_xlpm.k,CONCATENATE("*","-sk","*"),IF(COUNTIF(_xlpm.c,_xlpm.k)&gt;0,1,0))</f>
        <v>1</v>
      </c>
      <c r="E82">
        <f>IF(AND(Table1[[#This Row],[xsk]]=1,Table1[[#This Row],[sk]]=1),0,1)</f>
        <v>1</v>
      </c>
      <c r="F82" t="s">
        <v>93</v>
      </c>
      <c r="G82" s="1">
        <v>0.861399838971455</v>
      </c>
      <c r="H82" s="1">
        <v>0.65695876126552299</v>
      </c>
      <c r="I82" s="1">
        <v>0.61761322779167704</v>
      </c>
      <c r="J82" s="1">
        <v>0.775380408617665</v>
      </c>
      <c r="K82" s="1">
        <v>0.46679719493275301</v>
      </c>
      <c r="L82" s="1">
        <v>0.56229152271356397</v>
      </c>
      <c r="M82" s="1">
        <v>0.69798422632108403</v>
      </c>
      <c r="N82" s="1">
        <v>1</v>
      </c>
      <c r="O82" s="1">
        <v>0.71479761327746505</v>
      </c>
      <c r="P82" s="1">
        <v>0.37964850849884102</v>
      </c>
      <c r="Q82" s="1">
        <v>0.82842712474618996</v>
      </c>
      <c r="R82" s="1">
        <v>1</v>
      </c>
      <c r="S82" s="1">
        <v>0.92380257212003603</v>
      </c>
      <c r="T82" s="1">
        <f t="shared" si="0"/>
        <v>0.7296231537889426</v>
      </c>
    </row>
    <row r="83" spans="1:20" ht="30" customHeight="1">
      <c r="A83" t="str">
        <f t="shared" si="7"/>
        <v>turkish</v>
      </c>
      <c r="B83">
        <f>_xlfn.LET(_xlpm.c,_xlfn.SINGLE(Table1[condition]),IF(RIGHT(_xlpm.c,2)="1g",1,0))</f>
        <v>0</v>
      </c>
      <c r="C83">
        <f>_xlfn.LET(_xlpm.c,_xlfn.SINGLE(Table1[condition]),_xlpm.k,CONCATENATE("*","-xsk","*"),IF(COUNTIF(_xlpm.c,_xlpm.k)&gt;0,1,0))</f>
        <v>0</v>
      </c>
      <c r="D83">
        <f>_xlfn.LET(_xlpm.c,_xlfn.SINGLE(Table1[condition]),_xlpm.k,CONCATENATE("*","-sk","*"),IF(COUNTIF(_xlpm.c,_xlpm.k)&gt;0,1,0))</f>
        <v>1</v>
      </c>
      <c r="E83">
        <f>IF(AND(Table1[[#This Row],[xsk]]=1,Table1[[#This Row],[sk]]=1),0,1)</f>
        <v>1</v>
      </c>
      <c r="F83" t="s">
        <v>94</v>
      </c>
      <c r="G83" s="1">
        <v>0.65032761224731495</v>
      </c>
      <c r="H83" s="1">
        <v>0.84846110915585105</v>
      </c>
      <c r="I83" s="1">
        <v>0.61260758548036498</v>
      </c>
      <c r="J83" s="1">
        <v>0.67967539927707898</v>
      </c>
      <c r="K83" s="1">
        <v>0.81891712637224701</v>
      </c>
      <c r="L83" s="1">
        <v>0.659960021664594</v>
      </c>
      <c r="M83" s="1">
        <v>0.52277442494833803</v>
      </c>
      <c r="N83" s="1">
        <v>1</v>
      </c>
      <c r="O83" s="1">
        <v>0.36274092598715602</v>
      </c>
      <c r="P83" s="1">
        <v>0.82438764634328998</v>
      </c>
      <c r="Q83" s="1">
        <v>0.73205080756887697</v>
      </c>
      <c r="R83" s="1">
        <v>1</v>
      </c>
      <c r="S83" s="1">
        <v>0.54530794515127401</v>
      </c>
      <c r="T83" s="1">
        <f t="shared" si="0"/>
        <v>0.71209312339972197</v>
      </c>
    </row>
    <row r="84" spans="1:20" ht="30" customHeight="1">
      <c r="A84" t="str">
        <f t="shared" si="7"/>
        <v>turkish</v>
      </c>
      <c r="B84">
        <f>_xlfn.LET(_xlpm.c,_xlfn.SINGLE(Table1[condition]),IF(RIGHT(_xlpm.c,2)="1g",1,0))</f>
        <v>0</v>
      </c>
      <c r="C84">
        <f>_xlfn.LET(_xlpm.c,_xlfn.SINGLE(Table1[condition]),_xlpm.k,CONCATENATE("*","-xsk","*"),IF(COUNTIF(_xlpm.c,_xlpm.k)&gt;0,1,0))</f>
        <v>1</v>
      </c>
      <c r="D84">
        <f>_xlfn.LET(_xlpm.c,_xlfn.SINGLE(Table1[condition]),_xlpm.k,CONCATENATE("*","-sk","*"),IF(COUNTIF(_xlpm.c,_xlpm.k)&gt;0,1,0))</f>
        <v>0</v>
      </c>
      <c r="E84">
        <f>IF(AND(Table1[[#This Row],[xsk]]=1,Table1[[#This Row],[sk]]=1),0,1)</f>
        <v>1</v>
      </c>
      <c r="F84" t="s">
        <v>95</v>
      </c>
      <c r="G84" s="1">
        <v>0.81369737489826</v>
      </c>
      <c r="H84" s="1">
        <v>0.65772643130495401</v>
      </c>
      <c r="I84" s="1">
        <v>0.96859602621111196</v>
      </c>
      <c r="J84" s="1">
        <v>0.826793598543488</v>
      </c>
      <c r="K84" s="1">
        <v>0.67569624445577003</v>
      </c>
      <c r="L84" s="1">
        <v>0.51855406800747605</v>
      </c>
      <c r="M84" s="1">
        <v>0.30637893096961999</v>
      </c>
      <c r="N84" s="1">
        <v>0.53165439379687796</v>
      </c>
      <c r="O84" s="1">
        <v>0.73205080756887697</v>
      </c>
      <c r="P84" s="1">
        <v>0.42104347499452199</v>
      </c>
      <c r="Q84" s="1">
        <v>1</v>
      </c>
      <c r="R84" s="1">
        <v>1</v>
      </c>
      <c r="S84" s="1">
        <v>0.379493054459971</v>
      </c>
      <c r="T84" s="1">
        <f t="shared" si="0"/>
        <v>0.67936033886237912</v>
      </c>
    </row>
    <row r="85" spans="1:20" ht="30" customHeight="1">
      <c r="A85" t="str">
        <f t="shared" si="7"/>
        <v>turkish</v>
      </c>
      <c r="B85">
        <f>_xlfn.LET(_xlpm.c,_xlfn.SINGLE(Table1[condition]),IF(RIGHT(_xlpm.c,2)="1g",1,0))</f>
        <v>0</v>
      </c>
      <c r="C85">
        <f>_xlfn.LET(_xlpm.c,_xlfn.SINGLE(Table1[condition]),_xlpm.k,CONCATENATE("*","-xsk","*"),IF(COUNTIF(_xlpm.c,_xlpm.k)&gt;0,1,0))</f>
        <v>1</v>
      </c>
      <c r="D85">
        <f>_xlfn.LET(_xlpm.c,_xlfn.SINGLE(Table1[condition]),_xlpm.k,CONCATENATE("*","-sk","*"),IF(COUNTIF(_xlpm.c,_xlpm.k)&gt;0,1,0))</f>
        <v>0</v>
      </c>
      <c r="E85">
        <f>IF(AND(Table1[[#This Row],[xsk]]=1,Table1[[#This Row],[sk]]=1),0,1)</f>
        <v>1</v>
      </c>
      <c r="F85" t="s">
        <v>96</v>
      </c>
      <c r="G85" s="1">
        <v>0.64780271568993497</v>
      </c>
      <c r="H85" s="1">
        <v>0.61878081665859797</v>
      </c>
      <c r="I85" s="1">
        <v>0.58338531816045802</v>
      </c>
      <c r="J85" s="1">
        <v>0.851931081480099</v>
      </c>
      <c r="K85" s="1">
        <v>1</v>
      </c>
      <c r="L85" s="1">
        <v>0.496383782792642</v>
      </c>
      <c r="M85" s="1">
        <v>1</v>
      </c>
      <c r="N85" s="1">
        <v>0.61455059592626204</v>
      </c>
      <c r="O85" s="1">
        <v>0.49767225599378501</v>
      </c>
      <c r="P85" s="1">
        <v>0.53387128097992098</v>
      </c>
      <c r="Q85" s="1">
        <v>1</v>
      </c>
      <c r="R85" s="1">
        <v>1</v>
      </c>
      <c r="S85" s="1">
        <v>0.35706743342527397</v>
      </c>
      <c r="T85" s="1">
        <f t="shared" si="0"/>
        <v>0.70780348316207475</v>
      </c>
    </row>
    <row r="87" spans="1:20" ht="30" customHeight="1">
      <c r="F87" t="s">
        <v>118</v>
      </c>
    </row>
    <row r="88" spans="1:20" ht="30" customHeight="1">
      <c r="F88" t="s">
        <v>37</v>
      </c>
      <c r="G88" s="2">
        <f>_xlfn.LET(_xlpm.d,G$2:G$85,AVERAGE(_xlpm.d))</f>
        <v>0.80450815580767543</v>
      </c>
      <c r="H88" s="2">
        <f t="shared" ref="H88:T88" si="8">_xlfn.LET(_xlpm.d,H$2:H$85,AVERAGE(_xlpm.d))</f>
        <v>0.77546332027233722</v>
      </c>
      <c r="I88" s="2">
        <f t="shared" si="8"/>
        <v>0.755443088351342</v>
      </c>
      <c r="J88" s="2">
        <f t="shared" si="8"/>
        <v>0.72557038690189668</v>
      </c>
      <c r="K88" s="2">
        <f t="shared" si="8"/>
        <v>0.72961405615109598</v>
      </c>
      <c r="L88" s="2">
        <f t="shared" si="8"/>
        <v>0.68416549262673521</v>
      </c>
      <c r="M88" s="2">
        <f t="shared" si="8"/>
        <v>0.69600892145426785</v>
      </c>
      <c r="N88" s="2">
        <f t="shared" si="8"/>
        <v>0.69077483111107807</v>
      </c>
      <c r="O88" s="2">
        <f t="shared" si="8"/>
        <v>0.68001161721924597</v>
      </c>
      <c r="P88" s="2">
        <f t="shared" si="8"/>
        <v>0.6893959858977019</v>
      </c>
      <c r="Q88" s="2">
        <f t="shared" si="8"/>
        <v>0.6608215783859468</v>
      </c>
      <c r="R88" s="2">
        <f t="shared" si="8"/>
        <v>0.67830914800975495</v>
      </c>
      <c r="S88" s="2">
        <f t="shared" si="8"/>
        <v>0.61604409869278209</v>
      </c>
      <c r="T88" s="2">
        <f t="shared" si="8"/>
        <v>0.70396374957494179</v>
      </c>
    </row>
    <row r="89" spans="1:20" ht="30" customHeight="1">
      <c r="F89" t="s">
        <v>38</v>
      </c>
      <c r="G89" s="2" cm="1">
        <f t="array" ref="G89">_xlfn.LET(_xlpm.d,G$2:G$85,_xlpm.f,$A$2:$A$85,_xlpm.k,$F89,AVERAGE(_xlfn._xlws.FILTER(_xlpm.d,_xlpm.f=_xlpm.k)))</f>
        <v>0.99276574498485703</v>
      </c>
      <c r="H89" s="2" cm="1">
        <f t="array" ref="H89">_xlfn.LET(_xlpm.d,H$2:H$85,_xlpm.f,$A$2:$A$85,_xlpm.k,$F89,AVERAGE(_xlfn._xlws.FILTER(_xlpm.d,_xlpm.f=_xlpm.k)))</f>
        <v>0.98790783291853956</v>
      </c>
      <c r="I89" s="2" cm="1">
        <f t="array" ref="I89">_xlfn.LET(_xlpm.d,I$2:I$85,_xlpm.f,$A$2:$A$85,_xlpm.k,$F89,AVERAGE(_xlfn._xlws.FILTER(_xlpm.d,_xlpm.f=_xlpm.k)))</f>
        <v>0.99664896214905441</v>
      </c>
      <c r="J89" s="2" cm="1">
        <f t="array" ref="J89">_xlfn.LET(_xlpm.d,J$2:J$85,_xlpm.f,$A$2:$A$85,_xlpm.k,$F89,AVERAGE(_xlfn._xlws.FILTER(_xlpm.d,_xlpm.f=_xlpm.k)))</f>
        <v>0.99786608588084103</v>
      </c>
      <c r="K89" s="2" cm="1">
        <f t="array" ref="K89">_xlfn.LET(_xlpm.d,K$2:K$85,_xlpm.f,$A$2:$A$85,_xlpm.k,$F89,AVERAGE(_xlfn._xlws.FILTER(_xlpm.d,_xlpm.f=_xlpm.k)))</f>
        <v>0.9883810370111098</v>
      </c>
      <c r="L89" s="2" cm="1">
        <f t="array" ref="L89">_xlfn.LET(_xlpm.d,L$2:L$85,_xlpm.f,$A$2:$A$85,_xlpm.k,$F89,AVERAGE(_xlfn._xlws.FILTER(_xlpm.d,_xlpm.f=_xlpm.k)))</f>
        <v>0.97587337868213997</v>
      </c>
      <c r="M89" s="2" cm="1">
        <f t="array" ref="M89">_xlfn.LET(_xlpm.d,M$2:M$85,_xlpm.f,$A$2:$A$85,_xlpm.k,$F89,AVERAGE(_xlfn._xlws.FILTER(_xlpm.d,_xlpm.f=_xlpm.k)))</f>
        <v>0.99445867774213936</v>
      </c>
      <c r="N89" s="2" cm="1">
        <f t="array" ref="N89">_xlfn.LET(_xlpm.d,N$2:N$85,_xlpm.f,$A$2:$A$85,_xlpm.k,$F89,AVERAGE(_xlfn._xlws.FILTER(_xlpm.d,_xlpm.f=_xlpm.k)))</f>
        <v>0.98731722974130942</v>
      </c>
      <c r="O89" s="2" cm="1">
        <f t="array" ref="O89">_xlfn.LET(_xlpm.d,O$2:O$85,_xlpm.f,$A$2:$A$85,_xlpm.k,$F89,AVERAGE(_xlfn._xlws.FILTER(_xlpm.d,_xlpm.f=_xlpm.k)))</f>
        <v>0.9641627727461739</v>
      </c>
      <c r="P89" s="2" cm="1">
        <f t="array" ref="P89">_xlfn.LET(_xlpm.d,P$2:P$85,_xlpm.f,$A$2:$A$85,_xlpm.k,$F89,AVERAGE(_xlfn._xlws.FILTER(_xlpm.d,_xlpm.f=_xlpm.k)))</f>
        <v>0.98954956136592698</v>
      </c>
      <c r="Q89" s="2" cm="1">
        <f t="array" ref="Q89">_xlfn.LET(_xlpm.d,Q$2:Q$85,_xlpm.f,$A$2:$A$85,_xlpm.k,$F89,AVERAGE(_xlfn._xlws.FILTER(_xlpm.d,_xlpm.f=_xlpm.k)))</f>
        <v>0.9984634278046487</v>
      </c>
      <c r="R89" s="2" cm="1">
        <f t="array" ref="R89">_xlfn.LET(_xlpm.d,R$2:R$85,_xlpm.f,$A$2:$A$85,_xlpm.k,$F89,AVERAGE(_xlfn._xlws.FILTER(_xlpm.d,_xlpm.f=_xlpm.k)))</f>
        <v>0.99744843365396496</v>
      </c>
      <c r="S89" s="2" cm="1">
        <f t="array" ref="S89">_xlfn.LET(_xlpm.d,S$2:S$85,_xlpm.f,$A$2:$A$85,_xlpm.k,$F89,AVERAGE(_xlfn._xlws.FILTER(_xlpm.d,_xlpm.f=_xlpm.k)))</f>
        <v>0.99072398279155116</v>
      </c>
      <c r="T89" s="2" cm="1">
        <f t="array" ref="T89">_xlfn.LET(_xlpm.d,T$2:T$85,_xlpm.f,$A$2:$A$85,_xlpm.k,$F89,AVERAGE(_xlfn._xlws.FILTER(_xlpm.d,_xlpm.f=_xlpm.k)))</f>
        <v>0.98935131749786598</v>
      </c>
    </row>
    <row r="90" spans="1:20" ht="30" customHeight="1">
      <c r="F90" t="s">
        <v>40</v>
      </c>
      <c r="G90" s="2" cm="1">
        <f t="array" ref="G90">_xlfn.LET(_xlpm.d,G$2:G$85,_xlpm.f,$A$2:$A$85,_xlpm.k,$F90,AVERAGE(_xlfn._xlws.FILTER(_xlpm.d,_xlpm.f=_xlpm.k)))</f>
        <v>0.58661382301729303</v>
      </c>
      <c r="H90" s="2" cm="1">
        <f t="array" ref="H90">_xlfn.LET(_xlpm.d,H$2:H$85,_xlpm.f,$A$2:$A$85,_xlpm.k,$F90,AVERAGE(_xlfn._xlws.FILTER(_xlpm.d,_xlpm.f=_xlpm.k)))</f>
        <v>0.54099862189147541</v>
      </c>
      <c r="I90" s="2" cm="1">
        <f t="array" ref="I90">_xlfn.LET(_xlpm.d,I$2:I$85,_xlpm.f,$A$2:$A$85,_xlpm.k,$F90,AVERAGE(_xlfn._xlws.FILTER(_xlpm.d,_xlpm.f=_xlpm.k)))</f>
        <v>0.49536768531965703</v>
      </c>
      <c r="J90" s="2" cm="1">
        <f t="array" ref="J90">_xlfn.LET(_xlpm.d,J$2:J$85,_xlpm.f,$A$2:$A$85,_xlpm.k,$F90,AVERAGE(_xlfn._xlws.FILTER(_xlpm.d,_xlpm.f=_xlpm.k)))</f>
        <v>0.47751191442940932</v>
      </c>
      <c r="K90" s="2" cm="1">
        <f t="array" ref="K90">_xlfn.LET(_xlpm.d,K$2:K$85,_xlpm.f,$A$2:$A$85,_xlpm.k,$F90,AVERAGE(_xlfn._xlws.FILTER(_xlpm.d,_xlpm.f=_xlpm.k)))</f>
        <v>0.41509738086645254</v>
      </c>
      <c r="L90" s="2" cm="1">
        <f t="array" ref="L90">_xlfn.LET(_xlpm.d,L$2:L$85,_xlpm.f,$A$2:$A$85,_xlpm.k,$F90,AVERAGE(_xlfn._xlws.FILTER(_xlpm.d,_xlpm.f=_xlpm.k)))</f>
        <v>0.30288006290352315</v>
      </c>
      <c r="M90" s="2" cm="1">
        <f t="array" ref="M90">_xlfn.LET(_xlpm.d,M$2:M$85,_xlpm.f,$A$2:$A$85,_xlpm.k,$F90,AVERAGE(_xlfn._xlws.FILTER(_xlpm.d,_xlpm.f=_xlpm.k)))</f>
        <v>0.49140406480872872</v>
      </c>
      <c r="N90" s="2" cm="1">
        <f t="array" ref="N90">_xlfn.LET(_xlpm.d,N$2:N$85,_xlpm.f,$A$2:$A$85,_xlpm.k,$F90,AVERAGE(_xlfn._xlws.FILTER(_xlpm.d,_xlpm.f=_xlpm.k)))</f>
        <v>0.32812425166503417</v>
      </c>
      <c r="O90" s="2" cm="1">
        <f t="array" ref="O90">_xlfn.LET(_xlpm.d,O$2:O$85,_xlpm.f,$A$2:$A$85,_xlpm.k,$F90,AVERAGE(_xlfn._xlws.FILTER(_xlpm.d,_xlpm.f=_xlpm.k)))</f>
        <v>0.35108364636211858</v>
      </c>
      <c r="P90" s="2" cm="1">
        <f t="array" ref="P90">_xlfn.LET(_xlpm.d,P$2:P$85,_xlpm.f,$A$2:$A$85,_xlpm.k,$F90,AVERAGE(_xlfn._xlws.FILTER(_xlpm.d,_xlpm.f=_xlpm.k)))</f>
        <v>0.36601650786651513</v>
      </c>
      <c r="Q90" s="2" cm="1">
        <f t="array" ref="Q90">_xlfn.LET(_xlpm.d,Q$2:Q$85,_xlpm.f,$A$2:$A$85,_xlpm.k,$F90,AVERAGE(_xlfn._xlws.FILTER(_xlpm.d,_xlpm.f=_xlpm.k)))</f>
        <v>0.27924766156054476</v>
      </c>
      <c r="R90" s="2" cm="1">
        <f t="array" ref="R90">_xlfn.LET(_xlpm.d,R$2:R$85,_xlpm.f,$A$2:$A$85,_xlpm.k,$F90,AVERAGE(_xlfn._xlws.FILTER(_xlpm.d,_xlpm.f=_xlpm.k)))</f>
        <v>0.3541566059787582</v>
      </c>
      <c r="S90" s="2" cm="1">
        <f t="array" ref="S90">_xlfn.LET(_xlpm.d,S$2:S$85,_xlpm.f,$A$2:$A$85,_xlpm.k,$F90,AVERAGE(_xlfn._xlws.FILTER(_xlpm.d,_xlpm.f=_xlpm.k)))</f>
        <v>0.2231859528538794</v>
      </c>
      <c r="T90" s="2" cm="1">
        <f t="array" ref="T90">_xlfn.LET(_xlpm.d,T$2:T$85,_xlpm.f,$A$2:$A$85,_xlpm.k,$F90,AVERAGE(_xlfn._xlws.FILTER(_xlpm.d,_xlpm.f=_xlpm.k)))</f>
        <v>0.40132983253467341</v>
      </c>
    </row>
    <row r="91" spans="1:20" ht="30" customHeight="1">
      <c r="F91" t="s">
        <v>41</v>
      </c>
      <c r="G91" s="2" cm="1">
        <f t="array" ref="G91">_xlfn.LET(_xlpm.d,G$2:G$85,_xlpm.f,$A$2:$A$85,_xlpm.k,$F91,AVERAGE(_xlfn._xlws.FILTER(_xlpm.d,_xlpm.f=_xlpm.k)))</f>
        <v>0.57998754590653445</v>
      </c>
      <c r="H91" s="2" cm="1">
        <f t="array" ref="H91">_xlfn.LET(_xlpm.d,H$2:H$85,_xlpm.f,$A$2:$A$85,_xlpm.k,$F91,AVERAGE(_xlfn._xlws.FILTER(_xlpm.d,_xlpm.f=_xlpm.k)))</f>
        <v>0.52971187673376474</v>
      </c>
      <c r="I91" s="2" cm="1">
        <f t="array" ref="I91">_xlfn.LET(_xlpm.d,I$2:I$85,_xlpm.f,$A$2:$A$85,_xlpm.k,$F91,AVERAGE(_xlfn._xlws.FILTER(_xlpm.d,_xlpm.f=_xlpm.k)))</f>
        <v>0.43220895506931756</v>
      </c>
      <c r="J91" s="2" cm="1">
        <f t="array" ref="J91">_xlfn.LET(_xlpm.d,J$2:J$85,_xlpm.f,$A$2:$A$85,_xlpm.k,$F91,AVERAGE(_xlfn._xlws.FILTER(_xlpm.d,_xlpm.f=_xlpm.k)))</f>
        <v>0.52072527961211368</v>
      </c>
      <c r="K91" s="2" cm="1">
        <f t="array" ref="K91">_xlfn.LET(_xlpm.d,K$2:K$85,_xlpm.f,$A$2:$A$85,_xlpm.k,$F91,AVERAGE(_xlfn._xlws.FILTER(_xlpm.d,_xlpm.f=_xlpm.k)))</f>
        <v>0.49758750228274251</v>
      </c>
      <c r="L91" s="2" cm="1">
        <f t="array" ref="L91">_xlfn.LET(_xlpm.d,L$2:L$85,_xlpm.f,$A$2:$A$85,_xlpm.k,$F91,AVERAGE(_xlfn._xlws.FILTER(_xlpm.d,_xlpm.f=_xlpm.k)))</f>
        <v>0.48616599070183936</v>
      </c>
      <c r="M91" s="2" cm="1">
        <f t="array" ref="M91">_xlfn.LET(_xlpm.d,M$2:M$85,_xlpm.f,$A$2:$A$85,_xlpm.k,$F91,AVERAGE(_xlfn._xlws.FILTER(_xlpm.d,_xlpm.f=_xlpm.k)))</f>
        <v>0.34373765819182689</v>
      </c>
      <c r="N91" s="2" cm="1">
        <f t="array" ref="N91">_xlfn.LET(_xlpm.d,N$2:N$85,_xlpm.f,$A$2:$A$85,_xlpm.k,$F91,AVERAGE(_xlfn._xlws.FILTER(_xlpm.d,_xlpm.f=_xlpm.k)))</f>
        <v>0.39863042453933339</v>
      </c>
      <c r="O91" s="2" cm="1">
        <f t="array" ref="O91">_xlfn.LET(_xlpm.d,O$2:O$85,_xlpm.f,$A$2:$A$85,_xlpm.k,$F91,AVERAGE(_xlfn._xlws.FILTER(_xlpm.d,_xlpm.f=_xlpm.k)))</f>
        <v>0.43358670289604845</v>
      </c>
      <c r="P91" s="2" cm="1">
        <f t="array" ref="P91">_xlfn.LET(_xlpm.d,P$2:P$85,_xlpm.f,$A$2:$A$85,_xlpm.k,$F91,AVERAGE(_xlfn._xlws.FILTER(_xlpm.d,_xlpm.f=_xlpm.k)))</f>
        <v>0.54830251772850114</v>
      </c>
      <c r="Q91" s="2" cm="1">
        <f t="array" ref="Q91">_xlfn.LET(_xlpm.d,Q$2:Q$85,_xlpm.f,$A$2:$A$85,_xlpm.k,$F91,AVERAGE(_xlfn._xlws.FILTER(_xlpm.d,_xlpm.f=_xlpm.k)))</f>
        <v>0.40664159161634733</v>
      </c>
      <c r="R91" s="2" cm="1">
        <f t="array" ref="R91">_xlfn.LET(_xlpm.d,R$2:R$85,_xlpm.f,$A$2:$A$85,_xlpm.k,$F91,AVERAGE(_xlfn._xlws.FILTER(_xlpm.d,_xlpm.f=_xlpm.k)))</f>
        <v>0.44235620288237487</v>
      </c>
      <c r="S91" s="2" cm="1">
        <f t="array" ref="S91">_xlfn.LET(_xlpm.d,S$2:S$85,_xlpm.f,$A$2:$A$85,_xlpm.k,$F91,AVERAGE(_xlfn._xlws.FILTER(_xlpm.d,_xlpm.f=_xlpm.k)))</f>
        <v>0.29660647059946416</v>
      </c>
      <c r="T91" s="2" cm="1">
        <f t="array" ref="T91">_xlfn.LET(_xlpm.d,T$2:T$85,_xlpm.f,$A$2:$A$85,_xlpm.k,$F91,AVERAGE(_xlfn._xlws.FILTER(_xlpm.d,_xlpm.f=_xlpm.k)))</f>
        <v>0.45628315449048529</v>
      </c>
    </row>
    <row r="92" spans="1:20" ht="30" customHeight="1">
      <c r="F92" t="s">
        <v>97</v>
      </c>
      <c r="G92" s="2" cm="1">
        <f t="array" ref="G92">_xlfn.LET(_xlpm.d,G$2:G$85,_xlpm.f,$A$2:$A$85,_xlpm.k,$F92,AVERAGE(_xlfn._xlws.FILTER(_xlpm.d,_xlpm.f=_xlpm.k)))</f>
        <v>0.74877151784468998</v>
      </c>
      <c r="H92" s="2" cm="1">
        <f t="array" ref="H92">_xlfn.LET(_xlpm.d,H$2:H$85,_xlpm.f,$A$2:$A$85,_xlpm.k,$F92,AVERAGE(_xlfn._xlws.FILTER(_xlpm.d,_xlpm.f=_xlpm.k)))</f>
        <v>0.66673365097443005</v>
      </c>
      <c r="I92" s="2" cm="1">
        <f t="array" ref="I92">_xlfn.LET(_xlpm.d,I$2:I$85,_xlpm.f,$A$2:$A$85,_xlpm.k,$F92,AVERAGE(_xlfn._xlws.FILTER(_xlpm.d,_xlpm.f=_xlpm.k)))</f>
        <v>0.72078249075682022</v>
      </c>
      <c r="J92" s="2" cm="1">
        <f t="array" ref="J92">_xlfn.LET(_xlpm.d,J$2:J$85,_xlpm.f,$A$2:$A$85,_xlpm.k,$F92,AVERAGE(_xlfn._xlws.FILTER(_xlpm.d,_xlpm.f=_xlpm.k)))</f>
        <v>0.60221471586962505</v>
      </c>
      <c r="K92" s="2" cm="1">
        <f t="array" ref="K92">_xlfn.LET(_xlpm.d,K$2:K$85,_xlpm.f,$A$2:$A$85,_xlpm.k,$F92,AVERAGE(_xlfn._xlws.FILTER(_xlpm.d,_xlpm.f=_xlpm.k)))</f>
        <v>0.65833520180653538</v>
      </c>
      <c r="L92" s="2" cm="1">
        <f t="array" ref="L92">_xlfn.LET(_xlpm.d,L$2:L$85,_xlpm.f,$A$2:$A$85,_xlpm.k,$F92,AVERAGE(_xlfn._xlws.FILTER(_xlpm.d,_xlpm.f=_xlpm.k)))</f>
        <v>0.57038409761712305</v>
      </c>
      <c r="M92" s="2" cm="1">
        <f t="array" ref="M92">_xlfn.LET(_xlpm.d,M$2:M$85,_xlpm.f,$A$2:$A$85,_xlpm.k,$F92,AVERAGE(_xlfn._xlws.FILTER(_xlpm.d,_xlpm.f=_xlpm.k)))</f>
        <v>0.66568883542744828</v>
      </c>
      <c r="N92" s="2" cm="1">
        <f t="array" ref="N92">_xlfn.LET(_xlpm.d,N$2:N$85,_xlpm.f,$A$2:$A$85,_xlpm.k,$F92,AVERAGE(_xlfn._xlws.FILTER(_xlpm.d,_xlpm.f=_xlpm.k)))</f>
        <v>0.62846143067822113</v>
      </c>
      <c r="O92" s="2" cm="1">
        <f t="array" ref="O92">_xlfn.LET(_xlpm.d,O$2:O$85,_xlpm.f,$A$2:$A$85,_xlpm.k,$F92,AVERAGE(_xlfn._xlws.FILTER(_xlpm.d,_xlpm.f=_xlpm.k)))</f>
        <v>0.58298100911666884</v>
      </c>
      <c r="P92" s="2" cm="1">
        <f t="array" ref="P92">_xlfn.LET(_xlpm.d,P$2:P$85,_xlpm.f,$A$2:$A$85,_xlpm.k,$F92,AVERAGE(_xlfn._xlws.FILTER(_xlpm.d,_xlpm.f=_xlpm.k)))</f>
        <v>0.55411598054817213</v>
      </c>
      <c r="Q92" s="2" cm="1">
        <f t="array" ref="Q92">_xlfn.LET(_xlpm.d,Q$2:Q$85,_xlpm.f,$A$2:$A$85,_xlpm.k,$F92,AVERAGE(_xlfn._xlws.FILTER(_xlpm.d,_xlpm.f=_xlpm.k)))</f>
        <v>0.50313358860595214</v>
      </c>
      <c r="R92" s="2" cm="1">
        <f t="array" ref="R92">_xlfn.LET(_xlpm.d,R$2:R$85,_xlpm.f,$A$2:$A$85,_xlpm.k,$F92,AVERAGE(_xlfn._xlws.FILTER(_xlpm.d,_xlpm.f=_xlpm.k)))</f>
        <v>0.59630017930556367</v>
      </c>
      <c r="S92" s="2" cm="1">
        <f t="array" ref="S92">_xlfn.LET(_xlpm.d,S$2:S$85,_xlpm.f,$A$2:$A$85,_xlpm.k,$F92,AVERAGE(_xlfn._xlws.FILTER(_xlpm.d,_xlpm.f=_xlpm.k)))</f>
        <v>0.44218194539342698</v>
      </c>
      <c r="T92" s="2" cm="1">
        <f t="array" ref="T92">_xlfn.LET(_xlpm.d,T$2:T$85,_xlpm.f,$A$2:$A$85,_xlpm.k,$F92,AVERAGE(_xlfn._xlws.FILTER(_xlpm.d,_xlpm.f=_xlpm.k)))</f>
        <v>0.60827519858349188</v>
      </c>
    </row>
    <row r="93" spans="1:20" ht="30" customHeight="1">
      <c r="F93" t="s">
        <v>39</v>
      </c>
      <c r="G93" s="2" cm="1">
        <f t="array" ref="G93">_xlfn.LET(_xlpm.d,G$2:G$85,_xlpm.f,$A$2:$A$85,_xlpm.k,$F93,AVERAGE(_xlfn._xlws.FILTER(_xlpm.d,_xlpm.f=_xlpm.k)))</f>
        <v>0.70235995934188789</v>
      </c>
      <c r="H93" s="2" cm="1">
        <f t="array" ref="H93">_xlfn.LET(_xlpm.d,H$2:H$85,_xlpm.f,$A$2:$A$85,_xlpm.k,$F93,AVERAGE(_xlfn._xlws.FILTER(_xlpm.d,_xlpm.f=_xlpm.k)))</f>
        <v>0.68280999120646679</v>
      </c>
      <c r="I93" s="2" cm="1">
        <f t="array" ref="I93">_xlfn.LET(_xlpm.d,I$2:I$85,_xlpm.f,$A$2:$A$85,_xlpm.k,$F93,AVERAGE(_xlfn._xlws.FILTER(_xlpm.d,_xlpm.f=_xlpm.k)))</f>
        <v>0.65624218457194894</v>
      </c>
      <c r="J93" s="2" cm="1">
        <f t="array" ref="J93">_xlfn.LET(_xlpm.d,J$2:J$85,_xlpm.f,$A$2:$A$85,_xlpm.k,$F93,AVERAGE(_xlfn._xlws.FILTER(_xlpm.d,_xlpm.f=_xlpm.k)))</f>
        <v>0.58824284806957472</v>
      </c>
      <c r="K93" s="2" cm="1">
        <f t="array" ref="K93">_xlfn.LET(_xlpm.d,K$2:K$85,_xlpm.f,$A$2:$A$85,_xlpm.k,$F93,AVERAGE(_xlfn._xlws.FILTER(_xlpm.d,_xlpm.f=_xlpm.k)))</f>
        <v>0.57032811461081778</v>
      </c>
      <c r="L93" s="2" cm="1">
        <f t="array" ref="L93">_xlfn.LET(_xlpm.d,L$2:L$85,_xlpm.f,$A$2:$A$85,_xlpm.k,$F93,AVERAGE(_xlfn._xlws.FILTER(_xlpm.d,_xlpm.f=_xlpm.k)))</f>
        <v>0.49524983403223716</v>
      </c>
      <c r="M93" s="2" cm="1">
        <f t="array" ref="M93">_xlfn.LET(_xlpm.d,M$2:M$85,_xlpm.f,$A$2:$A$85,_xlpm.k,$F93,AVERAGE(_xlfn._xlws.FILTER(_xlpm.d,_xlpm.f=_xlpm.k)))</f>
        <v>0.57441346132341686</v>
      </c>
      <c r="N93" s="2" cm="1">
        <f t="array" ref="N93">_xlfn.LET(_xlpm.d,N$2:N$85,_xlpm.f,$A$2:$A$85,_xlpm.k,$F93,AVERAGE(_xlfn._xlws.FILTER(_xlpm.d,_xlpm.f=_xlpm.k)))</f>
        <v>0.47765729845273197</v>
      </c>
      <c r="O93" s="2" cm="1">
        <f t="array" ref="O93">_xlfn.LET(_xlpm.d,O$2:O$85,_xlpm.f,$A$2:$A$85,_xlpm.k,$F93,AVERAGE(_xlfn._xlws.FILTER(_xlpm.d,_xlpm.f=_xlpm.k)))</f>
        <v>0.54023404623695814</v>
      </c>
      <c r="P93" s="2" cm="1">
        <f t="array" ref="P93">_xlfn.LET(_xlpm.d,P$2:P$85,_xlpm.f,$A$2:$A$85,_xlpm.k,$F93,AVERAGE(_xlfn._xlws.FILTER(_xlpm.d,_xlpm.f=_xlpm.k)))</f>
        <v>0.60758276356629559</v>
      </c>
      <c r="Q93" s="2" cm="1">
        <f t="array" ref="Q93">_xlfn.LET(_xlpm.d,Q$2:Q$85,_xlpm.f,$A$2:$A$85,_xlpm.k,$F93,AVERAGE(_xlfn._xlws.FILTER(_xlpm.d,_xlpm.f=_xlpm.k)))</f>
        <v>0.36125722810060229</v>
      </c>
      <c r="R93" s="2" cm="1">
        <f t="array" ref="R93">_xlfn.LET(_xlpm.d,R$2:R$85,_xlpm.f,$A$2:$A$85,_xlpm.k,$F93,AVERAGE(_xlfn._xlws.FILTER(_xlpm.d,_xlpm.f=_xlpm.k)))</f>
        <v>0.32630513863632782</v>
      </c>
      <c r="S93" s="2" cm="1">
        <f t="array" ref="S93">_xlfn.LET(_xlpm.d,S$2:S$85,_xlpm.f,$A$2:$A$85,_xlpm.k,$F93,AVERAGE(_xlfn._xlws.FILTER(_xlpm.d,_xlpm.f=_xlpm.k)))</f>
        <v>0.32255295522919658</v>
      </c>
      <c r="T93" s="2" cm="1">
        <f t="array" ref="T93">_xlfn.LET(_xlpm.d,T$2:T$85,_xlpm.f,$A$2:$A$85,_xlpm.k,$F93,AVERAGE(_xlfn._xlws.FILTER(_xlpm.d,_xlpm.f=_xlpm.k)))</f>
        <v>0.53117198641372787</v>
      </c>
    </row>
    <row r="94" spans="1:20" ht="30" customHeight="1">
      <c r="F94" t="s">
        <v>98</v>
      </c>
      <c r="G94" s="2" cm="1">
        <f t="array" ref="G94">_xlfn.LET(_xlpm.d,G$2:G$85,_xlpm.f,$A$2:$A$85,_xlpm.k,$F94,AVERAGE(_xlfn._xlws.FILTER(_xlpm.d,_xlpm.f=_xlpm.k)))</f>
        <v>0.9894916245391514</v>
      </c>
      <c r="H94" s="2" cm="1">
        <f t="array" ref="H94">_xlfn.LET(_xlpm.d,H$2:H$85,_xlpm.f,$A$2:$A$85,_xlpm.k,$F94,AVERAGE(_xlfn._xlws.FILTER(_xlpm.d,_xlpm.f=_xlpm.k)))</f>
        <v>0.99112366541473995</v>
      </c>
      <c r="I94" s="2" cm="1">
        <f t="array" ref="I94">_xlfn.LET(_xlpm.d,I$2:I$85,_xlpm.f,$A$2:$A$85,_xlpm.k,$F94,AVERAGE(_xlfn._xlws.FILTER(_xlpm.d,_xlpm.f=_xlpm.k)))</f>
        <v>0.99738728352694994</v>
      </c>
      <c r="J94" s="2" cm="1">
        <f t="array" ref="J94">_xlfn.LET(_xlpm.d,J$2:J$85,_xlpm.f,$A$2:$A$85,_xlpm.k,$F94,AVERAGE(_xlfn._xlws.FILTER(_xlpm.d,_xlpm.f=_xlpm.k)))</f>
        <v>0.97979499962034722</v>
      </c>
      <c r="K94" s="2" cm="1">
        <f t="array" ref="K94">_xlfn.LET(_xlpm.d,K$2:K$85,_xlpm.f,$A$2:$A$85,_xlpm.k,$F94,AVERAGE(_xlfn._xlws.FILTER(_xlpm.d,_xlpm.f=_xlpm.k)))</f>
        <v>0.98028648575725774</v>
      </c>
      <c r="L94" s="2" cm="1">
        <f t="array" ref="L94">_xlfn.LET(_xlpm.d,L$2:L$85,_xlpm.f,$A$2:$A$85,_xlpm.k,$F94,AVERAGE(_xlfn._xlws.FILTER(_xlpm.d,_xlpm.f=_xlpm.k)))</f>
        <v>0.99278402408672906</v>
      </c>
      <c r="M94" s="2" cm="1">
        <f t="array" ref="M94">_xlfn.LET(_xlpm.d,M$2:M$85,_xlpm.f,$A$2:$A$85,_xlpm.k,$F94,AVERAGE(_xlfn._xlws.FILTER(_xlpm.d,_xlpm.f=_xlpm.k)))</f>
        <v>0.95805212850818833</v>
      </c>
      <c r="N94" s="2" cm="1">
        <f t="array" ref="N94">_xlfn.LET(_xlpm.d,N$2:N$85,_xlpm.f,$A$2:$A$85,_xlpm.k,$F94,AVERAGE(_xlfn._xlws.FILTER(_xlpm.d,_xlpm.f=_xlpm.k)))</f>
        <v>0.99036073766298471</v>
      </c>
      <c r="O94" s="2" cm="1">
        <f t="array" ref="O94">_xlfn.LET(_xlpm.d,O$2:O$85,_xlpm.f,$A$2:$A$85,_xlpm.k,$F94,AVERAGE(_xlfn._xlws.FILTER(_xlpm.d,_xlpm.f=_xlpm.k)))</f>
        <v>0.97939667885913673</v>
      </c>
      <c r="P94" s="2" cm="1">
        <f t="array" ref="P94">_xlfn.LET(_xlpm.d,P$2:P$85,_xlpm.f,$A$2:$A$85,_xlpm.k,$F94,AVERAGE(_xlfn._xlws.FILTER(_xlpm.d,_xlpm.f=_xlpm.k)))</f>
        <v>0.99419208877133691</v>
      </c>
      <c r="Q94" s="2" cm="1">
        <f t="array" ref="Q94">_xlfn.LET(_xlpm.d,Q$2:Q$85,_xlpm.f,$A$2:$A$85,_xlpm.k,$F94,AVERAGE(_xlfn._xlws.FILTER(_xlpm.d,_xlpm.f=_xlpm.k)))</f>
        <v>0.98908009715697875</v>
      </c>
      <c r="R94" s="2" cm="1">
        <f t="array" ref="R94">_xlfn.LET(_xlpm.d,R$2:R$85,_xlpm.f,$A$2:$A$85,_xlpm.k,$F94,AVERAGE(_xlfn._xlws.FILTER(_xlpm.d,_xlpm.f=_xlpm.k)))</f>
        <v>0.94415523846980209</v>
      </c>
      <c r="S94" s="2" cm="1">
        <f t="array" ref="S94">_xlfn.LET(_xlpm.d,S$2:S$85,_xlpm.f,$A$2:$A$85,_xlpm.k,$F94,AVERAGE(_xlfn._xlws.FILTER(_xlpm.d,_xlpm.f=_xlpm.k)))</f>
        <v>0.91504737555808757</v>
      </c>
      <c r="T94" s="2" cm="1">
        <f t="array" ref="T94">_xlfn.LET(_xlpm.d,T$2:T$85,_xlpm.f,$A$2:$A$85,_xlpm.k,$F94,AVERAGE(_xlfn._xlws.FILTER(_xlpm.d,_xlpm.f=_xlpm.k)))</f>
        <v>0.9770117252255146</v>
      </c>
    </row>
    <row r="95" spans="1:20" ht="30" customHeight="1">
      <c r="F95" t="s">
        <v>99</v>
      </c>
      <c r="G95" s="2" cm="1">
        <f t="array" ref="G95">_xlfn.LET(_xlpm.d,G$2:G$85,_xlpm.f,$A$2:$A$85,_xlpm.k,$F95,AVERAGE(_xlfn._xlws.FILTER(_xlpm.d,_xlpm.f=_xlpm.k)))</f>
        <v>0.99954636331968261</v>
      </c>
      <c r="H95" s="2" cm="1">
        <f t="array" ref="H95">_xlfn.LET(_xlpm.d,H$2:H$85,_xlpm.f,$A$2:$A$85,_xlpm.k,$F95,AVERAGE(_xlfn._xlws.FILTER(_xlpm.d,_xlpm.f=_xlpm.k)))</f>
        <v>0.99022200499941027</v>
      </c>
      <c r="I95" s="2" cm="1">
        <f t="array" ref="I95">_xlfn.LET(_xlpm.d,I$2:I$85,_xlpm.f,$A$2:$A$85,_xlpm.k,$F95,AVERAGE(_xlfn._xlws.FILTER(_xlpm.d,_xlpm.f=_xlpm.k)))</f>
        <v>0.99942826942624341</v>
      </c>
      <c r="J95" s="2" cm="1">
        <f t="array" ref="J95">_xlfn.LET(_xlpm.d,J$2:J$85,_xlpm.f,$A$2:$A$85,_xlpm.k,$F95,AVERAGE(_xlfn._xlws.FILTER(_xlpm.d,_xlpm.f=_xlpm.k)))</f>
        <v>0.98531187680136156</v>
      </c>
      <c r="K95" s="2" cm="1">
        <f t="array" ref="K95">_xlfn.LET(_xlpm.d,K$2:K$85,_xlpm.f,$A$2:$A$85,_xlpm.k,$F95,AVERAGE(_xlfn._xlws.FILTER(_xlpm.d,_xlpm.f=_xlpm.k)))</f>
        <v>0.97595888499396666</v>
      </c>
      <c r="L95" s="2" cm="1">
        <f t="array" ref="L95">_xlfn.LET(_xlpm.d,L$2:L$85,_xlpm.f,$A$2:$A$85,_xlpm.k,$F95,AVERAGE(_xlfn._xlws.FILTER(_xlpm.d,_xlpm.f=_xlpm.k)))</f>
        <v>0.98635179850402377</v>
      </c>
      <c r="M95" s="2" cm="1">
        <f t="array" ref="M95">_xlfn.LET(_xlpm.d,M$2:M$85,_xlpm.f,$A$2:$A$85,_xlpm.k,$F95,AVERAGE(_xlfn._xlws.FILTER(_xlpm.d,_xlpm.f=_xlpm.k)))</f>
        <v>0.97334371018569166</v>
      </c>
      <c r="N95" s="2" cm="1">
        <f t="array" ref="N95">_xlfn.LET(_xlpm.d,N$2:N$85,_xlpm.f,$A$2:$A$85,_xlpm.k,$F95,AVERAGE(_xlfn._xlws.FILTER(_xlpm.d,_xlpm.f=_xlpm.k)))</f>
        <v>0.99180796185027797</v>
      </c>
      <c r="O95" s="2" cm="1">
        <f t="array" ref="O95">_xlfn.LET(_xlpm.d,O$2:O$85,_xlpm.f,$A$2:$A$85,_xlpm.k,$F95,AVERAGE(_xlfn._xlws.FILTER(_xlpm.d,_xlpm.f=_xlpm.k)))</f>
        <v>0.94817032798560763</v>
      </c>
      <c r="P95" s="2" cm="1">
        <f t="array" ref="P95">_xlfn.LET(_xlpm.d,P$2:P$85,_xlpm.f,$A$2:$A$85,_xlpm.k,$F95,AVERAGE(_xlfn._xlws.FILTER(_xlpm.d,_xlpm.f=_xlpm.k)))</f>
        <v>0.99809433429346994</v>
      </c>
      <c r="Q95" s="2" cm="1">
        <f t="array" ref="Q95">_xlfn.LET(_xlpm.d,Q$2:Q$85,_xlpm.f,$A$2:$A$85,_xlpm.k,$F95,AVERAGE(_xlfn._xlws.FILTER(_xlpm.d,_xlpm.f=_xlpm.k)))</f>
        <v>0.97579853714660281</v>
      </c>
      <c r="R95" s="2" cm="1">
        <f t="array" ref="R95">_xlfn.LET(_xlpm.d,R$2:R$85,_xlpm.f,$A$2:$A$85,_xlpm.k,$F95,AVERAGE(_xlfn._xlws.FILTER(_xlpm.d,_xlpm.f=_xlpm.k)))</f>
        <v>0.99790581468372752</v>
      </c>
      <c r="S95" s="2" cm="1">
        <f t="array" ref="S95">_xlfn.LET(_xlpm.d,S$2:S$85,_xlpm.f,$A$2:$A$85,_xlpm.k,$F95,AVERAGE(_xlfn._xlws.FILTER(_xlpm.d,_xlpm.f=_xlpm.k)))</f>
        <v>0.9547755060184705</v>
      </c>
      <c r="T95" s="2" cm="1">
        <f t="array" ref="T95">_xlfn.LET(_xlpm.d,T$2:T$85,_xlpm.f,$A$2:$A$85,_xlpm.k,$F95,AVERAGE(_xlfn._xlws.FILTER(_xlpm.d,_xlpm.f=_xlpm.k)))</f>
        <v>0.98282426078527207</v>
      </c>
    </row>
    <row r="96" spans="1:20" ht="30" customHeight="1">
      <c r="F96" t="s">
        <v>100</v>
      </c>
      <c r="G96" s="2" cm="1">
        <f t="array" ref="G96">_xlfn.LET(_xlpm.d,G$2:G$85,_xlpm.f,$A$2:$A$85,_xlpm.k,$F96,AVERAGE(_xlfn._xlws.FILTER(_xlpm.d,_xlpm.f=_xlpm.k)))</f>
        <v>0.89780617187022238</v>
      </c>
      <c r="H96" s="2" cm="1">
        <f t="array" ref="H96">_xlfn.LET(_xlpm.d,H$2:H$85,_xlpm.f,$A$2:$A$85,_xlpm.k,$F96,AVERAGE(_xlfn._xlws.FILTER(_xlpm.d,_xlpm.f=_xlpm.k)))</f>
        <v>0.76807601115910207</v>
      </c>
      <c r="I96" s="2" cm="1">
        <f t="array" ref="I96">_xlfn.LET(_xlpm.d,I$2:I$85,_xlpm.f,$A$2:$A$85,_xlpm.k,$F96,AVERAGE(_xlfn._xlws.FILTER(_xlpm.d,_xlpm.f=_xlpm.k)))</f>
        <v>0.71768595619554143</v>
      </c>
      <c r="J96" s="2" cm="1">
        <f t="array" ref="J96">_xlfn.LET(_xlpm.d,J$2:J$85,_xlpm.f,$A$2:$A$85,_xlpm.k,$F96,AVERAGE(_xlfn._xlws.FILTER(_xlpm.d,_xlpm.f=_xlpm.k)))</f>
        <v>0.51737165307246835</v>
      </c>
      <c r="K96" s="2" cm="1">
        <f t="array" ref="K96">_xlfn.LET(_xlpm.d,K$2:K$85,_xlpm.f,$A$2:$A$85,_xlpm.k,$F96,AVERAGE(_xlfn._xlws.FILTER(_xlpm.d,_xlpm.f=_xlpm.k)))</f>
        <v>0.71066561062905342</v>
      </c>
      <c r="L96" s="2" cm="1">
        <f t="array" ref="L96">_xlfn.LET(_xlpm.d,L$2:L$85,_xlpm.f,$A$2:$A$85,_xlpm.k,$F96,AVERAGE(_xlfn._xlws.FILTER(_xlpm.d,_xlpm.f=_xlpm.k)))</f>
        <v>0.63969348781291813</v>
      </c>
      <c r="M96" s="2" cm="1">
        <f t="array" ref="M96">_xlfn.LET(_xlpm.d,M$2:M$85,_xlpm.f,$A$2:$A$85,_xlpm.k,$F96,AVERAGE(_xlfn._xlws.FILTER(_xlpm.d,_xlpm.f=_xlpm.k)))</f>
        <v>0.67110300565716108</v>
      </c>
      <c r="N96" s="2" cm="1">
        <f t="array" ref="N96">_xlfn.LET(_xlpm.d,N$2:N$85,_xlpm.f,$A$2:$A$85,_xlpm.k,$F96,AVERAGE(_xlfn._xlws.FILTER(_xlpm.d,_xlpm.f=_xlpm.k)))</f>
        <v>0.52800332016216234</v>
      </c>
      <c r="O96" s="2" cm="1">
        <f t="array" ref="O96">_xlfn.LET(_xlpm.d,O$2:O$85,_xlpm.f,$A$2:$A$85,_xlpm.k,$F96,AVERAGE(_xlfn._xlws.FILTER(_xlpm.d,_xlpm.f=_xlpm.k)))</f>
        <v>0.55802821797625513</v>
      </c>
      <c r="P96" s="2" cm="1">
        <f t="array" ref="P96">_xlfn.LET(_xlpm.d,P$2:P$85,_xlpm.f,$A$2:$A$85,_xlpm.k,$F96,AVERAGE(_xlfn._xlws.FILTER(_xlpm.d,_xlpm.f=_xlpm.k)))</f>
        <v>0.48739956010070645</v>
      </c>
      <c r="Q96" s="2" cm="1">
        <f t="array" ref="Q96">_xlfn.LET(_xlpm.d,Q$2:Q$85,_xlpm.f,$A$2:$A$85,_xlpm.k,$F96,AVERAGE(_xlfn._xlws.FILTER(_xlpm.d,_xlpm.f=_xlpm.k)))</f>
        <v>0.5659060376559315</v>
      </c>
      <c r="R96" s="2" cm="1">
        <f t="array" ref="R96">_xlfn.LET(_xlpm.d,R$2:R$85,_xlpm.f,$A$2:$A$85,_xlpm.k,$F96,AVERAGE(_xlfn._xlws.FILTER(_xlpm.d,_xlpm.f=_xlpm.k)))</f>
        <v>0.64964238765574422</v>
      </c>
      <c r="S96" s="2" cm="1">
        <f t="array" ref="S96">_xlfn.LET(_xlpm.d,S$2:S$85,_xlpm.f,$A$2:$A$85,_xlpm.k,$F96,AVERAGE(_xlfn._xlws.FILTER(_xlpm.d,_xlpm.f=_xlpm.k)))</f>
        <v>0.50040033240011828</v>
      </c>
      <c r="T96" s="2" cm="1">
        <f t="array" ref="T96">_xlfn.LET(_xlpm.d,T$2:T$85,_xlpm.f,$A$2:$A$85,_xlpm.k,$F96,AVERAGE(_xlfn._xlws.FILTER(_xlpm.d,_xlpm.f=_xlpm.k)))</f>
        <v>0.63167551941133737</v>
      </c>
    </row>
    <row r="97" spans="6:20" ht="30" customHeight="1">
      <c r="F97" t="s">
        <v>42</v>
      </c>
      <c r="G97" s="2" cm="1">
        <f t="array" ref="G97">_xlfn.LET(_xlpm.d,G$2:G$85,_xlpm.f,$A$2:$A$85,_xlpm.k,$F97,AVERAGE(_xlfn._xlws.FILTER(_xlpm.d,_xlpm.f=_xlpm.k)))</f>
        <v>0.98473351950677057</v>
      </c>
      <c r="H97" s="2" cm="1">
        <f t="array" ref="H97">_xlfn.LET(_xlpm.d,H$2:H$85,_xlpm.f,$A$2:$A$85,_xlpm.k,$F97,AVERAGE(_xlfn._xlws.FILTER(_xlpm.d,_xlpm.f=_xlpm.k)))</f>
        <v>0.98827395839967491</v>
      </c>
      <c r="I97" s="2" cm="1">
        <f t="array" ref="I97">_xlfn.LET(_xlpm.d,I$2:I$85,_xlpm.f,$A$2:$A$85,_xlpm.k,$F97,AVERAGE(_xlfn._xlws.FILTER(_xlpm.d,_xlpm.f=_xlpm.k)))</f>
        <v>0.99786906278621401</v>
      </c>
      <c r="J97" s="2" cm="1">
        <f t="array" ref="J97">_xlfn.LET(_xlpm.d,J$2:J$85,_xlpm.f,$A$2:$A$85,_xlpm.k,$F97,AVERAGE(_xlfn._xlws.FILTER(_xlpm.d,_xlpm.f=_xlpm.k)))</f>
        <v>0.99455459204769614</v>
      </c>
      <c r="K97" s="2" cm="1">
        <f t="array" ref="K97">_xlfn.LET(_xlpm.d,K$2:K$85,_xlpm.f,$A$2:$A$85,_xlpm.k,$F97,AVERAGE(_xlfn._xlws.FILTER(_xlpm.d,_xlpm.f=_xlpm.k)))</f>
        <v>0.99266602571041085</v>
      </c>
      <c r="L97" s="2" cm="1">
        <f t="array" ref="L97">_xlfn.LET(_xlpm.d,L$2:L$85,_xlpm.f,$A$2:$A$85,_xlpm.k,$F97,AVERAGE(_xlfn._xlws.FILTER(_xlpm.d,_xlpm.f=_xlpm.k)))</f>
        <v>0.97893221343133485</v>
      </c>
      <c r="M97" s="2" cm="1">
        <f t="array" ref="M97">_xlfn.LET(_xlpm.d,M$2:M$85,_xlpm.f,$A$2:$A$85,_xlpm.k,$F97,AVERAGE(_xlfn._xlws.FILTER(_xlpm.d,_xlpm.f=_xlpm.k)))</f>
        <v>0.95672276362715458</v>
      </c>
      <c r="N97" s="2" cm="1">
        <f t="array" ref="N97">_xlfn.LET(_xlpm.d,N$2:N$85,_xlpm.f,$A$2:$A$85,_xlpm.k,$F97,AVERAGE(_xlfn._xlws.FILTER(_xlpm.d,_xlpm.f=_xlpm.k)))</f>
        <v>0.97294744276531364</v>
      </c>
      <c r="O97" s="2" cm="1">
        <f t="array" ref="O97">_xlfn.LET(_xlpm.d,O$2:O$85,_xlpm.f,$A$2:$A$85,_xlpm.k,$F97,AVERAGE(_xlfn._xlws.FILTER(_xlpm.d,_xlpm.f=_xlpm.k)))</f>
        <v>0.97723502077083302</v>
      </c>
      <c r="P97" s="2" cm="1">
        <f t="array" ref="P97">_xlfn.LET(_xlpm.d,P$2:P$85,_xlpm.f,$A$2:$A$85,_xlpm.k,$F97,AVERAGE(_xlfn._xlws.FILTER(_xlpm.d,_xlpm.f=_xlpm.k)))</f>
        <v>0.92558647760720569</v>
      </c>
      <c r="Q97" s="2" cm="1">
        <f t="array" ref="Q97">_xlfn.LET(_xlpm.d,Q$2:Q$85,_xlpm.f,$A$2:$A$85,_xlpm.k,$F97,AVERAGE(_xlfn._xlws.FILTER(_xlpm.d,_xlpm.f=_xlpm.k)))</f>
        <v>0.97514684332175861</v>
      </c>
      <c r="R97" s="2" cm="1">
        <f t="array" ref="R97">_xlfn.LET(_xlpm.d,R$2:R$85,_xlpm.f,$A$2:$A$85,_xlpm.k,$F97,AVERAGE(_xlfn._xlws.FILTER(_xlpm.d,_xlpm.f=_xlpm.k)))</f>
        <v>0.89319396789494798</v>
      </c>
      <c r="S97" s="2" cm="1">
        <f t="array" ref="S97">_xlfn.LET(_xlpm.d,S$2:S$85,_xlpm.f,$A$2:$A$85,_xlpm.k,$F97,AVERAGE(_xlfn._xlws.FILTER(_xlpm.d,_xlpm.f=_xlpm.k)))</f>
        <v>0.97301252736777022</v>
      </c>
      <c r="T97" s="2" cm="1">
        <f t="array" ref="T97">_xlfn.LET(_xlpm.d,T$2:T$85,_xlpm.f,$A$2:$A$85,_xlpm.k,$F97,AVERAGE(_xlfn._xlws.FILTER(_xlpm.d,_xlpm.f=_xlpm.k)))</f>
        <v>0.97019208877450158</v>
      </c>
    </row>
    <row r="98" spans="6:20" ht="30" customHeight="1">
      <c r="F98" t="s">
        <v>102</v>
      </c>
      <c r="G98" s="2" cm="1">
        <f t="array" ref="G98">_xlfn.LET(_xlpm.d,G$2:G$85,_xlpm.f,$A$2:$A$85,_xlpm.k,$F98,AVERAGE(_xlfn._xlws.FILTER(_xlpm.d,_xlpm.f=_xlpm.k)))</f>
        <v>0.70224874012757865</v>
      </c>
      <c r="H98" s="2" cm="1">
        <f t="array" ref="H98">_xlfn.LET(_xlpm.d,H$2:H$85,_xlpm.f,$A$2:$A$85,_xlpm.k,$F98,AVERAGE(_xlfn._xlws.FILTER(_xlpm.d,_xlpm.f=_xlpm.k)))</f>
        <v>0.69972664185766154</v>
      </c>
      <c r="I98" s="2" cm="1">
        <f t="array" ref="I98">_xlfn.LET(_xlpm.d,I$2:I$85,_xlpm.f,$A$2:$A$85,_xlpm.k,$F98,AVERAGE(_xlfn._xlws.FILTER(_xlpm.d,_xlpm.f=_xlpm.k)))</f>
        <v>0.66327266131711571</v>
      </c>
      <c r="J98" s="2" cm="1">
        <f t="array" ref="J98">_xlfn.LET(_xlpm.d,J$2:J$85,_xlpm.f,$A$2:$A$85,_xlpm.k,$F98,AVERAGE(_xlfn._xlws.FILTER(_xlpm.d,_xlpm.f=_xlpm.k)))</f>
        <v>0.597036019501056</v>
      </c>
      <c r="K98" s="2" cm="1">
        <f t="array" ref="K98">_xlfn.LET(_xlpm.d,K$2:K$85,_xlpm.f,$A$2:$A$85,_xlpm.k,$F98,AVERAGE(_xlfn._xlws.FILTER(_xlpm.d,_xlpm.f=_xlpm.k)))</f>
        <v>0.56306172136658572</v>
      </c>
      <c r="L98" s="2" cm="1">
        <f t="array" ref="L98">_xlfn.LET(_xlpm.d,L$2:L$85,_xlpm.f,$A$2:$A$85,_xlpm.k,$F98,AVERAGE(_xlfn._xlws.FILTER(_xlpm.d,_xlpm.f=_xlpm.k)))</f>
        <v>0.49155844545316313</v>
      </c>
      <c r="M98" s="2" cm="1">
        <f t="array" ref="M98">_xlfn.LET(_xlpm.d,M$2:M$85,_xlpm.f,$A$2:$A$85,_xlpm.k,$F98,AVERAGE(_xlfn._xlws.FILTER(_xlpm.d,_xlpm.f=_xlpm.k)))</f>
        <v>0.54206553504137356</v>
      </c>
      <c r="N98" s="2" cm="1">
        <f t="array" ref="N98">_xlfn.LET(_xlpm.d,N$2:N$85,_xlpm.f,$A$2:$A$85,_xlpm.k,$F98,AVERAGE(_xlfn._xlws.FILTER(_xlpm.d,_xlpm.f=_xlpm.k)))</f>
        <v>0.59148166918996736</v>
      </c>
      <c r="O98" s="2" cm="1">
        <f t="array" ref="O98">_xlfn.LET(_xlpm.d,O$2:O$85,_xlpm.f,$A$2:$A$85,_xlpm.k,$F98,AVERAGE(_xlfn._xlws.FILTER(_xlpm.d,_xlpm.f=_xlpm.k)))</f>
        <v>0.58807945281933782</v>
      </c>
      <c r="P98" s="2" cm="1">
        <f t="array" ref="P98">_xlfn.LET(_xlpm.d,P$2:P$85,_xlpm.f,$A$2:$A$85,_xlpm.k,$F98,AVERAGE(_xlfn._xlws.FILTER(_xlpm.d,_xlpm.f=_xlpm.k)))</f>
        <v>0.53890902519781714</v>
      </c>
      <c r="Q98" s="2" cm="1">
        <f t="array" ref="Q98">_xlfn.LET(_xlpm.d,Q$2:Q$85,_xlpm.f,$A$2:$A$85,_xlpm.k,$F98,AVERAGE(_xlfn._xlws.FILTER(_xlpm.d,_xlpm.f=_xlpm.k)))</f>
        <v>0.41286187513928146</v>
      </c>
      <c r="R98" s="2" cm="1">
        <f t="array" ref="R98">_xlfn.LET(_xlpm.d,R$2:R$85,_xlpm.f,$A$2:$A$85,_xlpm.k,$F98,AVERAGE(_xlfn._xlws.FILTER(_xlpm.d,_xlpm.f=_xlpm.k)))</f>
        <v>0.50346831158537275</v>
      </c>
      <c r="S98" s="2" cm="1">
        <f t="array" ref="S98">_xlfn.LET(_xlpm.d,S$2:S$85,_xlpm.f,$A$2:$A$85,_xlpm.k,$F98,AVERAGE(_xlfn._xlws.FILTER(_xlpm.d,_xlpm.f=_xlpm.k)))</f>
        <v>0.52264358502450226</v>
      </c>
      <c r="T98" s="2" cm="1">
        <f t="array" ref="T98">_xlfn.LET(_xlpm.d,T$2:T$85,_xlpm.f,$A$2:$A$85,_xlpm.k,$F98,AVERAGE(_xlfn._xlws.FILTER(_xlpm.d,_xlpm.f=_xlpm.k)))</f>
        <v>0.56921691217176107</v>
      </c>
    </row>
    <row r="99" spans="6:20" ht="30" customHeight="1">
      <c r="F99" t="s">
        <v>103</v>
      </c>
      <c r="G99" s="2" cm="1">
        <f t="array" ref="G99">_xlfn.LET(_xlpm.d,G$2:G$85,_xlpm.f,$A$2:$A$85,_xlpm.k,$F99,AVERAGE(_xlfn._xlws.FILTER(_xlpm.d,_xlpm.f=_xlpm.k)))</f>
        <v>0.70139148956260022</v>
      </c>
      <c r="H99" s="2" cm="1">
        <f t="array" ref="H99">_xlfn.LET(_xlpm.d,H$2:H$85,_xlpm.f,$A$2:$A$85,_xlpm.k,$F99,AVERAGE(_xlfn._xlws.FILTER(_xlpm.d,_xlpm.f=_xlpm.k)))</f>
        <v>0.75706432165289261</v>
      </c>
      <c r="I99" s="2" cm="1">
        <f t="array" ref="I99">_xlfn.LET(_xlpm.d,I$2:I$85,_xlpm.f,$A$2:$A$85,_xlpm.k,$F99,AVERAGE(_xlfn._xlws.FILTER(_xlpm.d,_xlpm.f=_xlpm.k)))</f>
        <v>0.67943034505272837</v>
      </c>
      <c r="J99" s="2" cm="1">
        <f t="array" ref="J99">_xlfn.LET(_xlpm.d,J$2:J$85,_xlpm.f,$A$2:$A$85,_xlpm.k,$F99,AVERAGE(_xlfn._xlws.FILTER(_xlpm.d,_xlpm.f=_xlpm.k)))</f>
        <v>0.68570546144589894</v>
      </c>
      <c r="K99" s="2" cm="1">
        <f t="array" ref="K99">_xlfn.LET(_xlpm.d,K$2:K$85,_xlpm.f,$A$2:$A$85,_xlpm.k,$F99,AVERAGE(_xlfn._xlws.FILTER(_xlpm.d,_xlpm.f=_xlpm.k)))</f>
        <v>0.61079474612585538</v>
      </c>
      <c r="L99" s="2" cm="1">
        <f t="array" ref="L99">_xlfn.LET(_xlpm.d,L$2:L$85,_xlpm.f,$A$2:$A$85,_xlpm.k,$F99,AVERAGE(_xlfn._xlws.FILTER(_xlpm.d,_xlpm.f=_xlpm.k)))</f>
        <v>0.62213480104057595</v>
      </c>
      <c r="M99" s="2" cm="1">
        <f t="array" ref="M99">_xlfn.LET(_xlpm.d,M$2:M$85,_xlpm.f,$A$2:$A$85,_xlpm.k,$F99,AVERAGE(_xlfn._xlws.FILTER(_xlpm.d,_xlpm.f=_xlpm.k)))</f>
        <v>0.55274198092135818</v>
      </c>
      <c r="N99" s="2" cm="1">
        <f t="array" ref="N99">_xlfn.LET(_xlpm.d,N$2:N$85,_xlpm.f,$A$2:$A$85,_xlpm.k,$F99,AVERAGE(_xlfn._xlws.FILTER(_xlpm.d,_xlpm.f=_xlpm.k)))</f>
        <v>0.63397089551866614</v>
      </c>
      <c r="O99" s="2" cm="1">
        <f t="array" ref="O99">_xlfn.LET(_xlpm.d,O$2:O$85,_xlpm.f,$A$2:$A$85,_xlpm.k,$F99,AVERAGE(_xlfn._xlws.FILTER(_xlpm.d,_xlpm.f=_xlpm.k)))</f>
        <v>0.59263923775224314</v>
      </c>
      <c r="P99" s="2" cm="1">
        <f t="array" ref="P99">_xlfn.LET(_xlpm.d,P$2:P$85,_xlpm.f,$A$2:$A$85,_xlpm.k,$F99,AVERAGE(_xlfn._xlws.FILTER(_xlpm.d,_xlpm.f=_xlpm.k)))</f>
        <v>0.56480011254209272</v>
      </c>
      <c r="Q99" s="2" cm="1">
        <f t="array" ref="Q99">_xlfn.LET(_xlpm.d,Q$2:Q$85,_xlpm.f,$A$2:$A$85,_xlpm.k,$F99,AVERAGE(_xlfn._xlws.FILTER(_xlpm.d,_xlpm.f=_xlpm.k)))</f>
        <v>0.57605841572780447</v>
      </c>
      <c r="R99" s="2" cm="1">
        <f t="array" ref="R99">_xlfn.LET(_xlpm.d,R$2:R$85,_xlpm.f,$A$2:$A$85,_xlpm.k,$F99,AVERAGE(_xlfn._xlws.FILTER(_xlpm.d,_xlpm.f=_xlpm.k)))</f>
        <v>0.47895706980313274</v>
      </c>
      <c r="S99" s="2" cm="1">
        <f t="array" ref="S99">_xlfn.LET(_xlpm.d,S$2:S$85,_xlpm.f,$A$2:$A$85,_xlpm.k,$F99,AVERAGE(_xlfn._xlws.FILTER(_xlpm.d,_xlpm.f=_xlpm.k)))</f>
        <v>0.64776497675847577</v>
      </c>
      <c r="T99" s="2" cm="1">
        <f t="array" ref="T99">_xlfn.LET(_xlpm.d,T$2:T$85,_xlpm.f,$A$2:$A$85,_xlpm.k,$F99,AVERAGE(_xlfn._xlws.FILTER(_xlpm.d,_xlpm.f=_xlpm.k)))</f>
        <v>0.62256868160375001</v>
      </c>
    </row>
    <row r="100" spans="6:20" ht="30" customHeight="1">
      <c r="F100" t="s">
        <v>101</v>
      </c>
      <c r="G100" s="2" cm="1">
        <f t="array" ref="G100">_xlfn.LET(_xlpm.d,G$2:G$85,_xlpm.f,$A$2:$A$85,_xlpm.k,$F100,AVERAGE(_xlfn._xlws.FILTER(_xlpm.d,_xlpm.f=_xlpm.k)))</f>
        <v>0.7683813696708407</v>
      </c>
      <c r="H100" s="2" cm="1">
        <f t="array" ref="H100">_xlfn.LET(_xlpm.d,H$2:H$85,_xlpm.f,$A$2:$A$85,_xlpm.k,$F100,AVERAGE(_xlfn._xlws.FILTER(_xlpm.d,_xlpm.f=_xlpm.k)))</f>
        <v>0.70291126605988941</v>
      </c>
      <c r="I100" s="2" cm="1">
        <f t="array" ref="I100">_xlfn.LET(_xlpm.d,I$2:I$85,_xlpm.f,$A$2:$A$85,_xlpm.k,$F100,AVERAGE(_xlfn._xlws.FILTER(_xlpm.d,_xlpm.f=_xlpm.k)))</f>
        <v>0.70899320404451183</v>
      </c>
      <c r="J100" s="2" cm="1">
        <f t="array" ref="J100">_xlfn.LET(_xlpm.d,J$2:J$85,_xlpm.f,$A$2:$A$85,_xlpm.k,$F100,AVERAGE(_xlfn._xlws.FILTER(_xlpm.d,_xlpm.f=_xlpm.k)))</f>
        <v>0.7250722718334387</v>
      </c>
      <c r="K100" s="2" cm="1">
        <f t="array" ref="K100">_xlfn.LET(_xlpm.d,K$2:K$85,_xlpm.f,$A$2:$A$85,_xlpm.k,$F100,AVERAGE(_xlfn._xlws.FILTER(_xlpm.d,_xlpm.f=_xlpm.k)))</f>
        <v>0.75905931209974453</v>
      </c>
      <c r="L100" s="2" cm="1">
        <f t="array" ref="L100">_xlfn.LET(_xlpm.d,L$2:L$85,_xlpm.f,$A$2:$A$85,_xlpm.k,$F100,AVERAGE(_xlfn._xlws.FILTER(_xlpm.d,_xlpm.f=_xlpm.k)))</f>
        <v>0.66797777725521068</v>
      </c>
      <c r="M100" s="2" cm="1">
        <f t="array" ref="M100">_xlfn.LET(_xlpm.d,M$2:M$85,_xlpm.f,$A$2:$A$85,_xlpm.k,$F100,AVERAGE(_xlfn._xlws.FILTER(_xlpm.d,_xlpm.f=_xlpm.k)))</f>
        <v>0.62837523601672718</v>
      </c>
      <c r="N100" s="2" cm="1">
        <f t="array" ref="N100">_xlfn.LET(_xlpm.d,N$2:N$85,_xlpm.f,$A$2:$A$85,_xlpm.k,$F100,AVERAGE(_xlfn._xlws.FILTER(_xlpm.d,_xlpm.f=_xlpm.k)))</f>
        <v>0.76053531110693429</v>
      </c>
      <c r="O100" s="2" cm="1">
        <f t="array" ref="O100">_xlfn.LET(_xlpm.d,O$2:O$85,_xlpm.f,$A$2:$A$85,_xlpm.k,$F100,AVERAGE(_xlfn._xlws.FILTER(_xlpm.d,_xlpm.f=_xlpm.k)))</f>
        <v>0.617547611323502</v>
      </c>
      <c r="P100" s="2" cm="1">
        <f t="array" ref="P100">_xlfn.LET(_xlpm.d,P$2:P$85,_xlpm.f,$A$2:$A$85,_xlpm.k,$F100,AVERAGE(_xlfn._xlws.FILTER(_xlpm.d,_xlpm.f=_xlpm.k)))</f>
        <v>0.65872097639599259</v>
      </c>
      <c r="Q100" s="2" cm="1">
        <f t="array" ref="Q100">_xlfn.LET(_xlpm.d,Q$2:Q$85,_xlpm.f,$A$2:$A$85,_xlpm.k,$F100,AVERAGE(_xlfn._xlws.FILTER(_xlpm.d,_xlpm.f=_xlpm.k)))</f>
        <v>0.84995221011353794</v>
      </c>
      <c r="R100" s="2" cm="1">
        <f t="array" ref="R100">_xlfn.LET(_xlpm.d,R$2:R$85,_xlpm.f,$A$2:$A$85,_xlpm.k,$F100,AVERAGE(_xlfn._xlws.FILTER(_xlpm.d,_xlpm.f=_xlpm.k)))</f>
        <v>0.85082809362695222</v>
      </c>
      <c r="S100" s="2" cm="1">
        <f t="array" ref="S100">_xlfn.LET(_xlpm.d,S$2:S$85,_xlpm.f,$A$2:$A$85,_xlpm.k,$F100,AVERAGE(_xlfn._xlws.FILTER(_xlpm.d,_xlpm.f=_xlpm.k)))</f>
        <v>0.50128148674266571</v>
      </c>
      <c r="T100" s="2" cm="1">
        <f t="array" ref="T100">_xlfn.LET(_xlpm.d,T$2:T$85,_xlpm.f,$A$2:$A$85,_xlpm.k,$F100,AVERAGE(_xlfn._xlws.FILTER(_xlpm.d,_xlpm.f=_xlpm.k)))</f>
        <v>0.70766431740691904</v>
      </c>
    </row>
    <row r="102" spans="6:20" ht="30" customHeight="1">
      <c r="F102" t="s">
        <v>44</v>
      </c>
    </row>
    <row r="103" spans="6:20" ht="30" customHeight="1">
      <c r="F103" t="s">
        <v>37</v>
      </c>
      <c r="G103" s="2" cm="1">
        <f t="array" ref="G103">_xlfn.LET(_xlpm.d,G$2:G$85,_xlpm.g,$B$2:$B$85,AVERAGE(_xlfn._xlws.FILTER(_xlpm.d,(_xlpm.g=0))))</f>
        <v>0.78862438445859151</v>
      </c>
      <c r="H103" s="2" cm="1">
        <f t="array" ref="H103">_xlfn.LET(_xlpm.d,H$2:H$85,_xlpm.g,$B$2:$B$85,AVERAGE(_xlfn._xlws.FILTER(_xlpm.d,(_xlpm.g=0))))</f>
        <v>0.76122689825893242</v>
      </c>
      <c r="I103" s="2" cm="1">
        <f t="array" ref="I103">_xlfn.LET(_xlpm.d,I$2:I$85,_xlpm.g,$B$2:$B$85,AVERAGE(_xlfn._xlws.FILTER(_xlpm.d,(_xlpm.g=0))))</f>
        <v>0.75562987007350246</v>
      </c>
      <c r="J103" s="2" cm="1">
        <f t="array" ref="J103">_xlfn.LET(_xlpm.d,J$2:J$85,_xlpm.g,$B$2:$B$85,AVERAGE(_xlfn._xlws.FILTER(_xlpm.d,(_xlpm.g=0))))</f>
        <v>0.71729312806091694</v>
      </c>
      <c r="K103" s="2" cm="1">
        <f t="array" ref="K103">_xlfn.LET(_xlpm.d,K$2:K$85,_xlpm.g,$B$2:$B$85,AVERAGE(_xlfn._xlws.FILTER(_xlpm.d,(_xlpm.g=0))))</f>
        <v>0.73057713374627298</v>
      </c>
      <c r="L103" s="2" cm="1">
        <f t="array" ref="L103">_xlfn.LET(_xlpm.d,L$2:L$85,_xlpm.g,$B$2:$B$85,AVERAGE(_xlfn._xlws.FILTER(_xlpm.d,(_xlpm.g=0))))</f>
        <v>0.68075420782794449</v>
      </c>
      <c r="M103" s="2" cm="1">
        <f t="array" ref="M103">_xlfn.LET(_xlpm.d,M$2:M$85,_xlpm.g,$B$2:$B$85,AVERAGE(_xlfn._xlws.FILTER(_xlpm.d,(_xlpm.g=0))))</f>
        <v>0.70240453137711722</v>
      </c>
      <c r="N103" s="2" cm="1">
        <f t="array" ref="N103">_xlfn.LET(_xlpm.d,N$2:N$85,_xlpm.g,$B$2:$B$85,AVERAGE(_xlfn._xlws.FILTER(_xlpm.d,(_xlpm.g=0))))</f>
        <v>0.69745339516575855</v>
      </c>
      <c r="O103" s="2" cm="1">
        <f t="array" ref="O103">_xlfn.LET(_xlpm.d,O$2:O$85,_xlpm.g,$B$2:$B$85,AVERAGE(_xlfn._xlws.FILTER(_xlpm.d,(_xlpm.g=0))))</f>
        <v>0.68624339261448652</v>
      </c>
      <c r="P103" s="2" cm="1">
        <f t="array" ref="P103">_xlfn.LET(_xlpm.d,P$2:P$85,_xlpm.g,$B$2:$B$85,AVERAGE(_xlfn._xlws.FILTER(_xlpm.d,(_xlpm.g=0))))</f>
        <v>0.68984233520562122</v>
      </c>
      <c r="Q103" s="2" cm="1">
        <f t="array" ref="Q103">_xlfn.LET(_xlpm.d,Q$2:Q$85,_xlpm.g,$B$2:$B$85,AVERAGE(_xlfn._xlws.FILTER(_xlpm.d,(_xlpm.g=0))))</f>
        <v>0.67017819264533385</v>
      </c>
      <c r="R103" s="2" cm="1">
        <f t="array" ref="R103">_xlfn.LET(_xlpm.d,R$2:R$85,_xlpm.g,$B$2:$B$85,AVERAGE(_xlfn._xlws.FILTER(_xlpm.d,(_xlpm.g=0))))</f>
        <v>0.68598699257172369</v>
      </c>
      <c r="S103" s="2" cm="1">
        <f t="array" ref="S103">_xlfn.LET(_xlpm.d,S$2:S$85,_xlpm.g,$B$2:$B$85,AVERAGE(_xlfn._xlws.FILTER(_xlpm.d,(_xlpm.g=0))))</f>
        <v>0.63039551608053201</v>
      </c>
      <c r="T103" s="2" cm="1">
        <f t="array" ref="T103">_xlfn.LET(_xlpm.d,T$2:T$85,_xlpm.g,$B$2:$B$85,AVERAGE(_xlfn._xlws.FILTER(_xlpm.d,(_xlpm.g=0))))</f>
        <v>0.70448237229746902</v>
      </c>
    </row>
    <row r="104" spans="6:20" ht="30" customHeight="1">
      <c r="F104" t="s">
        <v>38</v>
      </c>
      <c r="G104" s="2" cm="1">
        <f t="array" ref="G104">_xlfn.LET(_xlpm.d,G$2:G$85,_xlpm.f,$A$2:$A$85,_xlpm.g,$B$2:$B$85,_xlpm.k,$F104,AVERAGE(_xlfn._xlws.FILTER(_xlpm.d,(_xlpm.f=_xlpm.k)*(_xlpm.g=0))))</f>
        <v>0.99156003581566654</v>
      </c>
      <c r="H104" s="2" cm="1">
        <f t="array" ref="H104">_xlfn.LET(_xlpm.d,H$2:H$85,_xlpm.f,$A$2:$A$85,_xlpm.g,$B$2:$B$85,_xlpm.k,$F104,AVERAGE(_xlfn._xlws.FILTER(_xlpm.d,(_xlpm.f=_xlpm.k)*(_xlpm.g=0))))</f>
        <v>0.98589247173829619</v>
      </c>
      <c r="I104" s="2" cm="1">
        <f t="array" ref="I104">_xlfn.LET(_xlpm.d,I$2:I$85,_xlpm.f,$A$2:$A$85,_xlpm.g,$B$2:$B$85,_xlpm.k,$F104,AVERAGE(_xlfn._xlws.FILTER(_xlpm.d,(_xlpm.f=_xlpm.k)*(_xlpm.g=0))))</f>
        <v>0.99609045584056355</v>
      </c>
      <c r="J104" s="2" cm="1">
        <f t="array" ref="J104">_xlfn.LET(_xlpm.d,J$2:J$85,_xlpm.f,$A$2:$A$85,_xlpm.g,$B$2:$B$85,_xlpm.k,$F104,AVERAGE(_xlfn._xlws.FILTER(_xlpm.d,(_xlpm.f=_xlpm.k)*(_xlpm.g=0))))</f>
        <v>0.99751043352764779</v>
      </c>
      <c r="K104" s="2" cm="1">
        <f t="array" ref="K104">_xlfn.LET(_xlpm.d,K$2:K$85,_xlpm.f,$A$2:$A$85,_xlpm.g,$B$2:$B$85,_xlpm.k,$F104,AVERAGE(_xlfn._xlws.FILTER(_xlpm.d,(_xlpm.f=_xlpm.k)*(_xlpm.g=0))))</f>
        <v>0.98644454317962804</v>
      </c>
      <c r="L104" s="2" cm="1">
        <f t="array" ref="L104">_xlfn.LET(_xlpm.d,L$2:L$85,_xlpm.f,$A$2:$A$85,_xlpm.g,$B$2:$B$85,_xlpm.k,$F104,AVERAGE(_xlfn._xlws.FILTER(_xlpm.d,(_xlpm.f=_xlpm.k)*(_xlpm.g=0))))</f>
        <v>0.97185227512916328</v>
      </c>
      <c r="M104" s="2" cm="1">
        <f t="array" ref="M104">_xlfn.LET(_xlpm.d,M$2:M$85,_xlpm.f,$A$2:$A$85,_xlpm.g,$B$2:$B$85,_xlpm.k,$F104,AVERAGE(_xlfn._xlws.FILTER(_xlpm.d,(_xlpm.f=_xlpm.k)*(_xlpm.g=0))))</f>
        <v>0.99353512403249589</v>
      </c>
      <c r="N104" s="2" cm="1">
        <f t="array" ref="N104">_xlfn.LET(_xlpm.d,N$2:N$85,_xlpm.f,$A$2:$A$85,_xlpm.g,$B$2:$B$85,_xlpm.k,$F104,AVERAGE(_xlfn._xlws.FILTER(_xlpm.d,(_xlpm.f=_xlpm.k)*(_xlpm.g=0))))</f>
        <v>0.98520343469819427</v>
      </c>
      <c r="O104" s="2" cm="1">
        <f t="array" ref="O104">_xlfn.LET(_xlpm.d,O$2:O$85,_xlpm.f,$A$2:$A$85,_xlpm.g,$B$2:$B$85,_xlpm.k,$F104,AVERAGE(_xlfn._xlws.FILTER(_xlpm.d,(_xlpm.f=_xlpm.k)*(_xlpm.g=0))))</f>
        <v>0.95818990153720307</v>
      </c>
      <c r="P104" s="2" cm="1">
        <f t="array" ref="P104">_xlfn.LET(_xlpm.d,P$2:P$85,_xlpm.f,$A$2:$A$85,_xlpm.g,$B$2:$B$85,_xlpm.k,$F104,AVERAGE(_xlfn._xlws.FILTER(_xlpm.d,(_xlpm.f=_xlpm.k)*(_xlpm.g=0))))</f>
        <v>0.98780782159358138</v>
      </c>
      <c r="Q104" s="2" cm="1">
        <f t="array" ref="Q104">_xlfn.LET(_xlpm.d,Q$2:Q$85,_xlpm.f,$A$2:$A$85,_xlpm.g,$B$2:$B$85,_xlpm.k,$F104,AVERAGE(_xlfn._xlws.FILTER(_xlpm.d,(_xlpm.f=_xlpm.k)*(_xlpm.g=0))))</f>
        <v>0.99820733243875681</v>
      </c>
      <c r="R104" s="2" cm="1">
        <f t="array" ref="R104">_xlfn.LET(_xlpm.d,R$2:R$85,_xlpm.f,$A$2:$A$85,_xlpm.g,$B$2:$B$85,_xlpm.k,$F104,AVERAGE(_xlfn._xlws.FILTER(_xlpm.d,(_xlpm.f=_xlpm.k)*(_xlpm.g=0))))</f>
        <v>0.99702317259629247</v>
      </c>
      <c r="S104" s="2" cm="1">
        <f t="array" ref="S104">_xlfn.LET(_xlpm.d,S$2:S$85,_xlpm.f,$A$2:$A$85,_xlpm.g,$B$2:$B$85,_xlpm.k,$F104,AVERAGE(_xlfn._xlws.FILTER(_xlpm.d,(_xlpm.f=_xlpm.k)*(_xlpm.g=0))))</f>
        <v>0.98917797992347634</v>
      </c>
      <c r="T104" s="2" cm="1">
        <f t="array" ref="T104">_xlfn.LET(_xlpm.d,T$2:T$85,_xlpm.f,$A$2:$A$85,_xlpm.g,$B$2:$B$85,_xlpm.k,$F104,AVERAGE(_xlfn._xlws.FILTER(_xlpm.d,(_xlpm.f=_xlpm.k)*(_xlpm.g=0))))</f>
        <v>0.98757653708084359</v>
      </c>
    </row>
    <row r="105" spans="6:20" ht="30" customHeight="1">
      <c r="F105" t="s">
        <v>40</v>
      </c>
      <c r="G105" s="2" cm="1">
        <f t="array" ref="G105">_xlfn.LET(_xlpm.d,G$2:G$85,_xlpm.f,$A$2:$A$85,_xlpm.g,$B$2:$B$85,_xlpm.k,$F105,AVERAGE(_xlfn._xlws.FILTER(_xlpm.d,(_xlpm.f=_xlpm.k)*(_xlpm.g=0))))</f>
        <v>0.54879920123410431</v>
      </c>
      <c r="H105" s="2" cm="1">
        <f t="array" ref="H105">_xlfn.LET(_xlpm.d,H$2:H$85,_xlpm.f,$A$2:$A$85,_xlpm.g,$B$2:$B$85,_xlpm.k,$F105,AVERAGE(_xlfn._xlws.FILTER(_xlpm.d,(_xlpm.f=_xlpm.k)*(_xlpm.g=0))))</f>
        <v>0.52911240887046607</v>
      </c>
      <c r="I105" s="2" cm="1">
        <f t="array" ref="I105">_xlfn.LET(_xlpm.d,I$2:I$85,_xlpm.f,$A$2:$A$85,_xlpm.g,$B$2:$B$85,_xlpm.k,$F105,AVERAGE(_xlfn._xlws.FILTER(_xlpm.d,(_xlpm.f=_xlpm.k)*(_xlpm.g=0))))</f>
        <v>0.48965351929947049</v>
      </c>
      <c r="J105" s="2" cm="1">
        <f t="array" ref="J105">_xlfn.LET(_xlpm.d,J$2:J$85,_xlpm.f,$A$2:$A$85,_xlpm.g,$B$2:$B$85,_xlpm.k,$F105,AVERAGE(_xlfn._xlws.FILTER(_xlpm.d,(_xlpm.f=_xlpm.k)*(_xlpm.g=0))))</f>
        <v>0.48220178084499582</v>
      </c>
      <c r="K105" s="2" cm="1">
        <f t="array" ref="K105">_xlfn.LET(_xlpm.d,K$2:K$85,_xlpm.f,$A$2:$A$85,_xlpm.g,$B$2:$B$85,_xlpm.k,$F105,AVERAGE(_xlfn._xlws.FILTER(_xlpm.d,(_xlpm.f=_xlpm.k)*(_xlpm.g=0))))</f>
        <v>0.40560097245920951</v>
      </c>
      <c r="L105" s="2" cm="1">
        <f t="array" ref="L105">_xlfn.LET(_xlpm.d,L$2:L$85,_xlpm.f,$A$2:$A$85,_xlpm.g,$B$2:$B$85,_xlpm.k,$F105,AVERAGE(_xlfn._xlws.FILTER(_xlpm.d,(_xlpm.f=_xlpm.k)*(_xlpm.g=0))))</f>
        <v>0.28704719455980865</v>
      </c>
      <c r="M105" s="2" cm="1">
        <f t="array" ref="M105">_xlfn.LET(_xlpm.d,M$2:M$85,_xlpm.f,$A$2:$A$85,_xlpm.g,$B$2:$B$85,_xlpm.k,$F105,AVERAGE(_xlfn._xlws.FILTER(_xlpm.d,(_xlpm.f=_xlpm.k)*(_xlpm.g=0))))</f>
        <v>0.50776467230062816</v>
      </c>
      <c r="N105" s="2" cm="1">
        <f t="array" ref="N105">_xlfn.LET(_xlpm.d,N$2:N$85,_xlpm.f,$A$2:$A$85,_xlpm.g,$B$2:$B$85,_xlpm.k,$F105,AVERAGE(_xlfn._xlws.FILTER(_xlpm.d,(_xlpm.f=_xlpm.k)*(_xlpm.g=0))))</f>
        <v>0.31124223384772548</v>
      </c>
      <c r="O105" s="2" cm="1">
        <f t="array" ref="O105">_xlfn.LET(_xlpm.d,O$2:O$85,_xlpm.f,$A$2:$A$85,_xlpm.g,$B$2:$B$85,_xlpm.k,$F105,AVERAGE(_xlfn._xlws.FILTER(_xlpm.d,(_xlpm.f=_xlpm.k)*(_xlpm.g=0))))</f>
        <v>0.35804309351615848</v>
      </c>
      <c r="P105" s="2" cm="1">
        <f t="array" ref="P105">_xlfn.LET(_xlpm.d,P$2:P$85,_xlpm.f,$A$2:$A$85,_xlpm.g,$B$2:$B$85,_xlpm.k,$F105,AVERAGE(_xlfn._xlws.FILTER(_xlpm.d,(_xlpm.f=_xlpm.k)*(_xlpm.g=0))))</f>
        <v>0.34679904741598233</v>
      </c>
      <c r="Q105" s="2" cm="1">
        <f t="array" ref="Q105">_xlfn.LET(_xlpm.d,Q$2:Q$85,_xlpm.f,$A$2:$A$85,_xlpm.g,$B$2:$B$85,_xlpm.k,$F105,AVERAGE(_xlfn._xlws.FILTER(_xlpm.d,(_xlpm.f=_xlpm.k)*(_xlpm.g=0))))</f>
        <v>0.32578893848730223</v>
      </c>
      <c r="R105" s="2" cm="1">
        <f t="array" ref="R105">_xlfn.LET(_xlpm.d,R$2:R$85,_xlpm.f,$A$2:$A$85,_xlpm.g,$B$2:$B$85,_xlpm.k,$F105,AVERAGE(_xlfn._xlws.FILTER(_xlpm.d,(_xlpm.f=_xlpm.k)*(_xlpm.g=0))))</f>
        <v>0.29165459384117665</v>
      </c>
      <c r="S105" s="2" cm="1">
        <f t="array" ref="S105">_xlfn.LET(_xlpm.d,S$2:S$85,_xlpm.f,$A$2:$A$85,_xlpm.g,$B$2:$B$85,_xlpm.k,$F105,AVERAGE(_xlfn._xlws.FILTER(_xlpm.d,(_xlpm.f=_xlpm.k)*(_xlpm.g=0))))</f>
        <v>0.27898244106734926</v>
      </c>
      <c r="T105" s="2" cm="1">
        <f t="array" ref="T105">_xlfn.LET(_xlpm.d,T$2:T$85,_xlpm.f,$A$2:$A$85,_xlpm.g,$B$2:$B$85,_xlpm.k,$F105,AVERAGE(_xlfn._xlws.FILTER(_xlpm.d,(_xlpm.f=_xlpm.k)*(_xlpm.g=0))))</f>
        <v>0.39694304179170364</v>
      </c>
    </row>
    <row r="106" spans="6:20" ht="30" customHeight="1">
      <c r="F106" t="s">
        <v>41</v>
      </c>
      <c r="G106" s="2" cm="1">
        <f t="array" ref="G106">_xlfn.LET(_xlpm.d,G$2:G$85,_xlpm.f,$A$2:$A$85,_xlpm.g,$B$2:$B$85,_xlpm.k,$F106,AVERAGE(_xlfn._xlws.FILTER(_xlpm.d,(_xlpm.f=_xlpm.k)*(_xlpm.g=0))))</f>
        <v>0.52979783599494612</v>
      </c>
      <c r="H106" s="2" cm="1">
        <f t="array" ref="H106">_xlfn.LET(_xlpm.d,H$2:H$85,_xlpm.f,$A$2:$A$85,_xlpm.g,$B$2:$B$85,_xlpm.k,$F106,AVERAGE(_xlfn._xlws.FILTER(_xlpm.d,(_xlpm.f=_xlpm.k)*(_xlpm.g=0))))</f>
        <v>0.49598872159457946</v>
      </c>
      <c r="I106" s="2" cm="1">
        <f t="array" ref="I106">_xlfn.LET(_xlpm.d,I$2:I$85,_xlpm.f,$A$2:$A$85,_xlpm.g,$B$2:$B$85,_xlpm.k,$F106,AVERAGE(_xlfn._xlws.FILTER(_xlpm.d,(_xlpm.f=_xlpm.k)*(_xlpm.g=0))))</f>
        <v>0.42393290094668384</v>
      </c>
      <c r="J106" s="2" cm="1">
        <f t="array" ref="J106">_xlfn.LET(_xlpm.d,J$2:J$85,_xlpm.f,$A$2:$A$85,_xlpm.g,$B$2:$B$85,_xlpm.k,$F106,AVERAGE(_xlfn._xlws.FILTER(_xlpm.d,(_xlpm.f=_xlpm.k)*(_xlpm.g=0))))</f>
        <v>0.45936467806598441</v>
      </c>
      <c r="K106" s="2" cm="1">
        <f t="array" ref="K106">_xlfn.LET(_xlpm.d,K$2:K$85,_xlpm.f,$A$2:$A$85,_xlpm.g,$B$2:$B$85,_xlpm.k,$F106,AVERAGE(_xlfn._xlws.FILTER(_xlpm.d,(_xlpm.f=_xlpm.k)*(_xlpm.g=0))))</f>
        <v>0.49875825736604584</v>
      </c>
      <c r="L106" s="2" cm="1">
        <f t="array" ref="L106">_xlfn.LET(_xlpm.d,L$2:L$85,_xlpm.f,$A$2:$A$85,_xlpm.g,$B$2:$B$85,_xlpm.k,$F106,AVERAGE(_xlfn._xlws.FILTER(_xlpm.d,(_xlpm.f=_xlpm.k)*(_xlpm.g=0))))</f>
        <v>0.49958816656117128</v>
      </c>
      <c r="M106" s="2" cm="1">
        <f t="array" ref="M106">_xlfn.LET(_xlpm.d,M$2:M$85,_xlpm.f,$A$2:$A$85,_xlpm.g,$B$2:$B$85,_xlpm.k,$F106,AVERAGE(_xlfn._xlws.FILTER(_xlpm.d,(_xlpm.f=_xlpm.k)*(_xlpm.g=0))))</f>
        <v>0.35129354459684481</v>
      </c>
      <c r="N106" s="2" cm="1">
        <f t="array" ref="N106">_xlfn.LET(_xlpm.d,N$2:N$85,_xlpm.f,$A$2:$A$85,_xlpm.g,$B$2:$B$85,_xlpm.k,$F106,AVERAGE(_xlfn._xlws.FILTER(_xlpm.d,(_xlpm.f=_xlpm.k)*(_xlpm.g=0))))</f>
        <v>0.40836004619902599</v>
      </c>
      <c r="O106" s="2" cm="1">
        <f t="array" ref="O106">_xlfn.LET(_xlpm.d,O$2:O$85,_xlpm.f,$A$2:$A$85,_xlpm.g,$B$2:$B$85,_xlpm.k,$F106,AVERAGE(_xlfn._xlws.FILTER(_xlpm.d,(_xlpm.f=_xlpm.k)*(_xlpm.g=0))))</f>
        <v>0.41318536116932064</v>
      </c>
      <c r="P106" s="2" cm="1">
        <f t="array" ref="P106">_xlfn.LET(_xlpm.d,P$2:P$85,_xlpm.f,$A$2:$A$85,_xlpm.g,$B$2:$B$85,_xlpm.k,$F106,AVERAGE(_xlfn._xlws.FILTER(_xlpm.d,(_xlpm.f=_xlpm.k)*(_xlpm.g=0))))</f>
        <v>0.54830251772850114</v>
      </c>
      <c r="Q106" s="2" cm="1">
        <f t="array" ref="Q106">_xlfn.LET(_xlpm.d,Q$2:Q$85,_xlpm.f,$A$2:$A$85,_xlpm.g,$B$2:$B$85,_xlpm.k,$F106,AVERAGE(_xlfn._xlws.FILTER(_xlpm.d,(_xlpm.f=_xlpm.k)*(_xlpm.g=0))))</f>
        <v>0.40090102648866405</v>
      </c>
      <c r="R106" s="2" cm="1">
        <f t="array" ref="R106">_xlfn.LET(_xlpm.d,R$2:R$85,_xlpm.f,$A$2:$A$85,_xlpm.g,$B$2:$B$85,_xlpm.k,$F106,AVERAGE(_xlfn._xlws.FILTER(_xlpm.d,(_xlpm.f=_xlpm.k)*(_xlpm.g=0))))</f>
        <v>0.46532781376963578</v>
      </c>
      <c r="S106" s="2" cm="1">
        <f t="array" ref="S106">_xlfn.LET(_xlpm.d,S$2:S$85,_xlpm.f,$A$2:$A$85,_xlpm.g,$B$2:$B$85,_xlpm.k,$F106,AVERAGE(_xlfn._xlws.FILTER(_xlpm.d,(_xlpm.f=_xlpm.k)*(_xlpm.g=0))))</f>
        <v>0.35592776471935694</v>
      </c>
      <c r="T106" s="2" cm="1">
        <f t="array" ref="T106">_xlfn.LET(_xlpm.d,T$2:T$85,_xlpm.f,$A$2:$A$85,_xlpm.g,$B$2:$B$85,_xlpm.k,$F106,AVERAGE(_xlfn._xlws.FILTER(_xlpm.d,(_xlpm.f=_xlpm.k)*(_xlpm.g=0))))</f>
        <v>0.45123604416457769</v>
      </c>
    </row>
    <row r="107" spans="6:20" ht="30" customHeight="1">
      <c r="F107" t="s">
        <v>97</v>
      </c>
      <c r="G107" s="2" cm="1">
        <f t="array" ref="G107">_xlfn.LET(_xlpm.d,G$2:G$85,_xlpm.f,$A$2:$A$85,_xlpm.g,$B$2:$B$85,_xlpm.k,$F107,AVERAGE(_xlfn._xlws.FILTER(_xlpm.d,(_xlpm.f=_xlpm.k)*(_xlpm.g=0))))</f>
        <v>0.75778397411164844</v>
      </c>
      <c r="H107" s="2" cm="1">
        <f t="array" ref="H107">_xlfn.LET(_xlpm.d,H$2:H$85,_xlpm.f,$A$2:$A$85,_xlpm.g,$B$2:$B$85,_xlpm.k,$F107,AVERAGE(_xlfn._xlws.FILTER(_xlpm.d,(_xlpm.f=_xlpm.k)*(_xlpm.g=0))))</f>
        <v>0.66740949677747174</v>
      </c>
      <c r="I107" s="2" cm="1">
        <f t="array" ref="I107">_xlfn.LET(_xlpm.d,I$2:I$85,_xlpm.f,$A$2:$A$85,_xlpm.g,$B$2:$B$85,_xlpm.k,$F107,AVERAGE(_xlfn._xlws.FILTER(_xlpm.d,(_xlpm.f=_xlpm.k)*(_xlpm.g=0))))</f>
        <v>0.70235981942809056</v>
      </c>
      <c r="J107" s="2" cm="1">
        <f t="array" ref="J107">_xlfn.LET(_xlpm.d,J$2:J$85,_xlpm.f,$A$2:$A$85,_xlpm.g,$B$2:$B$85,_xlpm.k,$F107,AVERAGE(_xlfn._xlws.FILTER(_xlpm.d,(_xlpm.f=_xlpm.k)*(_xlpm.g=0))))</f>
        <v>0.59680656725855596</v>
      </c>
      <c r="K107" s="2" cm="1">
        <f t="array" ref="K107">_xlfn.LET(_xlpm.d,K$2:K$85,_xlpm.f,$A$2:$A$85,_xlpm.g,$B$2:$B$85,_xlpm.k,$F107,AVERAGE(_xlfn._xlws.FILTER(_xlpm.d,(_xlpm.f=_xlpm.k)*(_xlpm.g=0))))</f>
        <v>0.69790742717479903</v>
      </c>
      <c r="L107" s="2" cm="1">
        <f t="array" ref="L107">_xlfn.LET(_xlpm.d,L$2:L$85,_xlpm.f,$A$2:$A$85,_xlpm.g,$B$2:$B$85,_xlpm.k,$F107,AVERAGE(_xlfn._xlws.FILTER(_xlpm.d,(_xlpm.f=_xlpm.k)*(_xlpm.g=0))))</f>
        <v>0.57379779733796077</v>
      </c>
      <c r="M107" s="2" cm="1">
        <f t="array" ref="M107">_xlfn.LET(_xlpm.d,M$2:M$85,_xlpm.f,$A$2:$A$85,_xlpm.g,$B$2:$B$85,_xlpm.k,$F107,AVERAGE(_xlfn._xlws.FILTER(_xlpm.d,(_xlpm.f=_xlpm.k)*(_xlpm.g=0))))</f>
        <v>0.65231765105977046</v>
      </c>
      <c r="N107" s="2" cm="1">
        <f t="array" ref="N107">_xlfn.LET(_xlpm.d,N$2:N$85,_xlpm.f,$A$2:$A$85,_xlpm.g,$B$2:$B$85,_xlpm.k,$F107,AVERAGE(_xlfn._xlws.FILTER(_xlpm.d,(_xlpm.f=_xlpm.k)*(_xlpm.g=0))))</f>
        <v>0.6599592995919692</v>
      </c>
      <c r="O107" s="2" cm="1">
        <f t="array" ref="O107">_xlfn.LET(_xlpm.d,O$2:O$85,_xlpm.f,$A$2:$A$85,_xlpm.g,$B$2:$B$85,_xlpm.k,$F107,AVERAGE(_xlfn._xlws.FILTER(_xlpm.d,(_xlpm.f=_xlpm.k)*(_xlpm.g=0))))</f>
        <v>0.58667300554077406</v>
      </c>
      <c r="P107" s="2" cm="1">
        <f t="array" ref="P107">_xlfn.LET(_xlpm.d,P$2:P$85,_xlpm.f,$A$2:$A$85,_xlpm.g,$B$2:$B$85,_xlpm.k,$F107,AVERAGE(_xlfn._xlws.FILTER(_xlpm.d,(_xlpm.f=_xlpm.k)*(_xlpm.g=0))))</f>
        <v>0.54728618338912893</v>
      </c>
      <c r="Q107" s="2" cm="1">
        <f t="array" ref="Q107">_xlfn.LET(_xlpm.d,Q$2:Q$85,_xlpm.f,$A$2:$A$85,_xlpm.g,$B$2:$B$85,_xlpm.k,$F107,AVERAGE(_xlfn._xlws.FILTER(_xlpm.d,(_xlpm.f=_xlpm.k)*(_xlpm.g=0))))</f>
        <v>0.52076241882931251</v>
      </c>
      <c r="R107" s="2" cm="1">
        <f t="array" ref="R107">_xlfn.LET(_xlpm.d,R$2:R$85,_xlpm.f,$A$2:$A$85,_xlpm.g,$B$2:$B$85,_xlpm.k,$F107,AVERAGE(_xlfn._xlws.FILTER(_xlpm.d,(_xlpm.f=_xlpm.k)*(_xlpm.g=0))))</f>
        <v>0.57568354252315768</v>
      </c>
      <c r="S107" s="2" cm="1">
        <f t="array" ref="S107">_xlfn.LET(_xlpm.d,S$2:S$85,_xlpm.f,$A$2:$A$85,_xlpm.g,$B$2:$B$85,_xlpm.k,$F107,AVERAGE(_xlfn._xlws.FILTER(_xlpm.d,(_xlpm.f=_xlpm.k)*(_xlpm.g=0))))</f>
        <v>0.43390255180408532</v>
      </c>
      <c r="T107" s="2" cm="1">
        <f t="array" ref="T107">_xlfn.LET(_xlpm.d,T$2:T$85,_xlpm.f,$A$2:$A$85,_xlpm.g,$B$2:$B$85,_xlpm.k,$F107,AVERAGE(_xlfn._xlws.FILTER(_xlpm.d,(_xlpm.f=_xlpm.k)*(_xlpm.g=0))))</f>
        <v>0.61040367657923467</v>
      </c>
    </row>
    <row r="108" spans="6:20" ht="30" customHeight="1">
      <c r="F108" t="s">
        <v>39</v>
      </c>
      <c r="G108" s="2" cm="1">
        <f t="array" ref="G108">_xlfn.LET(_xlpm.d,G$2:G$85,_xlpm.f,$A$2:$A$85,_xlpm.g,$B$2:$B$85,_xlpm.k,$F108,AVERAGE(_xlfn._xlws.FILTER(_xlpm.d,(_xlpm.f=_xlpm.k)*(_xlpm.g=0))))</f>
        <v>0.68828930000386801</v>
      </c>
      <c r="H108" s="2" cm="1">
        <f t="array" ref="H108">_xlfn.LET(_xlpm.d,H$2:H$85,_xlpm.f,$A$2:$A$85,_xlpm.g,$B$2:$B$85,_xlpm.k,$F108,AVERAGE(_xlfn._xlws.FILTER(_xlpm.d,(_xlpm.f=_xlpm.k)*(_xlpm.g=0))))</f>
        <v>0.65010938811706642</v>
      </c>
      <c r="I108" s="2" cm="1">
        <f t="array" ref="I108">_xlfn.LET(_xlpm.d,I$2:I$85,_xlpm.f,$A$2:$A$85,_xlpm.g,$B$2:$B$85,_xlpm.k,$F108,AVERAGE(_xlfn._xlws.FILTER(_xlpm.d,(_xlpm.f=_xlpm.k)*(_xlpm.g=0))))</f>
        <v>0.64930140761340649</v>
      </c>
      <c r="J108" s="2" cm="1">
        <f t="array" ref="J108">_xlfn.LET(_xlpm.d,J$2:J$85,_xlpm.f,$A$2:$A$85,_xlpm.g,$B$2:$B$85,_xlpm.k,$F108,AVERAGE(_xlfn._xlws.FILTER(_xlpm.d,(_xlpm.f=_xlpm.k)*(_xlpm.g=0))))</f>
        <v>0.58419750046463415</v>
      </c>
      <c r="K108" s="2" cm="1">
        <f t="array" ref="K108">_xlfn.LET(_xlpm.d,K$2:K$85,_xlpm.f,$A$2:$A$85,_xlpm.g,$B$2:$B$85,_xlpm.k,$F108,AVERAGE(_xlfn._xlws.FILTER(_xlpm.d,(_xlpm.f=_xlpm.k)*(_xlpm.g=0))))</f>
        <v>0.5717025939353606</v>
      </c>
      <c r="L108" s="2" cm="1">
        <f t="array" ref="L108">_xlfn.LET(_xlpm.d,L$2:L$85,_xlpm.f,$A$2:$A$85,_xlpm.g,$B$2:$B$85,_xlpm.k,$F108,AVERAGE(_xlfn._xlws.FILTER(_xlpm.d,(_xlpm.f=_xlpm.k)*(_xlpm.g=0))))</f>
        <v>0.49314324396124065</v>
      </c>
      <c r="M108" s="2" cm="1">
        <f t="array" ref="M108">_xlfn.LET(_xlpm.d,M$2:M$85,_xlpm.f,$A$2:$A$85,_xlpm.g,$B$2:$B$85,_xlpm.k,$F108,AVERAGE(_xlfn._xlws.FILTER(_xlpm.d,(_xlpm.f=_xlpm.k)*(_xlpm.g=0))))</f>
        <v>0.59294613142631059</v>
      </c>
      <c r="N108" s="2" cm="1">
        <f t="array" ref="N108">_xlfn.LET(_xlpm.d,N$2:N$85,_xlpm.f,$A$2:$A$85,_xlpm.g,$B$2:$B$85,_xlpm.k,$F108,AVERAGE(_xlfn._xlws.FILTER(_xlpm.d,(_xlpm.f=_xlpm.k)*(_xlpm.g=0))))</f>
        <v>0.45405409435415117</v>
      </c>
      <c r="O108" s="2" cm="1">
        <f t="array" ref="O108">_xlfn.LET(_xlpm.d,O$2:O$85,_xlpm.f,$A$2:$A$85,_xlpm.g,$B$2:$B$85,_xlpm.k,$F108,AVERAGE(_xlfn._xlws.FILTER(_xlpm.d,(_xlpm.f=_xlpm.k)*(_xlpm.g=0))))</f>
        <v>0.56999704572423504</v>
      </c>
      <c r="P108" s="2" cm="1">
        <f t="array" ref="P108">_xlfn.LET(_xlpm.d,P$2:P$85,_xlpm.f,$A$2:$A$85,_xlpm.g,$B$2:$B$85,_xlpm.k,$F108,AVERAGE(_xlfn._xlws.FILTER(_xlpm.d,(_xlpm.f=_xlpm.k)*(_xlpm.g=0))))</f>
        <v>0.60862978795546219</v>
      </c>
      <c r="Q108" s="2" cm="1">
        <f t="array" ref="Q108">_xlfn.LET(_xlpm.d,Q$2:Q$85,_xlpm.f,$A$2:$A$85,_xlpm.g,$B$2:$B$85,_xlpm.k,$F108,AVERAGE(_xlfn._xlws.FILTER(_xlpm.d,(_xlpm.f=_xlpm.k)*(_xlpm.g=0))))</f>
        <v>0.34870435693401564</v>
      </c>
      <c r="R108" s="2" cm="1">
        <f t="array" ref="R108">_xlfn.LET(_xlpm.d,R$2:R$85,_xlpm.f,$A$2:$A$85,_xlpm.g,$B$2:$B$85,_xlpm.k,$F108,AVERAGE(_xlfn._xlws.FILTER(_xlpm.d,(_xlpm.f=_xlpm.k)*(_xlpm.g=0))))</f>
        <v>0.29121532037662196</v>
      </c>
      <c r="S108" s="2" cm="1">
        <f t="array" ref="S108">_xlfn.LET(_xlpm.d,S$2:S$85,_xlpm.f,$A$2:$A$85,_xlpm.g,$B$2:$B$85,_xlpm.k,$F108,AVERAGE(_xlfn._xlws.FILTER(_xlpm.d,(_xlpm.f=_xlpm.k)*(_xlpm.g=0))))</f>
        <v>0.37631178110072933</v>
      </c>
      <c r="T108" s="2" cm="1">
        <f t="array" ref="T108">_xlfn.LET(_xlpm.d,T$2:T$85,_xlpm.f,$A$2:$A$85,_xlpm.g,$B$2:$B$85,_xlpm.k,$F108,AVERAGE(_xlfn._xlws.FILTER(_xlpm.d,(_xlpm.f=_xlpm.k)*(_xlpm.g=0))))</f>
        <v>0.52912322707439241</v>
      </c>
    </row>
    <row r="109" spans="6:20" ht="30" customHeight="1">
      <c r="F109" t="s">
        <v>98</v>
      </c>
      <c r="G109" s="2" cm="1">
        <f t="array" ref="G109">_xlfn.LET(_xlpm.d,G$2:G$85,_xlpm.f,$A$2:$A$85,_xlpm.g,$B$2:$B$85,_xlpm.k,$F109,AVERAGE(_xlfn._xlws.FILTER(_xlpm.d,(_xlpm.f=_xlpm.k)*(_xlpm.g=0))))</f>
        <v>0.98774022862901001</v>
      </c>
      <c r="H109" s="2" cm="1">
        <f t="array" ref="H109">_xlfn.LET(_xlpm.d,H$2:H$85,_xlpm.f,$A$2:$A$85,_xlpm.g,$B$2:$B$85,_xlpm.k,$F109,AVERAGE(_xlfn._xlws.FILTER(_xlpm.d,(_xlpm.f=_xlpm.k)*(_xlpm.g=0))))</f>
        <v>0.98964427631719654</v>
      </c>
      <c r="I109" s="2" cm="1">
        <f t="array" ref="I109">_xlfn.LET(_xlpm.d,I$2:I$85,_xlpm.f,$A$2:$A$85,_xlpm.g,$B$2:$B$85,_xlpm.k,$F109,AVERAGE(_xlfn._xlws.FILTER(_xlpm.d,(_xlpm.f=_xlpm.k)*(_xlpm.g=0))))</f>
        <v>0.99695183078144145</v>
      </c>
      <c r="J109" s="2" cm="1">
        <f t="array" ref="J109">_xlfn.LET(_xlpm.d,J$2:J$85,_xlpm.f,$A$2:$A$85,_xlpm.g,$B$2:$B$85,_xlpm.k,$F109,AVERAGE(_xlfn._xlws.FILTER(_xlpm.d,(_xlpm.f=_xlpm.k)*(_xlpm.g=0))))</f>
        <v>0.97642749955707175</v>
      </c>
      <c r="K109" s="2" cm="1">
        <f t="array" ref="K109">_xlfn.LET(_xlpm.d,K$2:K$85,_xlpm.f,$A$2:$A$85,_xlpm.g,$B$2:$B$85,_xlpm.k,$F109,AVERAGE(_xlfn._xlws.FILTER(_xlpm.d,(_xlpm.f=_xlpm.k)*(_xlpm.g=0))))</f>
        <v>0.97700090005013396</v>
      </c>
      <c r="L109" s="2" cm="1">
        <f t="array" ref="L109">_xlfn.LET(_xlpm.d,L$2:L$85,_xlpm.f,$A$2:$A$85,_xlpm.g,$B$2:$B$85,_xlpm.k,$F109,AVERAGE(_xlfn._xlws.FILTER(_xlpm.d,(_xlpm.f=_xlpm.k)*(_xlpm.g=0))))</f>
        <v>0.99158136143451714</v>
      </c>
      <c r="M109" s="2" cm="1">
        <f t="array" ref="M109">_xlfn.LET(_xlpm.d,M$2:M$85,_xlpm.f,$A$2:$A$85,_xlpm.g,$B$2:$B$85,_xlpm.k,$F109,AVERAGE(_xlfn._xlws.FILTER(_xlpm.d,(_xlpm.f=_xlpm.k)*(_xlpm.g=0))))</f>
        <v>0.95106081659288633</v>
      </c>
      <c r="N109" s="2" cm="1">
        <f t="array" ref="N109">_xlfn.LET(_xlpm.d,N$2:N$85,_xlpm.f,$A$2:$A$85,_xlpm.g,$B$2:$B$85,_xlpm.k,$F109,AVERAGE(_xlfn._xlws.FILTER(_xlpm.d,(_xlpm.f=_xlpm.k)*(_xlpm.g=0))))</f>
        <v>0.98875419394014885</v>
      </c>
      <c r="O109" s="2" cm="1">
        <f t="array" ref="O109">_xlfn.LET(_xlpm.d,O$2:O$85,_xlpm.f,$A$2:$A$85,_xlpm.g,$B$2:$B$85,_xlpm.k,$F109,AVERAGE(_xlfn._xlws.FILTER(_xlpm.d,(_xlpm.f=_xlpm.k)*(_xlpm.g=0))))</f>
        <v>0.97596279200232627</v>
      </c>
      <c r="P109" s="2" cm="1">
        <f t="array" ref="P109">_xlfn.LET(_xlpm.d,P$2:P$85,_xlpm.f,$A$2:$A$85,_xlpm.g,$B$2:$B$85,_xlpm.k,$F109,AVERAGE(_xlfn._xlws.FILTER(_xlpm.d,(_xlpm.f=_xlpm.k)*(_xlpm.g=0))))</f>
        <v>0.99322410356655977</v>
      </c>
      <c r="Q109" s="2" cm="1">
        <f t="array" ref="Q109">_xlfn.LET(_xlpm.d,Q$2:Q$85,_xlpm.f,$A$2:$A$85,_xlpm.g,$B$2:$B$85,_xlpm.k,$F109,AVERAGE(_xlfn._xlws.FILTER(_xlpm.d,(_xlpm.f=_xlpm.k)*(_xlpm.g=0))))</f>
        <v>0.98726011334980857</v>
      </c>
      <c r="R109" s="2" cm="1">
        <f t="array" ref="R109">_xlfn.LET(_xlpm.d,R$2:R$85,_xlpm.f,$A$2:$A$85,_xlpm.g,$B$2:$B$85,_xlpm.k,$F109,AVERAGE(_xlfn._xlws.FILTER(_xlpm.d,(_xlpm.f=_xlpm.k)*(_xlpm.g=0))))</f>
        <v>0.93484777821476905</v>
      </c>
      <c r="S109" s="2" cm="1">
        <f t="array" ref="S109">_xlfn.LET(_xlpm.d,S$2:S$85,_xlpm.f,$A$2:$A$85,_xlpm.g,$B$2:$B$85,_xlpm.k,$F109,AVERAGE(_xlfn._xlws.FILTER(_xlpm.d,(_xlpm.f=_xlpm.k)*(_xlpm.g=0))))</f>
        <v>0.90088860481776889</v>
      </c>
      <c r="T109" s="2" cm="1">
        <f t="array" ref="T109">_xlfn.LET(_xlpm.d,T$2:T$85,_xlpm.f,$A$2:$A$85,_xlpm.g,$B$2:$B$85,_xlpm.k,$F109,AVERAGE(_xlfn._xlws.FILTER(_xlpm.d,(_xlpm.f=_xlpm.k)*(_xlpm.g=0))))</f>
        <v>0.97318034609643378</v>
      </c>
    </row>
    <row r="110" spans="6:20" ht="30" customHeight="1">
      <c r="F110" t="s">
        <v>99</v>
      </c>
      <c r="G110" s="2" cm="1">
        <f t="array" ref="G110">_xlfn.LET(_xlpm.d,G$2:G$85,_xlpm.f,$A$2:$A$85,_xlpm.g,$B$2:$B$85,_xlpm.k,$F110,AVERAGE(_xlfn._xlws.FILTER(_xlpm.d,(_xlpm.f=_xlpm.k)*(_xlpm.g=0))))</f>
        <v>0.99947075720629641</v>
      </c>
      <c r="H110" s="2" cm="1">
        <f t="array" ref="H110">_xlfn.LET(_xlpm.d,H$2:H$85,_xlpm.f,$A$2:$A$85,_xlpm.g,$B$2:$B$85,_xlpm.k,$F110,AVERAGE(_xlfn._xlws.FILTER(_xlpm.d,(_xlpm.f=_xlpm.k)*(_xlpm.g=0))))</f>
        <v>0.98859233916597866</v>
      </c>
      <c r="I110" s="2" cm="1">
        <f t="array" ref="I110">_xlfn.LET(_xlpm.d,I$2:I$85,_xlpm.f,$A$2:$A$85,_xlpm.g,$B$2:$B$85,_xlpm.k,$F110,AVERAGE(_xlfn._xlws.FILTER(_xlpm.d,(_xlpm.f=_xlpm.k)*(_xlpm.g=0))))</f>
        <v>0.99933298099728407</v>
      </c>
      <c r="J110" s="2" cm="1">
        <f t="array" ref="J110">_xlfn.LET(_xlpm.d,J$2:J$85,_xlpm.f,$A$2:$A$85,_xlpm.g,$B$2:$B$85,_xlpm.k,$F110,AVERAGE(_xlfn._xlws.FILTER(_xlpm.d,(_xlpm.f=_xlpm.k)*(_xlpm.g=0))))</f>
        <v>0.98286385626825512</v>
      </c>
      <c r="K110" s="2" cm="1">
        <f t="array" ref="K110">_xlfn.LET(_xlpm.d,K$2:K$85,_xlpm.f,$A$2:$A$85,_xlpm.g,$B$2:$B$85,_xlpm.k,$F110,AVERAGE(_xlfn._xlws.FILTER(_xlpm.d,(_xlpm.f=_xlpm.k)*(_xlpm.g=0))))</f>
        <v>0.9719520324929608</v>
      </c>
      <c r="L110" s="2" cm="1">
        <f t="array" ref="L110">_xlfn.LET(_xlpm.d,L$2:L$85,_xlpm.f,$A$2:$A$85,_xlpm.g,$B$2:$B$85,_xlpm.k,$F110,AVERAGE(_xlfn._xlws.FILTER(_xlpm.d,(_xlpm.f=_xlpm.k)*(_xlpm.g=0))))</f>
        <v>0.98407709825469436</v>
      </c>
      <c r="M110" s="2" cm="1">
        <f t="array" ref="M110">_xlfn.LET(_xlpm.d,M$2:M$85,_xlpm.f,$A$2:$A$85,_xlpm.g,$B$2:$B$85,_xlpm.k,$F110,AVERAGE(_xlfn._xlws.FILTER(_xlpm.d,(_xlpm.f=_xlpm.k)*(_xlpm.g=0))))</f>
        <v>0.9689009952166403</v>
      </c>
      <c r="N110" s="2" cm="1">
        <f t="array" ref="N110">_xlfn.LET(_xlpm.d,N$2:N$85,_xlpm.f,$A$2:$A$85,_xlpm.g,$B$2:$B$85,_xlpm.k,$F110,AVERAGE(_xlfn._xlws.FILTER(_xlpm.d,(_xlpm.f=_xlpm.k)*(_xlpm.g=0))))</f>
        <v>0.99044262215865764</v>
      </c>
      <c r="O110" s="2" cm="1">
        <f t="array" ref="O110">_xlfn.LET(_xlpm.d,O$2:O$85,_xlpm.f,$A$2:$A$85,_xlpm.g,$B$2:$B$85,_xlpm.k,$F110,AVERAGE(_xlfn._xlws.FILTER(_xlpm.d,(_xlpm.f=_xlpm.k)*(_xlpm.g=0))))</f>
        <v>0.93953204931654222</v>
      </c>
      <c r="P110" s="2" cm="1">
        <f t="array" ref="P110">_xlfn.LET(_xlpm.d,P$2:P$85,_xlpm.f,$A$2:$A$85,_xlpm.g,$B$2:$B$85,_xlpm.k,$F110,AVERAGE(_xlfn._xlws.FILTER(_xlpm.d,(_xlpm.f=_xlpm.k)*(_xlpm.g=0))))</f>
        <v>0.99777672334238154</v>
      </c>
      <c r="Q110" s="2" cm="1">
        <f t="array" ref="Q110">_xlfn.LET(_xlpm.d,Q$2:Q$85,_xlpm.f,$A$2:$A$85,_xlpm.g,$B$2:$B$85,_xlpm.k,$F110,AVERAGE(_xlfn._xlws.FILTER(_xlpm.d,(_xlpm.f=_xlpm.k)*(_xlpm.g=0))))</f>
        <v>0.97176496000436996</v>
      </c>
      <c r="R110" s="2" cm="1">
        <f t="array" ref="R110">_xlfn.LET(_xlpm.d,R$2:R$85,_xlpm.f,$A$2:$A$85,_xlpm.g,$B$2:$B$85,_xlpm.k,$F110,AVERAGE(_xlfn._xlws.FILTER(_xlpm.d,(_xlpm.f=_xlpm.k)*(_xlpm.g=0))))</f>
        <v>0.99755678379768187</v>
      </c>
      <c r="S110" s="2" cm="1">
        <f t="array" ref="S110">_xlfn.LET(_xlpm.d,S$2:S$85,_xlpm.f,$A$2:$A$85,_xlpm.g,$B$2:$B$85,_xlpm.k,$F110,AVERAGE(_xlfn._xlws.FILTER(_xlpm.d,(_xlpm.f=_xlpm.k)*(_xlpm.g=0))))</f>
        <v>0.94723809035488227</v>
      </c>
      <c r="T110" s="2" cm="1">
        <f t="array" ref="T110">_xlfn.LET(_xlpm.d,T$2:T$85,_xlpm.f,$A$2:$A$85,_xlpm.g,$B$2:$B$85,_xlpm.k,$F110,AVERAGE(_xlfn._xlws.FILTER(_xlpm.d,(_xlpm.f=_xlpm.k)*(_xlpm.g=0))))</f>
        <v>0.9799616375828174</v>
      </c>
    </row>
    <row r="111" spans="6:20" ht="30" customHeight="1">
      <c r="F111" t="s">
        <v>100</v>
      </c>
      <c r="G111" s="2" cm="1">
        <f t="array" ref="G111">_xlfn.LET(_xlpm.d,G$2:G$85,_xlpm.f,$A$2:$A$85,_xlpm.g,$B$2:$B$85,_xlpm.k,$F111,AVERAGE(_xlfn._xlws.FILTER(_xlpm.d,(_xlpm.f=_xlpm.k)*(_xlpm.g=0))))</f>
        <v>0.88077386718192618</v>
      </c>
      <c r="H111" s="2" cm="1">
        <f t="array" ref="H111">_xlfn.LET(_xlpm.d,H$2:H$85,_xlpm.f,$A$2:$A$85,_xlpm.g,$B$2:$B$85,_xlpm.k,$F111,AVERAGE(_xlfn._xlws.FILTER(_xlpm.d,(_xlpm.f=_xlpm.k)*(_xlpm.g=0))))</f>
        <v>0.74393269652758909</v>
      </c>
      <c r="I111" s="2" cm="1">
        <f t="array" ref="I111">_xlfn.LET(_xlpm.d,I$2:I$85,_xlpm.f,$A$2:$A$85,_xlpm.g,$B$2:$B$85,_xlpm.k,$F111,AVERAGE(_xlfn._xlws.FILTER(_xlpm.d,(_xlpm.f=_xlpm.k)*(_xlpm.g=0))))</f>
        <v>0.76010758868354455</v>
      </c>
      <c r="J111" s="2" cm="1">
        <f t="array" ref="J111">_xlfn.LET(_xlpm.d,J$2:J$85,_xlpm.f,$A$2:$A$85,_xlpm.g,$B$2:$B$85,_xlpm.k,$F111,AVERAGE(_xlfn._xlws.FILTER(_xlpm.d,(_xlpm.f=_xlpm.k)*(_xlpm.g=0))))</f>
        <v>0.49027846785125884</v>
      </c>
      <c r="K111" s="2" cm="1">
        <f t="array" ref="K111">_xlfn.LET(_xlpm.d,K$2:K$85,_xlpm.f,$A$2:$A$85,_xlpm.g,$B$2:$B$85,_xlpm.k,$F111,AVERAGE(_xlfn._xlws.FILTER(_xlpm.d,(_xlpm.f=_xlpm.k)*(_xlpm.g=0))))</f>
        <v>0.74815739253160773</v>
      </c>
      <c r="L111" s="2" cm="1">
        <f t="array" ref="L111">_xlfn.LET(_xlpm.d,L$2:L$85,_xlpm.f,$A$2:$A$85,_xlpm.g,$B$2:$B$85,_xlpm.k,$F111,AVERAGE(_xlfn._xlws.FILTER(_xlpm.d,(_xlpm.f=_xlpm.k)*(_xlpm.g=0))))</f>
        <v>0.66026771429057507</v>
      </c>
      <c r="M111" s="2" cm="1">
        <f t="array" ref="M111">_xlfn.LET(_xlpm.d,M$2:M$85,_xlpm.f,$A$2:$A$85,_xlpm.g,$B$2:$B$85,_xlpm.k,$F111,AVERAGE(_xlfn._xlws.FILTER(_xlpm.d,(_xlpm.f=_xlpm.k)*(_xlpm.g=0))))</f>
        <v>0.69631425297939831</v>
      </c>
      <c r="N111" s="2" cm="1">
        <f t="array" ref="N111">_xlfn.LET(_xlpm.d,N$2:N$85,_xlpm.f,$A$2:$A$85,_xlpm.g,$B$2:$B$85,_xlpm.k,$F111,AVERAGE(_xlfn._xlws.FILTER(_xlpm.d,(_xlpm.f=_xlpm.k)*(_xlpm.g=0))))</f>
        <v>0.57339395844942909</v>
      </c>
      <c r="O111" s="2" cm="1">
        <f t="array" ref="O111">_xlfn.LET(_xlpm.d,O$2:O$85,_xlpm.f,$A$2:$A$85,_xlpm.g,$B$2:$B$85,_xlpm.k,$F111,AVERAGE(_xlfn._xlws.FILTER(_xlpm.d,(_xlpm.f=_xlpm.k)*(_xlpm.g=0))))</f>
        <v>0.59719701753194487</v>
      </c>
      <c r="P111" s="2" cm="1">
        <f t="array" ref="P111">_xlfn.LET(_xlpm.d,P$2:P$85,_xlpm.f,$A$2:$A$85,_xlpm.g,$B$2:$B$85,_xlpm.k,$F111,AVERAGE(_xlfn._xlws.FILTER(_xlpm.d,(_xlpm.f=_xlpm.k)*(_xlpm.g=0))))</f>
        <v>0.51194451769500915</v>
      </c>
      <c r="Q111" s="2" cm="1">
        <f t="array" ref="Q111">_xlfn.LET(_xlpm.d,Q$2:Q$85,_xlpm.f,$A$2:$A$85,_xlpm.g,$B$2:$B$85,_xlpm.k,$F111,AVERAGE(_xlfn._xlws.FILTER(_xlpm.d,(_xlpm.f=_xlpm.k)*(_xlpm.g=0))))</f>
        <v>0.55898351358501597</v>
      </c>
      <c r="R111" s="2" cm="1">
        <f t="array" ref="R111">_xlfn.LET(_xlpm.d,R$2:R$85,_xlpm.f,$A$2:$A$85,_xlpm.g,$B$2:$B$85,_xlpm.k,$F111,AVERAGE(_xlfn._xlws.FILTER(_xlpm.d,(_xlpm.f=_xlpm.k)*(_xlpm.g=0))))</f>
        <v>0.70350280072870464</v>
      </c>
      <c r="S111" s="2" cm="1">
        <f t="array" ref="S111">_xlfn.LET(_xlpm.d,S$2:S$85,_xlpm.f,$A$2:$A$85,_xlpm.g,$B$2:$B$85,_xlpm.k,$F111,AVERAGE(_xlfn._xlws.FILTER(_xlpm.d,(_xlpm.f=_xlpm.k)*(_xlpm.g=0))))</f>
        <v>0.51827355427670652</v>
      </c>
      <c r="T111" s="2" cm="1">
        <f t="array" ref="T111">_xlfn.LET(_xlpm.d,T$2:T$85,_xlpm.f,$A$2:$A$85,_xlpm.g,$B$2:$B$85,_xlpm.k,$F111,AVERAGE(_xlfn._xlws.FILTER(_xlpm.d,(_xlpm.f=_xlpm.k)*(_xlpm.g=0))))</f>
        <v>0.64947133402405466</v>
      </c>
    </row>
    <row r="112" spans="6:20" ht="30" customHeight="1">
      <c r="F112" t="s">
        <v>42</v>
      </c>
      <c r="G112" s="2" cm="1">
        <f t="array" ref="G112">_xlfn.LET(_xlpm.d,G$2:G$85,_xlpm.f,$A$2:$A$85,_xlpm.g,$B$2:$B$85,_xlpm.k,$F112,AVERAGE(_xlfn._xlws.FILTER(_xlpm.d,(_xlpm.f=_xlpm.k)*(_xlpm.g=0))))</f>
        <v>0.98218910609123233</v>
      </c>
      <c r="H112" s="2" cm="1">
        <f t="array" ref="H112">_xlfn.LET(_xlpm.d,H$2:H$85,_xlpm.f,$A$2:$A$85,_xlpm.g,$B$2:$B$85,_xlpm.k,$F112,AVERAGE(_xlfn._xlws.FILTER(_xlpm.d,(_xlpm.f=_xlpm.k)*(_xlpm.g=0))))</f>
        <v>0.9863196181329541</v>
      </c>
      <c r="I112" s="2" cm="1">
        <f t="array" ref="I112">_xlfn.LET(_xlpm.d,I$2:I$85,_xlpm.f,$A$2:$A$85,_xlpm.g,$B$2:$B$85,_xlpm.k,$F112,AVERAGE(_xlfn._xlws.FILTER(_xlpm.d,(_xlpm.f=_xlpm.k)*(_xlpm.g=0))))</f>
        <v>0.99751390658391637</v>
      </c>
      <c r="J112" s="2" cm="1">
        <f t="array" ref="J112">_xlfn.LET(_xlpm.d,J$2:J$85,_xlpm.f,$A$2:$A$85,_xlpm.g,$B$2:$B$85,_xlpm.k,$F112,AVERAGE(_xlfn._xlws.FILTER(_xlpm.d,(_xlpm.f=_xlpm.k)*(_xlpm.g=0))))</f>
        <v>0.99364702405564553</v>
      </c>
      <c r="K112" s="2" cm="1">
        <f t="array" ref="K112">_xlfn.LET(_xlpm.d,K$2:K$85,_xlpm.f,$A$2:$A$85,_xlpm.g,$B$2:$B$85,_xlpm.k,$F112,AVERAGE(_xlfn._xlws.FILTER(_xlpm.d,(_xlpm.f=_xlpm.k)*(_xlpm.g=0))))</f>
        <v>0.99144369666214605</v>
      </c>
      <c r="L112" s="2" cm="1">
        <f t="array" ref="L112">_xlfn.LET(_xlpm.d,L$2:L$85,_xlpm.f,$A$2:$A$85,_xlpm.g,$B$2:$B$85,_xlpm.k,$F112,AVERAGE(_xlfn._xlws.FILTER(_xlpm.d,(_xlpm.f=_xlpm.k)*(_xlpm.g=0))))</f>
        <v>0.97542091566989064</v>
      </c>
      <c r="M112" s="2" cm="1">
        <f t="array" ref="M112">_xlfn.LET(_xlpm.d,M$2:M$85,_xlpm.f,$A$2:$A$85,_xlpm.g,$B$2:$B$85,_xlpm.k,$F112,AVERAGE(_xlfn._xlws.FILTER(_xlpm.d,(_xlpm.f=_xlpm.k)*(_xlpm.g=0))))</f>
        <v>0.94950989089834703</v>
      </c>
      <c r="N112" s="2" cm="1">
        <f t="array" ref="N112">_xlfn.LET(_xlpm.d,N$2:N$85,_xlpm.f,$A$2:$A$85,_xlpm.g,$B$2:$B$85,_xlpm.k,$F112,AVERAGE(_xlfn._xlws.FILTER(_xlpm.d,(_xlpm.f=_xlpm.k)*(_xlpm.g=0))))</f>
        <v>0.96843868322619919</v>
      </c>
      <c r="O112" s="2" cm="1">
        <f t="array" ref="O112">_xlfn.LET(_xlpm.d,O$2:O$85,_xlpm.f,$A$2:$A$85,_xlpm.g,$B$2:$B$85,_xlpm.k,$F112,AVERAGE(_xlfn._xlws.FILTER(_xlpm.d,(_xlpm.f=_xlpm.k)*(_xlpm.g=0))))</f>
        <v>0.97344085756597176</v>
      </c>
      <c r="P112" s="2" cm="1">
        <f t="array" ref="P112">_xlfn.LET(_xlpm.d,P$2:P$85,_xlpm.f,$A$2:$A$85,_xlpm.g,$B$2:$B$85,_xlpm.k,$F112,AVERAGE(_xlfn._xlws.FILTER(_xlpm.d,(_xlpm.f=_xlpm.k)*(_xlpm.g=0))))</f>
        <v>0.91318422387507336</v>
      </c>
      <c r="Q112" s="2" cm="1">
        <f t="array" ref="Q112">_xlfn.LET(_xlpm.d,Q$2:Q$85,_xlpm.f,$A$2:$A$85,_xlpm.g,$B$2:$B$85,_xlpm.k,$F112,AVERAGE(_xlfn._xlws.FILTER(_xlpm.d,(_xlpm.f=_xlpm.k)*(_xlpm.g=0))))</f>
        <v>0.97100465054205165</v>
      </c>
      <c r="R112" s="2" cm="1">
        <f t="array" ref="R112">_xlfn.LET(_xlpm.d,R$2:R$85,_xlpm.f,$A$2:$A$85,_xlpm.g,$B$2:$B$85,_xlpm.k,$F112,AVERAGE(_xlfn._xlws.FILTER(_xlpm.d,(_xlpm.f=_xlpm.k)*(_xlpm.g=0))))</f>
        <v>0.87539296254410603</v>
      </c>
      <c r="S112" s="2" cm="1">
        <f t="array" ref="S112">_xlfn.LET(_xlpm.d,S$2:S$85,_xlpm.f,$A$2:$A$85,_xlpm.g,$B$2:$B$85,_xlpm.k,$F112,AVERAGE(_xlfn._xlws.FILTER(_xlpm.d,(_xlpm.f=_xlpm.k)*(_xlpm.g=0))))</f>
        <v>0.96761503284132444</v>
      </c>
      <c r="T112" s="2" cm="1">
        <f t="array" ref="T112">_xlfn.LET(_xlpm.d,T$2:T$85,_xlpm.f,$A$2:$A$85,_xlpm.g,$B$2:$B$85,_xlpm.k,$F112,AVERAGE(_xlfn._xlws.FILTER(_xlpm.d,(_xlpm.f=_xlpm.k)*(_xlpm.g=0))))</f>
        <v>0.9652241035702519</v>
      </c>
    </row>
    <row r="113" spans="6:20" ht="30" customHeight="1">
      <c r="F113" t="s">
        <v>102</v>
      </c>
      <c r="G113" s="2" cm="1">
        <f t="array" ref="G113">_xlfn.LET(_xlpm.d,G$2:G$85,_xlpm.f,$A$2:$A$85,_xlpm.g,$B$2:$B$85,_xlpm.k,$F113,AVERAGE(_xlfn._xlws.FILTER(_xlpm.d,(_xlpm.f=_xlpm.k)*(_xlpm.g=0))))</f>
        <v>0.68149295208089422</v>
      </c>
      <c r="H113" s="2" cm="1">
        <f t="array" ref="H113">_xlfn.LET(_xlpm.d,H$2:H$85,_xlpm.f,$A$2:$A$85,_xlpm.g,$B$2:$B$85,_xlpm.k,$F113,AVERAGE(_xlfn._xlws.FILTER(_xlpm.d,(_xlpm.f=_xlpm.k)*(_xlpm.g=0))))</f>
        <v>0.70105655885489959</v>
      </c>
      <c r="I113" s="2" cm="1">
        <f t="array" ref="I113">_xlfn.LET(_xlpm.d,I$2:I$85,_xlpm.f,$A$2:$A$85,_xlpm.g,$B$2:$B$85,_xlpm.k,$F113,AVERAGE(_xlfn._xlws.FILTER(_xlpm.d,(_xlpm.f=_xlpm.k)*(_xlpm.g=0))))</f>
        <v>0.67285042775724335</v>
      </c>
      <c r="J113" s="2" cm="1">
        <f t="array" ref="J113">_xlfn.LET(_xlpm.d,J$2:J$85,_xlpm.f,$A$2:$A$85,_xlpm.g,$B$2:$B$85,_xlpm.k,$F113,AVERAGE(_xlfn._xlws.FILTER(_xlpm.d,(_xlpm.f=_xlpm.k)*(_xlpm.g=0))))</f>
        <v>0.58442597212559733</v>
      </c>
      <c r="K113" s="2" cm="1">
        <f t="array" ref="K113">_xlfn.LET(_xlpm.d,K$2:K$85,_xlpm.f,$A$2:$A$85,_xlpm.g,$B$2:$B$85,_xlpm.k,$F113,AVERAGE(_xlfn._xlws.FILTER(_xlpm.d,(_xlpm.f=_xlpm.k)*(_xlpm.g=0))))</f>
        <v>0.55343464919515262</v>
      </c>
      <c r="L113" s="2" cm="1">
        <f t="array" ref="L113">_xlfn.LET(_xlpm.d,L$2:L$85,_xlpm.f,$A$2:$A$85,_xlpm.g,$B$2:$B$85,_xlpm.k,$F113,AVERAGE(_xlfn._xlws.FILTER(_xlpm.d,(_xlpm.f=_xlpm.k)*(_xlpm.g=0))))</f>
        <v>0.503957359568171</v>
      </c>
      <c r="M113" s="2" cm="1">
        <f t="array" ref="M113">_xlfn.LET(_xlpm.d,M$2:M$85,_xlpm.f,$A$2:$A$85,_xlpm.g,$B$2:$B$85,_xlpm.k,$F113,AVERAGE(_xlfn._xlws.FILTER(_xlpm.d,(_xlpm.f=_xlpm.k)*(_xlpm.g=0))))</f>
        <v>0.55901996500955453</v>
      </c>
      <c r="N113" s="2" cm="1">
        <f t="array" ref="N113">_xlfn.LET(_xlpm.d,N$2:N$85,_xlpm.f,$A$2:$A$85,_xlpm.g,$B$2:$B$85,_xlpm.k,$F113,AVERAGE(_xlfn._xlws.FILTER(_xlpm.d,(_xlpm.f=_xlpm.k)*(_xlpm.g=0))))</f>
        <v>0.60115445237321186</v>
      </c>
      <c r="O113" s="2" cm="1">
        <f t="array" ref="O113">_xlfn.LET(_xlpm.d,O$2:O$85,_xlpm.f,$A$2:$A$85,_xlpm.g,$B$2:$B$85,_xlpm.k,$F113,AVERAGE(_xlfn._xlws.FILTER(_xlpm.d,(_xlpm.f=_xlpm.k)*(_xlpm.g=0))))</f>
        <v>0.5990996200330938</v>
      </c>
      <c r="P113" s="2" cm="1">
        <f t="array" ref="P113">_xlfn.LET(_xlpm.d,P$2:P$85,_xlpm.f,$A$2:$A$85,_xlpm.g,$B$2:$B$85,_xlpm.k,$F113,AVERAGE(_xlfn._xlws.FILTER(_xlpm.d,(_xlpm.f=_xlpm.k)*(_xlpm.g=0))))</f>
        <v>0.62872719606411998</v>
      </c>
      <c r="Q113" s="2" cm="1">
        <f t="array" ref="Q113">_xlfn.LET(_xlpm.d,Q$2:Q$85,_xlpm.f,$A$2:$A$85,_xlpm.g,$B$2:$B$85,_xlpm.k,$F113,AVERAGE(_xlfn._xlws.FILTER(_xlpm.d,(_xlpm.f=_xlpm.k)*(_xlpm.g=0))))</f>
        <v>0.42292711348092443</v>
      </c>
      <c r="R113" s="2" cm="1">
        <f t="array" ref="R113">_xlfn.LET(_xlpm.d,R$2:R$85,_xlpm.f,$A$2:$A$85,_xlpm.g,$B$2:$B$85,_xlpm.k,$F113,AVERAGE(_xlfn._xlws.FILTER(_xlpm.d,(_xlpm.f=_xlpm.k)*(_xlpm.g=0))))</f>
        <v>0.4976720281392556</v>
      </c>
      <c r="S113" s="2" cm="1">
        <f t="array" ref="S113">_xlfn.LET(_xlpm.d,S$2:S$85,_xlpm.f,$A$2:$A$85,_xlpm.g,$B$2:$B$85,_xlpm.k,$F113,AVERAGE(_xlfn._xlws.FILTER(_xlpm.d,(_xlpm.f=_xlpm.k)*(_xlpm.g=0))))</f>
        <v>0.53334689963273674</v>
      </c>
      <c r="T113" s="2" cm="1">
        <f t="array" ref="T113">_xlfn.LET(_xlpm.d,T$2:T$85,_xlpm.f,$A$2:$A$85,_xlpm.g,$B$2:$B$85,_xlpm.k,$F113,AVERAGE(_xlfn._xlws.FILTER(_xlpm.d,(_xlpm.f=_xlpm.k)*(_xlpm.g=0))))</f>
        <v>0.57837962185135972</v>
      </c>
    </row>
    <row r="114" spans="6:20" ht="30" customHeight="1">
      <c r="F114" t="s">
        <v>103</v>
      </c>
      <c r="G114" s="2" cm="1">
        <f t="array" ref="G114">_xlfn.LET(_xlpm.d,G$2:G$85,_xlpm.f,$A$2:$A$85,_xlpm.g,$B$2:$B$85,_xlpm.k,$F114,AVERAGE(_xlfn._xlws.FILTER(_xlpm.d,(_xlpm.f=_xlpm.k)*(_xlpm.g=0))))</f>
        <v>0.68581709053752526</v>
      </c>
      <c r="H114" s="2" cm="1">
        <f t="array" ref="H114">_xlfn.LET(_xlpm.d,H$2:H$85,_xlpm.f,$A$2:$A$85,_xlpm.g,$B$2:$B$85,_xlpm.k,$F114,AVERAGE(_xlfn._xlws.FILTER(_xlpm.d,(_xlpm.f=_xlpm.k)*(_xlpm.g=0))))</f>
        <v>0.74145566039700839</v>
      </c>
      <c r="I114" s="2" cm="1">
        <f t="array" ref="I114">_xlfn.LET(_xlpm.d,I$2:I$85,_xlpm.f,$A$2:$A$85,_xlpm.g,$B$2:$B$85,_xlpm.k,$F114,AVERAGE(_xlfn._xlws.FILTER(_xlpm.d,(_xlpm.f=_xlpm.k)*(_xlpm.g=0))))</f>
        <v>0.71101694492902545</v>
      </c>
      <c r="J114" s="2" cm="1">
        <f t="array" ref="J114">_xlfn.LET(_xlpm.d,J$2:J$85,_xlpm.f,$A$2:$A$85,_xlpm.g,$B$2:$B$85,_xlpm.k,$F114,AVERAGE(_xlfn._xlws.FILTER(_xlpm.d,(_xlpm.f=_xlpm.k)*(_xlpm.g=0))))</f>
        <v>0.68137636216635478</v>
      </c>
      <c r="K114" s="2" cm="1">
        <f t="array" ref="K114">_xlfn.LET(_xlpm.d,K$2:K$85,_xlpm.f,$A$2:$A$85,_xlpm.g,$B$2:$B$85,_xlpm.k,$F114,AVERAGE(_xlfn._xlws.FILTER(_xlpm.d,(_xlpm.f=_xlpm.k)*(_xlpm.g=0))))</f>
        <v>0.60698412972849247</v>
      </c>
      <c r="L114" s="2" cm="1">
        <f t="array" ref="L114">_xlfn.LET(_xlpm.d,L$2:L$85,_xlpm.f,$A$2:$A$85,_xlpm.g,$B$2:$B$85,_xlpm.k,$F114,AVERAGE(_xlfn._xlws.FILTER(_xlpm.d,(_xlpm.f=_xlpm.k)*(_xlpm.g=0))))</f>
        <v>0.58933774681863083</v>
      </c>
      <c r="M114" s="2" cm="1">
        <f t="array" ref="M114">_xlfn.LET(_xlpm.d,M$2:M$85,_xlpm.f,$A$2:$A$85,_xlpm.g,$B$2:$B$85,_xlpm.k,$F114,AVERAGE(_xlfn._xlws.FILTER(_xlpm.d,(_xlpm.f=_xlpm.k)*(_xlpm.g=0))))</f>
        <v>0.55512205466466147</v>
      </c>
      <c r="N114" s="2" cm="1">
        <f t="array" ref="N114">_xlfn.LET(_xlpm.d,N$2:N$85,_xlpm.f,$A$2:$A$85,_xlpm.g,$B$2:$B$85,_xlpm.k,$F114,AVERAGE(_xlfn._xlws.FILTER(_xlpm.d,(_xlpm.f=_xlpm.k)*(_xlpm.g=0))))</f>
        <v>0.63900092964276833</v>
      </c>
      <c r="O114" s="2" cm="1">
        <f t="array" ref="O114">_xlfn.LET(_xlpm.d,O$2:O$85,_xlpm.f,$A$2:$A$85,_xlpm.g,$B$2:$B$85,_xlpm.k,$F114,AVERAGE(_xlfn._xlws.FILTER(_xlpm.d,(_xlpm.f=_xlpm.k)*(_xlpm.g=0))))</f>
        <v>0.62334988506537536</v>
      </c>
      <c r="P114" s="2" cm="1">
        <f t="array" ref="P114">_xlfn.LET(_xlpm.d,P$2:P$85,_xlpm.f,$A$2:$A$85,_xlpm.g,$B$2:$B$85,_xlpm.k,$F114,AVERAGE(_xlfn._xlws.FILTER(_xlpm.d,(_xlpm.f=_xlpm.k)*(_xlpm.g=0))))</f>
        <v>0.56882540207691357</v>
      </c>
      <c r="Q114" s="2" cm="1">
        <f t="array" ref="Q114">_xlfn.LET(_xlpm.d,Q$2:Q$85,_xlpm.f,$A$2:$A$85,_xlpm.g,$B$2:$B$85,_xlpm.k,$F114,AVERAGE(_xlfn._xlws.FILTER(_xlpm.d,(_xlpm.f=_xlpm.k)*(_xlpm.g=0))))</f>
        <v>0.58255818513415492</v>
      </c>
      <c r="R114" s="2" cm="1">
        <f t="array" ref="R114">_xlfn.LET(_xlpm.d,R$2:R$85,_xlpm.f,$A$2:$A$85,_xlpm.g,$B$2:$B$85,_xlpm.k,$F114,AVERAGE(_xlfn._xlws.FILTER(_xlpm.d,(_xlpm.f=_xlpm.k)*(_xlpm.g=0))))</f>
        <v>0.55878324810365487</v>
      </c>
      <c r="S114" s="2" cm="1">
        <f t="array" ref="S114">_xlfn.LET(_xlpm.d,S$2:S$85,_xlpm.f,$A$2:$A$85,_xlpm.g,$B$2:$B$85,_xlpm.k,$F114,AVERAGE(_xlfn._xlws.FILTER(_xlpm.d,(_xlpm.f=_xlpm.k)*(_xlpm.g=0))))</f>
        <v>0.64776497675847577</v>
      </c>
      <c r="T114" s="2" cm="1">
        <f t="array" ref="T114">_xlfn.LET(_xlpm.d,T$2:T$85,_xlpm.f,$A$2:$A$85,_xlpm.g,$B$2:$B$85,_xlpm.k,$F114,AVERAGE(_xlfn._xlws.FILTER(_xlpm.d,(_xlpm.f=_xlpm.k)*(_xlpm.g=0))))</f>
        <v>0.63010712430946458</v>
      </c>
    </row>
    <row r="115" spans="6:20" ht="30" customHeight="1">
      <c r="F115" t="s">
        <v>101</v>
      </c>
      <c r="G115" s="2" cm="1">
        <f t="array" ref="G115">_xlfn.LET(_xlpm.d,G$2:G$85,_xlpm.f,$A$2:$A$85,_xlpm.g,$B$2:$B$85,_xlpm.k,$F115,AVERAGE(_xlfn._xlws.FILTER(_xlpm.d,(_xlpm.f=_xlpm.k)*(_xlpm.g=0))))</f>
        <v>0.72977826461598083</v>
      </c>
      <c r="H115" s="2" cm="1">
        <f t="array" ref="H115">_xlfn.LET(_xlpm.d,H$2:H$85,_xlpm.f,$A$2:$A$85,_xlpm.g,$B$2:$B$85,_xlpm.k,$F115,AVERAGE(_xlfn._xlws.FILTER(_xlpm.d,(_xlpm.f=_xlpm.k)*(_xlpm.g=0))))</f>
        <v>0.6552091426136869</v>
      </c>
      <c r="I115" s="2" cm="1">
        <f t="array" ref="I115">_xlfn.LET(_xlpm.d,I$2:I$85,_xlpm.f,$A$2:$A$85,_xlpm.g,$B$2:$B$85,_xlpm.k,$F115,AVERAGE(_xlfn._xlws.FILTER(_xlpm.d,(_xlpm.f=_xlpm.k)*(_xlpm.g=0))))</f>
        <v>0.66844665802135783</v>
      </c>
      <c r="J115" s="2" cm="1">
        <f t="array" ref="J115">_xlfn.LET(_xlpm.d,J$2:J$85,_xlpm.f,$A$2:$A$85,_xlpm.g,$B$2:$B$85,_xlpm.k,$F115,AVERAGE(_xlfn._xlws.FILTER(_xlpm.d,(_xlpm.f=_xlpm.k)*(_xlpm.g=0))))</f>
        <v>0.73923550334234778</v>
      </c>
      <c r="K115" s="2" cm="1">
        <f t="array" ref="K115">_xlfn.LET(_xlpm.d,K$2:K$85,_xlpm.f,$A$2:$A$85,_xlpm.g,$B$2:$B$85,_xlpm.k,$F115,AVERAGE(_xlfn._xlws.FILTER(_xlpm.d,(_xlpm.f=_xlpm.k)*(_xlpm.g=0))))</f>
        <v>0.71890253078303523</v>
      </c>
      <c r="L115" s="2" cm="1">
        <f t="array" ref="L115">_xlfn.LET(_xlpm.d,L$2:L$85,_xlpm.f,$A$2:$A$85,_xlpm.g,$B$2:$B$85,_xlpm.k,$F115,AVERAGE(_xlfn._xlws.FILTER(_xlpm.d,(_xlpm.f=_xlpm.k)*(_xlpm.g=0))))</f>
        <v>0.63897962034950651</v>
      </c>
      <c r="M115" s="2" cm="1">
        <f t="array" ref="M115">_xlfn.LET(_xlpm.d,M$2:M$85,_xlpm.f,$A$2:$A$85,_xlpm.g,$B$2:$B$85,_xlpm.k,$F115,AVERAGE(_xlfn._xlws.FILTER(_xlpm.d,(_xlpm.f=_xlpm.k)*(_xlpm.g=0))))</f>
        <v>0.65106927774786783</v>
      </c>
      <c r="N115" s="2" cm="1">
        <f t="array" ref="N115">_xlfn.LET(_xlpm.d,N$2:N$85,_xlpm.f,$A$2:$A$85,_xlpm.g,$B$2:$B$85,_xlpm.k,$F115,AVERAGE(_xlfn._xlws.FILTER(_xlpm.d,(_xlpm.f=_xlpm.k)*(_xlpm.g=0))))</f>
        <v>0.78943679350762164</v>
      </c>
      <c r="O115" s="2" cm="1">
        <f t="array" ref="O115">_xlfn.LET(_xlpm.d,O$2:O$85,_xlpm.f,$A$2:$A$85,_xlpm.g,$B$2:$B$85,_xlpm.k,$F115,AVERAGE(_xlfn._xlws.FILTER(_xlpm.d,(_xlpm.f=_xlpm.k)*(_xlpm.g=0))))</f>
        <v>0.60913105576170989</v>
      </c>
      <c r="P115" s="2" cm="1">
        <f t="array" ref="P115">_xlfn.LET(_xlpm.d,P$2:P$85,_xlpm.f,$A$2:$A$85,_xlpm.g,$B$2:$B$85,_xlpm.k,$F115,AVERAGE(_xlfn._xlws.FILTER(_xlpm.d,(_xlpm.f=_xlpm.k)*(_xlpm.g=0))))</f>
        <v>0.60184113912865811</v>
      </c>
      <c r="Q115" s="2" cm="1">
        <f t="array" ref="Q115">_xlfn.LET(_xlpm.d,Q$2:Q$85,_xlpm.f,$A$2:$A$85,_xlpm.g,$B$2:$B$85,_xlpm.k,$F115,AVERAGE(_xlfn._xlws.FILTER(_xlpm.d,(_xlpm.f=_xlpm.k)*(_xlpm.g=0))))</f>
        <v>0.90839617477685086</v>
      </c>
      <c r="R115" s="2" cm="1">
        <f t="array" ref="R115">_xlfn.LET(_xlpm.d,R$2:R$85,_xlpm.f,$A$2:$A$85,_xlpm.g,$B$2:$B$85,_xlpm.k,$F115,AVERAGE(_xlfn._xlws.FILTER(_xlpm.d,(_xlpm.f=_xlpm.k)*(_xlpm.g=0))))</f>
        <v>0.90929944256477757</v>
      </c>
      <c r="S115" s="2" cm="1">
        <f t="array" ref="S115">_xlfn.LET(_xlpm.d,S$2:S$85,_xlpm.f,$A$2:$A$85,_xlpm.g,$B$2:$B$85,_xlpm.k,$F115,AVERAGE(_xlfn._xlws.FILTER(_xlpm.d,(_xlpm.f=_xlpm.k)*(_xlpm.g=0))))</f>
        <v>0.50863745156503459</v>
      </c>
      <c r="T115" s="2" cm="1">
        <f t="array" ref="T115">_xlfn.LET(_xlpm.d,T$2:T$85,_xlpm.f,$A$2:$A$85,_xlpm.g,$B$2:$B$85,_xlpm.k,$F115,AVERAGE(_xlfn._xlws.FILTER(_xlpm.d,(_xlpm.f=_xlpm.k)*(_xlpm.g=0))))</f>
        <v>0.70218177344449506</v>
      </c>
    </row>
    <row r="117" spans="6:20" ht="30" customHeight="1">
      <c r="F117" t="s">
        <v>44</v>
      </c>
    </row>
    <row r="118" spans="6:20" ht="30" customHeight="1">
      <c r="F118" t="s">
        <v>37</v>
      </c>
      <c r="G118" s="2" cm="1">
        <f t="array" ref="G118">_xlfn.LET(_xlpm.d,G$2:G$85,_xlpm.g,$B$2:$B$85,AVERAGE(_xlfn._xlws.FILTER(_xlpm.d,(_xlpm.g=0))))</f>
        <v>0.78862438445859151</v>
      </c>
      <c r="H118" s="2" cm="1">
        <f t="array" ref="H118">_xlfn.LET(_xlpm.d,H$2:H$85,_xlpm.g,$B$2:$B$85,AVERAGE(_xlfn._xlws.FILTER(_xlpm.d,(_xlpm.g=0))))</f>
        <v>0.76122689825893242</v>
      </c>
      <c r="I118" s="2" cm="1">
        <f t="array" ref="I118">_xlfn.LET(_xlpm.d,I$2:I$85,_xlpm.g,$B$2:$B$85,AVERAGE(_xlfn._xlws.FILTER(_xlpm.d,(_xlpm.g=0))))</f>
        <v>0.75562987007350246</v>
      </c>
      <c r="J118" s="2" cm="1">
        <f t="array" ref="J118">_xlfn.LET(_xlpm.d,J$2:J$85,_xlpm.g,$B$2:$B$85,AVERAGE(_xlfn._xlws.FILTER(_xlpm.d,(_xlpm.g=0))))</f>
        <v>0.71729312806091694</v>
      </c>
      <c r="K118" s="2" cm="1">
        <f t="array" ref="K118">_xlfn.LET(_xlpm.d,K$2:K$85,_xlpm.g,$B$2:$B$85,AVERAGE(_xlfn._xlws.FILTER(_xlpm.d,(_xlpm.g=0))))</f>
        <v>0.73057713374627298</v>
      </c>
      <c r="L118" s="2" cm="1">
        <f t="array" ref="L118">_xlfn.LET(_xlpm.d,L$2:L$85,_xlpm.g,$B$2:$B$85,AVERAGE(_xlfn._xlws.FILTER(_xlpm.d,(_xlpm.g=0))))</f>
        <v>0.68075420782794449</v>
      </c>
      <c r="M118" s="2" cm="1">
        <f t="array" ref="M118">_xlfn.LET(_xlpm.d,M$2:M$85,_xlpm.g,$B$2:$B$85,AVERAGE(_xlfn._xlws.FILTER(_xlpm.d,(_xlpm.g=0))))</f>
        <v>0.70240453137711722</v>
      </c>
      <c r="N118" s="2" cm="1">
        <f t="array" ref="N118">_xlfn.LET(_xlpm.d,N$2:N$85,_xlpm.g,$B$2:$B$85,AVERAGE(_xlfn._xlws.FILTER(_xlpm.d,(_xlpm.g=0))))</f>
        <v>0.69745339516575855</v>
      </c>
      <c r="O118" s="2" cm="1">
        <f t="array" ref="O118">_xlfn.LET(_xlpm.d,O$2:O$85,_xlpm.g,$B$2:$B$85,AVERAGE(_xlfn._xlws.FILTER(_xlpm.d,(_xlpm.g=0))))</f>
        <v>0.68624339261448652</v>
      </c>
      <c r="P118" s="2" cm="1">
        <f t="array" ref="P118">_xlfn.LET(_xlpm.d,P$2:P$85,_xlpm.g,$B$2:$B$85,AVERAGE(_xlfn._xlws.FILTER(_xlpm.d,(_xlpm.g=0))))</f>
        <v>0.68984233520562122</v>
      </c>
      <c r="Q118" s="2" cm="1">
        <f t="array" ref="Q118">_xlfn.LET(_xlpm.d,Q$2:Q$85,_xlpm.g,$B$2:$B$85,AVERAGE(_xlfn._xlws.FILTER(_xlpm.d,(_xlpm.g=0))))</f>
        <v>0.67017819264533385</v>
      </c>
      <c r="R118" s="2" cm="1">
        <f t="array" ref="R118">_xlfn.LET(_xlpm.d,R$2:R$85,_xlpm.g,$B$2:$B$85,AVERAGE(_xlfn._xlws.FILTER(_xlpm.d,(_xlpm.g=0))))</f>
        <v>0.68598699257172369</v>
      </c>
      <c r="S118" s="2" cm="1">
        <f t="array" ref="S118">_xlfn.LET(_xlpm.d,S$2:S$85,_xlpm.g,$B$2:$B$85,AVERAGE(_xlfn._xlws.FILTER(_xlpm.d,(_xlpm.g=0))))</f>
        <v>0.63039551608053201</v>
      </c>
      <c r="T118" s="2" cm="1">
        <f t="array" ref="T118">_xlfn.LET(_xlpm.d,T$2:T$85,_xlpm.g,$B$2:$B$85,AVERAGE(_xlfn._xlws.FILTER(_xlpm.d,(_xlpm.g=0))))</f>
        <v>0.70448237229746902</v>
      </c>
    </row>
    <row r="119" spans="6:20" ht="30" customHeight="1">
      <c r="F119" t="s">
        <v>49</v>
      </c>
      <c r="G119" s="2" cm="1">
        <f t="array" ref="G119">_xlfn.LET(_xlpm.d,G$2:G$85,_xlpm.f,$B$2:$B$85,_xlpm.g,$C$2:$C$85,_xlpm.k,$F119,AVERAGE(_xlfn._xlws.FILTER(_xlpm.d,(_xlpm.f=0)*(_xlpm.g=1))))</f>
        <v>0.80969921692181079</v>
      </c>
      <c r="H119" s="2" cm="1">
        <f t="array" ref="H119">_xlfn.LET(_xlpm.d,H$2:H$85,_xlpm.f,$B$2:$B$85,_xlpm.g,$C$2:$C$85,_xlpm.k,$F119,AVERAGE(_xlfn._xlws.FILTER(_xlpm.d,(_xlpm.f=0)*(_xlpm.g=1))))</f>
        <v>0.81318618270969101</v>
      </c>
      <c r="I119" s="2" cm="1">
        <f t="array" ref="I119">_xlfn.LET(_xlpm.d,I$2:I$85,_xlpm.f,$B$2:$B$85,_xlpm.g,$C$2:$C$85,_xlpm.k,$F119,AVERAGE(_xlfn._xlws.FILTER(_xlpm.d,(_xlpm.f=0)*(_xlpm.g=1))))</f>
        <v>0.81598408008759593</v>
      </c>
      <c r="J119" s="2" cm="1">
        <f t="array" ref="J119">_xlfn.LET(_xlpm.d,J$2:J$85,_xlpm.f,$B$2:$B$85,_xlpm.g,$C$2:$C$85,_xlpm.k,$F119,AVERAGE(_xlfn._xlws.FILTER(_xlpm.d,(_xlpm.f=0)*(_xlpm.g=1))))</f>
        <v>0.71922283055384639</v>
      </c>
      <c r="K119" s="2" cm="1">
        <f t="array" ref="K119">_xlfn.LET(_xlpm.d,K$2:K$85,_xlpm.f,$B$2:$B$85,_xlpm.g,$C$2:$C$85,_xlpm.k,$F119,AVERAGE(_xlfn._xlws.FILTER(_xlpm.d,(_xlpm.f=0)*(_xlpm.g=1))))</f>
        <v>0.75780049791975512</v>
      </c>
      <c r="L119" s="2" cm="1">
        <f t="array" ref="L119">_xlfn.LET(_xlpm.d,L$2:L$85,_xlpm.f,$B$2:$B$85,_xlpm.g,$C$2:$C$85,_xlpm.k,$F119,AVERAGE(_xlfn._xlws.FILTER(_xlpm.d,(_xlpm.f=0)*(_xlpm.g=1))))</f>
        <v>0.69027581166575869</v>
      </c>
      <c r="M119" s="2" cm="1">
        <f t="array" ref="M119">_xlfn.LET(_xlpm.d,M$2:M$85,_xlpm.f,$B$2:$B$85,_xlpm.g,$C$2:$C$85,_xlpm.k,$F119,AVERAGE(_xlfn._xlws.FILTER(_xlpm.d,(_xlpm.f=0)*(_xlpm.g=1))))</f>
        <v>0.7374756788785799</v>
      </c>
      <c r="N119" s="2" cm="1">
        <f t="array" ref="N119">_xlfn.LET(_xlpm.d,N$2:N$85,_xlpm.f,$B$2:$B$85,_xlpm.g,$C$2:$C$85,_xlpm.k,$F119,AVERAGE(_xlfn._xlws.FILTER(_xlpm.d,(_xlpm.f=0)*(_xlpm.g=1))))</f>
        <v>0.74619952638421061</v>
      </c>
      <c r="O119" s="2" cm="1">
        <f t="array" ref="O119">_xlfn.LET(_xlpm.d,O$2:O$85,_xlpm.f,$B$2:$B$85,_xlpm.g,$C$2:$C$85,_xlpm.k,$F119,AVERAGE(_xlfn._xlws.FILTER(_xlpm.d,(_xlpm.f=0)*(_xlpm.g=1))))</f>
        <v>0.7214633715685882</v>
      </c>
      <c r="P119" s="2" cm="1">
        <f t="array" ref="P119">_xlfn.LET(_xlpm.d,P$2:P$85,_xlpm.f,$B$2:$B$85,_xlpm.g,$C$2:$C$85,_xlpm.k,$F119,AVERAGE(_xlfn._xlws.FILTER(_xlpm.d,(_xlpm.f=0)*(_xlpm.g=1))))</f>
        <v>0.7037113563704015</v>
      </c>
      <c r="Q119" s="2" cm="1">
        <f t="array" ref="Q119">_xlfn.LET(_xlpm.d,Q$2:Q$85,_xlpm.f,$B$2:$B$85,_xlpm.g,$C$2:$C$85,_xlpm.k,$F119,AVERAGE(_xlfn._xlws.FILTER(_xlpm.d,(_xlpm.f=0)*(_xlpm.g=1))))</f>
        <v>0.67918847514456981</v>
      </c>
      <c r="R119" s="2" cm="1">
        <f t="array" ref="R119">_xlfn.LET(_xlpm.d,R$2:R$85,_xlpm.f,$B$2:$B$85,_xlpm.g,$C$2:$C$85,_xlpm.k,$F119,AVERAGE(_xlfn._xlws.FILTER(_xlpm.d,(_xlpm.f=0)*(_xlpm.g=1))))</f>
        <v>0.72400716308428092</v>
      </c>
      <c r="S119" s="2" cm="1">
        <f t="array" ref="S119">_xlfn.LET(_xlpm.d,S$2:S$85,_xlpm.f,$B$2:$B$85,_xlpm.g,$C$2:$C$85,_xlpm.k,$F119,AVERAGE(_xlfn._xlws.FILTER(_xlpm.d,(_xlpm.f=0)*(_xlpm.g=1))))</f>
        <v>0.66353460008160337</v>
      </c>
      <c r="T119" s="2" cm="1">
        <f t="array" ref="T119">_xlfn.LET(_xlpm.d,T$2:T$85,_xlpm.f,$B$2:$B$85,_xlpm.g,$C$2:$C$85,_xlpm.k,$F119,AVERAGE(_xlfn._xlws.FILTER(_xlpm.d,(_xlpm.f=0)*(_xlpm.g=1))))</f>
        <v>0.73705759933620707</v>
      </c>
    </row>
    <row r="120" spans="6:20" ht="30" customHeight="1">
      <c r="F120" t="s">
        <v>50</v>
      </c>
      <c r="G120" s="2" cm="1">
        <f t="array" ref="G120">_xlfn.LET(_xlpm.d,G$2:G$85,_xlpm.f,$B$2:$B$85,_xlpm.g,$D$2:$D$85,_xlpm.k,$F120,AVERAGE(_xlfn._xlws.FILTER(_xlpm.d,(_xlpm.f=0)*(_xlpm.g=1))))</f>
        <v>0.8221927143598009</v>
      </c>
      <c r="H120" s="2" cm="1">
        <f t="array" ref="H120">_xlfn.LET(_xlpm.d,H$2:H$85,_xlpm.f,$B$2:$B$85,_xlpm.g,$D$2:$D$85,_xlpm.k,$F120,AVERAGE(_xlfn._xlws.FILTER(_xlpm.d,(_xlpm.f=0)*(_xlpm.g=1))))</f>
        <v>0.79435705111689103</v>
      </c>
      <c r="I120" s="2" cm="1">
        <f t="array" ref="I120">_xlfn.LET(_xlpm.d,I$2:I$85,_xlpm.f,$B$2:$B$85,_xlpm.g,$D$2:$D$85,_xlpm.k,$F120,AVERAGE(_xlfn._xlws.FILTER(_xlpm.d,(_xlpm.f=0)*(_xlpm.g=1))))</f>
        <v>0.77188925496451255</v>
      </c>
      <c r="J120" s="2" cm="1">
        <f t="array" ref="J120">_xlfn.LET(_xlpm.d,J$2:J$85,_xlpm.f,$B$2:$B$85,_xlpm.g,$D$2:$D$85,_xlpm.k,$F120,AVERAGE(_xlfn._xlws.FILTER(_xlpm.d,(_xlpm.f=0)*(_xlpm.g=1))))</f>
        <v>0.76157425111027244</v>
      </c>
      <c r="K120" s="2" cm="1">
        <f t="array" ref="K120">_xlfn.LET(_xlpm.d,K$2:K$85,_xlpm.f,$B$2:$B$85,_xlpm.g,$D$2:$D$85,_xlpm.k,$F120,AVERAGE(_xlfn._xlws.FILTER(_xlpm.d,(_xlpm.f=0)*(_xlpm.g=1))))</f>
        <v>0.73000305482419592</v>
      </c>
      <c r="L120" s="2" cm="1">
        <f t="array" ref="L120">_xlfn.LET(_xlpm.d,L$2:L$85,_xlpm.f,$B$2:$B$85,_xlpm.g,$D$2:$D$85,_xlpm.k,$F120,AVERAGE(_xlfn._xlws.FILTER(_xlpm.d,(_xlpm.f=0)*(_xlpm.g=1))))</f>
        <v>0.68955867708694096</v>
      </c>
      <c r="M120" s="2" cm="1">
        <f t="array" ref="M120">_xlfn.LET(_xlpm.d,M$2:M$85,_xlpm.f,$B$2:$B$85,_xlpm.g,$D$2:$D$85,_xlpm.k,$F120,AVERAGE(_xlfn._xlws.FILTER(_xlpm.d,(_xlpm.f=0)*(_xlpm.g=1))))</f>
        <v>0.70656137244217199</v>
      </c>
      <c r="N120" s="2" cm="1">
        <f t="array" ref="N120">_xlfn.LET(_xlpm.d,N$2:N$85,_xlpm.f,$B$2:$B$85,_xlpm.g,$D$2:$D$85,_xlpm.k,$F120,AVERAGE(_xlfn._xlws.FILTER(_xlpm.d,(_xlpm.f=0)*(_xlpm.g=1))))</f>
        <v>0.69260619670145607</v>
      </c>
      <c r="O120" s="2" cm="1">
        <f t="array" ref="O120">_xlfn.LET(_xlpm.d,O$2:O$85,_xlpm.f,$B$2:$B$85,_xlpm.g,$D$2:$D$85,_xlpm.k,$F120,AVERAGE(_xlfn._xlws.FILTER(_xlpm.d,(_xlpm.f=0)*(_xlpm.g=1))))</f>
        <v>0.68601189703037846</v>
      </c>
      <c r="P120" s="2" cm="1">
        <f t="array" ref="P120">_xlfn.LET(_xlpm.d,P$2:P$85,_xlpm.f,$B$2:$B$85,_xlpm.g,$D$2:$D$85,_xlpm.k,$F120,AVERAGE(_xlfn._xlws.FILTER(_xlpm.d,(_xlpm.f=0)*(_xlpm.g=1))))</f>
        <v>0.64802722522321232</v>
      </c>
      <c r="Q120" s="2" cm="1">
        <f t="array" ref="Q120">_xlfn.LET(_xlpm.d,Q$2:Q$85,_xlpm.f,$B$2:$B$85,_xlpm.g,$D$2:$D$85,_xlpm.k,$F120,AVERAGE(_xlfn._xlws.FILTER(_xlpm.d,(_xlpm.f=0)*(_xlpm.g=1))))</f>
        <v>0.69586029659621029</v>
      </c>
      <c r="R120" s="2" cm="1">
        <f t="array" ref="R120">_xlfn.LET(_xlpm.d,R$2:R$85,_xlpm.f,$B$2:$B$85,_xlpm.g,$D$2:$D$85,_xlpm.k,$F120,AVERAGE(_xlfn._xlws.FILTER(_xlpm.d,(_xlpm.f=0)*(_xlpm.g=1))))</f>
        <v>0.66736994772477365</v>
      </c>
      <c r="S120" s="2" cm="1">
        <f t="array" ref="S120">_xlfn.LET(_xlpm.d,S$2:S$85,_xlpm.f,$B$2:$B$85,_xlpm.g,$D$2:$D$85,_xlpm.k,$F120,AVERAGE(_xlfn._xlws.FILTER(_xlpm.d,(_xlpm.f=0)*(_xlpm.g=1))))</f>
        <v>0.61973349304074365</v>
      </c>
      <c r="T120" s="2" cm="1">
        <f t="array" ref="T120">_xlfn.LET(_xlpm.d,T$2:T$85,_xlpm.f,$B$2:$B$85,_xlpm.g,$D$2:$D$85,_xlpm.k,$F120,AVERAGE(_xlfn._xlws.FILTER(_xlpm.d,(_xlpm.f=0)*(_xlpm.g=1))))</f>
        <v>0.71485371991238622</v>
      </c>
    </row>
    <row r="121" spans="6:20" ht="30" customHeight="1">
      <c r="F121" t="s">
        <v>51</v>
      </c>
      <c r="G121" s="2" cm="1">
        <f t="array" ref="G121">_xlfn.LET(_xlpm.d,G$2:G$85,_xlpm.f,$B$2:$B$85,_xlpm.g,$D$2:$D$85,_xlpm.k,$F121,AVERAGE(_xlfn._xlws.FILTER(_xlpm.d,(_xlpm.f=0)*(_xlpm.g=1))))</f>
        <v>0.8221927143598009</v>
      </c>
      <c r="H121" s="2" cm="1">
        <f t="array" ref="H121">_xlfn.LET(_xlpm.d,H$2:H$85,_xlpm.f,$B$2:$B$85,_xlpm.g,$D$2:$D$85,_xlpm.k,$F121,AVERAGE(_xlfn._xlws.FILTER(_xlpm.d,(_xlpm.f=0)*(_xlpm.g=1))))</f>
        <v>0.79435705111689103</v>
      </c>
      <c r="I121" s="2" cm="1">
        <f t="array" ref="I121">_xlfn.LET(_xlpm.d,I$2:I$85,_xlpm.f,$B$2:$B$85,_xlpm.g,$D$2:$D$85,_xlpm.k,$F121,AVERAGE(_xlfn._xlws.FILTER(_xlpm.d,(_xlpm.f=0)*(_xlpm.g=1))))</f>
        <v>0.77188925496451255</v>
      </c>
      <c r="J121" s="2" cm="1">
        <f t="array" ref="J121">_xlfn.LET(_xlpm.d,J$2:J$85,_xlpm.f,$B$2:$B$85,_xlpm.g,$D$2:$D$85,_xlpm.k,$F121,AVERAGE(_xlfn._xlws.FILTER(_xlpm.d,(_xlpm.f=0)*(_xlpm.g=1))))</f>
        <v>0.76157425111027244</v>
      </c>
      <c r="K121" s="2" cm="1">
        <f t="array" ref="K121">_xlfn.LET(_xlpm.d,K$2:K$85,_xlpm.f,$B$2:$B$85,_xlpm.g,$D$2:$D$85,_xlpm.k,$F121,AVERAGE(_xlfn._xlws.FILTER(_xlpm.d,(_xlpm.f=0)*(_xlpm.g=1))))</f>
        <v>0.73000305482419592</v>
      </c>
      <c r="L121" s="2" cm="1">
        <f t="array" ref="L121">_xlfn.LET(_xlpm.d,L$2:L$85,_xlpm.f,$B$2:$B$85,_xlpm.g,$D$2:$D$85,_xlpm.k,$F121,AVERAGE(_xlfn._xlws.FILTER(_xlpm.d,(_xlpm.f=0)*(_xlpm.g=1))))</f>
        <v>0.68955867708694096</v>
      </c>
      <c r="M121" s="2" cm="1">
        <f t="array" ref="M121">_xlfn.LET(_xlpm.d,M$2:M$85,_xlpm.f,$B$2:$B$85,_xlpm.g,$D$2:$D$85,_xlpm.k,$F121,AVERAGE(_xlfn._xlws.FILTER(_xlpm.d,(_xlpm.f=0)*(_xlpm.g=1))))</f>
        <v>0.70656137244217199</v>
      </c>
      <c r="N121" s="2" cm="1">
        <f t="array" ref="N121">_xlfn.LET(_xlpm.d,N$2:N$85,_xlpm.f,$B$2:$B$85,_xlpm.g,$D$2:$D$85,_xlpm.k,$F121,AVERAGE(_xlfn._xlws.FILTER(_xlpm.d,(_xlpm.f=0)*(_xlpm.g=1))))</f>
        <v>0.69260619670145607</v>
      </c>
      <c r="O121" s="2" cm="1">
        <f t="array" ref="O121">_xlfn.LET(_xlpm.d,O$2:O$85,_xlpm.f,$B$2:$B$85,_xlpm.g,$D$2:$D$85,_xlpm.k,$F121,AVERAGE(_xlfn._xlws.FILTER(_xlpm.d,(_xlpm.f=0)*(_xlpm.g=1))))</f>
        <v>0.68601189703037846</v>
      </c>
      <c r="P121" s="2" cm="1">
        <f t="array" ref="P121">_xlfn.LET(_xlpm.d,P$2:P$85,_xlpm.f,$B$2:$B$85,_xlpm.g,$D$2:$D$85,_xlpm.k,$F121,AVERAGE(_xlfn._xlws.FILTER(_xlpm.d,(_xlpm.f=0)*(_xlpm.g=1))))</f>
        <v>0.64802722522321232</v>
      </c>
      <c r="Q121" s="2" cm="1">
        <f t="array" ref="Q121">_xlfn.LET(_xlpm.d,Q$2:Q$85,_xlpm.f,$B$2:$B$85,_xlpm.g,$D$2:$D$85,_xlpm.k,$F121,AVERAGE(_xlfn._xlws.FILTER(_xlpm.d,(_xlpm.f=0)*(_xlpm.g=1))))</f>
        <v>0.69586029659621029</v>
      </c>
      <c r="R121" s="2" cm="1">
        <f t="array" ref="R121">_xlfn.LET(_xlpm.d,R$2:R$85,_xlpm.f,$B$2:$B$85,_xlpm.g,$D$2:$D$85,_xlpm.k,$F121,AVERAGE(_xlfn._xlws.FILTER(_xlpm.d,(_xlpm.f=0)*(_xlpm.g=1))))</f>
        <v>0.66736994772477365</v>
      </c>
      <c r="S121" s="2" cm="1">
        <f t="array" ref="S121">_xlfn.LET(_xlpm.d,S$2:S$85,_xlpm.f,$B$2:$B$85,_xlpm.g,$D$2:$D$85,_xlpm.k,$F121,AVERAGE(_xlfn._xlws.FILTER(_xlpm.d,(_xlpm.f=0)*(_xlpm.g=1))))</f>
        <v>0.61973349304074365</v>
      </c>
      <c r="T121" s="2" cm="1">
        <f t="array" ref="T121">_xlfn.LET(_xlpm.d,T$2:T$85,_xlpm.f,$B$2:$B$85,_xlpm.g,$D$2:$D$85,_xlpm.k,$F121,AVERAGE(_xlfn._xlws.FILTER(_xlpm.d,(_xlpm.f=0)*(_xlpm.g=1))))</f>
        <v>0.71485371991238622</v>
      </c>
    </row>
  </sheetData>
  <phoneticPr fontId="1" type="noConversion"/>
  <conditionalFormatting sqref="G2:S85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88:T100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3:T103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4:T115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8:T118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9:T121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85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aNA.pt0.33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2025-09-11T08:21:27Z</dcterms:modified>
  <cp:category/>
</cp:coreProperties>
</file>