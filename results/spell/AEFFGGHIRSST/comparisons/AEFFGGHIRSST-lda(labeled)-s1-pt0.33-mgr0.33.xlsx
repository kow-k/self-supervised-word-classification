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wk/Dropbox (Personal)/GitHub/self-supervised-word-classification/results/spell/AEFFGGHIRSST/comparisons/"/>
    </mc:Choice>
  </mc:AlternateContent>
  <xr:revisionPtr revIDLastSave="0" documentId="13_ncr:1_{8D1C6E56-BC67-D242-9F45-E3A8CCAA5EF0}" xr6:coauthVersionLast="47" xr6:coauthVersionMax="47" xr10:uidLastSave="{00000000-0000-0000-0000-000000000000}"/>
  <bookViews>
    <workbookView xWindow="3920" yWindow="500" windowWidth="33940" windowHeight="16580" xr2:uid="{AAB55906-58C7-F940-B4CF-E7AFA13CA4FF}"/>
  </bookViews>
  <sheets>
    <sheet name="aNA.pt0.3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3" i="1" l="1" a="1"/>
  <c r="H113" i="1" s="1"/>
  <c r="I113" i="1" a="1"/>
  <c r="I113" i="1" s="1"/>
  <c r="J113" i="1" a="1"/>
  <c r="J113" i="1" s="1"/>
  <c r="K113" i="1" a="1"/>
  <c r="K113" i="1" s="1"/>
  <c r="L113" i="1" a="1"/>
  <c r="L113" i="1" s="1"/>
  <c r="M113" i="1" a="1"/>
  <c r="M113" i="1" s="1"/>
  <c r="N113" i="1" a="1"/>
  <c r="N113" i="1" s="1"/>
  <c r="O113" i="1" a="1"/>
  <c r="O113" i="1" s="1"/>
  <c r="P113" i="1" a="1"/>
  <c r="P113" i="1" s="1"/>
  <c r="Q113" i="1" a="1"/>
  <c r="Q113" i="1" s="1"/>
  <c r="R113" i="1" a="1"/>
  <c r="R113" i="1" s="1"/>
  <c r="S113" i="1" a="1"/>
  <c r="S113" i="1" s="1"/>
  <c r="H114" i="1" a="1"/>
  <c r="H114" i="1" s="1"/>
  <c r="I114" i="1" a="1"/>
  <c r="I114" i="1" s="1"/>
  <c r="J114" i="1" a="1"/>
  <c r="J114" i="1" s="1"/>
  <c r="K114" i="1" a="1"/>
  <c r="K114" i="1" s="1"/>
  <c r="L114" i="1" a="1"/>
  <c r="L114" i="1" s="1"/>
  <c r="M114" i="1" a="1"/>
  <c r="M114" i="1" s="1"/>
  <c r="N114" i="1" a="1"/>
  <c r="N114" i="1" s="1"/>
  <c r="O114" i="1" a="1"/>
  <c r="O114" i="1" s="1"/>
  <c r="P114" i="1" a="1"/>
  <c r="P114" i="1" s="1"/>
  <c r="Q114" i="1" a="1"/>
  <c r="Q114" i="1" s="1"/>
  <c r="R114" i="1" a="1"/>
  <c r="R114" i="1" s="1"/>
  <c r="S114" i="1" a="1"/>
  <c r="S114" i="1" s="1"/>
  <c r="H98" i="1" a="1"/>
  <c r="H98" i="1" s="1"/>
  <c r="I98" i="1" a="1"/>
  <c r="I98" i="1" s="1"/>
  <c r="J98" i="1" a="1"/>
  <c r="J98" i="1" s="1"/>
  <c r="K98" i="1" a="1"/>
  <c r="K98" i="1" s="1"/>
  <c r="L98" i="1" a="1"/>
  <c r="L98" i="1" s="1"/>
  <c r="M98" i="1" a="1"/>
  <c r="M98" i="1" s="1"/>
  <c r="N98" i="1" a="1"/>
  <c r="N98" i="1" s="1"/>
  <c r="O98" i="1" a="1"/>
  <c r="O98" i="1" s="1"/>
  <c r="P98" i="1" a="1"/>
  <c r="P98" i="1" s="1"/>
  <c r="Q98" i="1" a="1"/>
  <c r="Q98" i="1" s="1"/>
  <c r="R98" i="1" a="1"/>
  <c r="R98" i="1" s="1"/>
  <c r="S98" i="1" a="1"/>
  <c r="S98" i="1" s="1"/>
  <c r="H99" i="1" a="1"/>
  <c r="H99" i="1" s="1"/>
  <c r="I99" i="1" a="1"/>
  <c r="I99" i="1" s="1"/>
  <c r="J99" i="1" a="1"/>
  <c r="J99" i="1" s="1"/>
  <c r="K99" i="1" a="1"/>
  <c r="K99" i="1" s="1"/>
  <c r="L99" i="1" a="1"/>
  <c r="L99" i="1" s="1"/>
  <c r="M99" i="1" a="1"/>
  <c r="M99" i="1" s="1"/>
  <c r="N99" i="1" a="1"/>
  <c r="N99" i="1" s="1"/>
  <c r="O99" i="1" a="1"/>
  <c r="O99" i="1" s="1"/>
  <c r="P99" i="1" a="1"/>
  <c r="P99" i="1" s="1"/>
  <c r="Q99" i="1" a="1"/>
  <c r="Q99" i="1" s="1"/>
  <c r="R99" i="1" a="1"/>
  <c r="R99" i="1" s="1"/>
  <c r="S99" i="1" a="1"/>
  <c r="S99" i="1" s="1"/>
  <c r="G113" i="1" a="1"/>
  <c r="G113" i="1" s="1"/>
  <c r="G114" i="1" a="1"/>
  <c r="G114" i="1" s="1"/>
  <c r="G115" i="1" a="1"/>
  <c r="G115" i="1" s="1"/>
  <c r="G98" i="1" a="1"/>
  <c r="G98" i="1" s="1"/>
  <c r="G99" i="1" a="1"/>
  <c r="G99" i="1" s="1"/>
  <c r="G100" i="1" a="1"/>
  <c r="G100" i="1" s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C51" i="1"/>
  <c r="C52" i="1"/>
  <c r="C53" i="1"/>
  <c r="E53" i="1" s="1"/>
  <c r="C54" i="1"/>
  <c r="C55" i="1"/>
  <c r="C56" i="1"/>
  <c r="C57" i="1"/>
  <c r="C58" i="1"/>
  <c r="E58" i="1" s="1"/>
  <c r="C59" i="1"/>
  <c r="C60" i="1"/>
  <c r="C61" i="1"/>
  <c r="E61" i="1" s="1"/>
  <c r="C62" i="1"/>
  <c r="C63" i="1"/>
  <c r="C64" i="1"/>
  <c r="D51" i="1"/>
  <c r="D52" i="1"/>
  <c r="D53" i="1"/>
  <c r="D54" i="1"/>
  <c r="D55" i="1"/>
  <c r="E55" i="1" s="1"/>
  <c r="D56" i="1"/>
  <c r="E56" i="1" s="1"/>
  <c r="D57" i="1"/>
  <c r="D58" i="1"/>
  <c r="D59" i="1"/>
  <c r="D60" i="1"/>
  <c r="D61" i="1"/>
  <c r="D62" i="1"/>
  <c r="D63" i="1"/>
  <c r="E63" i="1" s="1"/>
  <c r="D64" i="1"/>
  <c r="E64" i="1" s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H88" i="1"/>
  <c r="I88" i="1"/>
  <c r="J88" i="1"/>
  <c r="K88" i="1"/>
  <c r="L88" i="1"/>
  <c r="M88" i="1"/>
  <c r="N88" i="1"/>
  <c r="O88" i="1"/>
  <c r="P88" i="1"/>
  <c r="Q88" i="1"/>
  <c r="R88" i="1"/>
  <c r="S88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A3" i="1"/>
  <c r="A40" i="1"/>
  <c r="A41" i="1"/>
  <c r="A42" i="1"/>
  <c r="A43" i="1"/>
  <c r="A44" i="1"/>
  <c r="A45" i="1"/>
  <c r="A46" i="1"/>
  <c r="A47" i="1"/>
  <c r="A48" i="1"/>
  <c r="A49" i="1"/>
  <c r="A50" i="1"/>
  <c r="A65" i="1"/>
  <c r="A66" i="1"/>
  <c r="A67" i="1"/>
  <c r="A68" i="1"/>
  <c r="A69" i="1"/>
  <c r="A70" i="1"/>
  <c r="B3" i="1"/>
  <c r="B40" i="1"/>
  <c r="B41" i="1"/>
  <c r="B42" i="1"/>
  <c r="B43" i="1"/>
  <c r="B44" i="1"/>
  <c r="B45" i="1"/>
  <c r="B46" i="1"/>
  <c r="B47" i="1"/>
  <c r="B48" i="1"/>
  <c r="B49" i="1"/>
  <c r="B50" i="1"/>
  <c r="B65" i="1"/>
  <c r="B66" i="1"/>
  <c r="B67" i="1"/>
  <c r="B68" i="1"/>
  <c r="B69" i="1"/>
  <c r="B70" i="1"/>
  <c r="C3" i="1"/>
  <c r="C40" i="1"/>
  <c r="C41" i="1"/>
  <c r="C42" i="1"/>
  <c r="C43" i="1"/>
  <c r="C44" i="1"/>
  <c r="C45" i="1"/>
  <c r="C46" i="1"/>
  <c r="C47" i="1"/>
  <c r="C48" i="1"/>
  <c r="C49" i="1"/>
  <c r="C50" i="1"/>
  <c r="C65" i="1"/>
  <c r="C66" i="1"/>
  <c r="C67" i="1"/>
  <c r="C68" i="1"/>
  <c r="C69" i="1"/>
  <c r="C70" i="1"/>
  <c r="D3" i="1"/>
  <c r="D40" i="1"/>
  <c r="D41" i="1"/>
  <c r="D42" i="1"/>
  <c r="D43" i="1"/>
  <c r="D44" i="1"/>
  <c r="D45" i="1"/>
  <c r="D46" i="1"/>
  <c r="D47" i="1"/>
  <c r="D48" i="1"/>
  <c r="D49" i="1"/>
  <c r="D50" i="1"/>
  <c r="D65" i="1"/>
  <c r="D66" i="1"/>
  <c r="D67" i="1"/>
  <c r="D68" i="1"/>
  <c r="D69" i="1"/>
  <c r="D70" i="1"/>
  <c r="T3" i="1"/>
  <c r="T40" i="1"/>
  <c r="T41" i="1"/>
  <c r="T42" i="1"/>
  <c r="T43" i="1"/>
  <c r="T44" i="1"/>
  <c r="T45" i="1"/>
  <c r="T46" i="1"/>
  <c r="T47" i="1"/>
  <c r="T48" i="1"/>
  <c r="T49" i="1"/>
  <c r="T50" i="1"/>
  <c r="T65" i="1"/>
  <c r="T66" i="1"/>
  <c r="T67" i="1"/>
  <c r="T68" i="1"/>
  <c r="T69" i="1"/>
  <c r="T70" i="1"/>
  <c r="D2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C2" i="1"/>
  <c r="C71" i="1"/>
  <c r="C72" i="1"/>
  <c r="C73" i="1"/>
  <c r="C74" i="1"/>
  <c r="C75" i="1"/>
  <c r="E75" i="1" s="1"/>
  <c r="C76" i="1"/>
  <c r="E76" i="1" s="1"/>
  <c r="C77" i="1"/>
  <c r="C78" i="1"/>
  <c r="C79" i="1"/>
  <c r="E79" i="1" s="1"/>
  <c r="C80" i="1"/>
  <c r="C81" i="1"/>
  <c r="E81" i="1" s="1"/>
  <c r="C82" i="1"/>
  <c r="C83" i="1"/>
  <c r="E83" i="1" s="1"/>
  <c r="C84" i="1"/>
  <c r="E84" i="1" s="1"/>
  <c r="C85" i="1"/>
  <c r="B2" i="1"/>
  <c r="T2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T113" i="1" l="1" a="1"/>
  <c r="T113" i="1" s="1"/>
  <c r="T99" i="1" a="1"/>
  <c r="T99" i="1" s="1"/>
  <c r="T114" i="1" a="1"/>
  <c r="T114" i="1" s="1"/>
  <c r="T98" i="1" a="1"/>
  <c r="T98" i="1" s="1"/>
  <c r="E57" i="1"/>
  <c r="E60" i="1"/>
  <c r="E52" i="1"/>
  <c r="E59" i="1"/>
  <c r="E51" i="1"/>
  <c r="E39" i="1"/>
  <c r="E31" i="1"/>
  <c r="E23" i="1"/>
  <c r="E15" i="1"/>
  <c r="E7" i="1"/>
  <c r="E37" i="1"/>
  <c r="E29" i="1"/>
  <c r="E21" i="1"/>
  <c r="E13" i="1"/>
  <c r="E5" i="1"/>
  <c r="E25" i="1"/>
  <c r="K118" i="1" a="1"/>
  <c r="K118" i="1" s="1"/>
  <c r="E62" i="1"/>
  <c r="E24" i="1"/>
  <c r="E8" i="1"/>
  <c r="E54" i="1"/>
  <c r="E71" i="1"/>
  <c r="O103" i="1" a="1"/>
  <c r="O103" i="1" s="1"/>
  <c r="I103" i="1" a="1"/>
  <c r="I103" i="1" s="1"/>
  <c r="Q121" i="1" a="1"/>
  <c r="Q121" i="1" s="1"/>
  <c r="I121" i="1" a="1"/>
  <c r="I121" i="1" s="1"/>
  <c r="M120" i="1" a="1"/>
  <c r="M120" i="1" s="1"/>
  <c r="Q119" i="1" a="1"/>
  <c r="Q119" i="1" s="1"/>
  <c r="K119" i="1" a="1"/>
  <c r="K119" i="1" s="1"/>
  <c r="Q118" i="1" a="1"/>
  <c r="Q118" i="1" s="1"/>
  <c r="J118" i="1" a="1"/>
  <c r="J118" i="1" s="1"/>
  <c r="N103" i="1" a="1"/>
  <c r="N103" i="1" s="1"/>
  <c r="H103" i="1" a="1"/>
  <c r="H103" i="1" s="1"/>
  <c r="P121" i="1" a="1"/>
  <c r="P121" i="1" s="1"/>
  <c r="H121" i="1" a="1"/>
  <c r="H121" i="1" s="1"/>
  <c r="L120" i="1" a="1"/>
  <c r="L120" i="1" s="1"/>
  <c r="J119" i="1" a="1"/>
  <c r="J119" i="1" s="1"/>
  <c r="P118" i="1" a="1"/>
  <c r="P118" i="1" s="1"/>
  <c r="G118" i="1" a="1"/>
  <c r="G118" i="1" s="1"/>
  <c r="O121" i="1" a="1"/>
  <c r="O121" i="1" s="1"/>
  <c r="S120" i="1" a="1"/>
  <c r="S120" i="1" s="1"/>
  <c r="K120" i="1" a="1"/>
  <c r="K120" i="1" s="1"/>
  <c r="P119" i="1" a="1"/>
  <c r="P119" i="1" s="1"/>
  <c r="I119" i="1" a="1"/>
  <c r="I119" i="1" s="1"/>
  <c r="O118" i="1" a="1"/>
  <c r="O118" i="1" s="1"/>
  <c r="I118" i="1" a="1"/>
  <c r="I118" i="1" s="1"/>
  <c r="M103" i="1" a="1"/>
  <c r="M103" i="1" s="1"/>
  <c r="G119" i="1" a="1"/>
  <c r="G119" i="1" s="1"/>
  <c r="N121" i="1" a="1"/>
  <c r="N121" i="1" s="1"/>
  <c r="R120" i="1" a="1"/>
  <c r="R120" i="1" s="1"/>
  <c r="J120" i="1" a="1"/>
  <c r="J120" i="1" s="1"/>
  <c r="O119" i="1" a="1"/>
  <c r="O119" i="1" s="1"/>
  <c r="N118" i="1" a="1"/>
  <c r="N118" i="1" s="1"/>
  <c r="H118" i="1" a="1"/>
  <c r="H118" i="1" s="1"/>
  <c r="S103" i="1" a="1"/>
  <c r="S103" i="1" s="1"/>
  <c r="L103" i="1" a="1"/>
  <c r="L103" i="1" s="1"/>
  <c r="G120" i="1" a="1"/>
  <c r="G120" i="1" s="1"/>
  <c r="M121" i="1" a="1"/>
  <c r="M121" i="1" s="1"/>
  <c r="Q120" i="1" a="1"/>
  <c r="Q120" i="1" s="1"/>
  <c r="I120" i="1" a="1"/>
  <c r="I120" i="1" s="1"/>
  <c r="N119" i="1" a="1"/>
  <c r="N119" i="1" s="1"/>
  <c r="H119" i="1" a="1"/>
  <c r="H119" i="1" s="1"/>
  <c r="R103" i="1" a="1"/>
  <c r="R103" i="1" s="1"/>
  <c r="K103" i="1" a="1"/>
  <c r="K103" i="1" s="1"/>
  <c r="G121" i="1" a="1"/>
  <c r="G121" i="1" s="1"/>
  <c r="L121" i="1" a="1"/>
  <c r="L121" i="1" s="1"/>
  <c r="P120" i="1" a="1"/>
  <c r="P120" i="1" s="1"/>
  <c r="H120" i="1" a="1"/>
  <c r="H120" i="1" s="1"/>
  <c r="M119" i="1" a="1"/>
  <c r="M119" i="1" s="1"/>
  <c r="S118" i="1" a="1"/>
  <c r="S118" i="1" s="1"/>
  <c r="M118" i="1" a="1"/>
  <c r="M118" i="1" s="1"/>
  <c r="Q103" i="1" a="1"/>
  <c r="Q103" i="1" s="1"/>
  <c r="J103" i="1" a="1"/>
  <c r="J103" i="1" s="1"/>
  <c r="S121" i="1" a="1"/>
  <c r="S121" i="1" s="1"/>
  <c r="K121" i="1" a="1"/>
  <c r="K121" i="1" s="1"/>
  <c r="O120" i="1" a="1"/>
  <c r="O120" i="1" s="1"/>
  <c r="S119" i="1" a="1"/>
  <c r="S119" i="1" s="1"/>
  <c r="R118" i="1" a="1"/>
  <c r="R118" i="1" s="1"/>
  <c r="L118" i="1" a="1"/>
  <c r="L118" i="1" s="1"/>
  <c r="G103" i="1" a="1"/>
  <c r="G103" i="1" s="1"/>
  <c r="P103" i="1" a="1"/>
  <c r="P103" i="1" s="1"/>
  <c r="R121" i="1" a="1"/>
  <c r="R121" i="1" s="1"/>
  <c r="J121" i="1" a="1"/>
  <c r="J121" i="1" s="1"/>
  <c r="N120" i="1" a="1"/>
  <c r="N120" i="1" s="1"/>
  <c r="R119" i="1" a="1"/>
  <c r="R119" i="1" s="1"/>
  <c r="L119" i="1" a="1"/>
  <c r="L119" i="1" s="1"/>
  <c r="T121" i="1" a="1"/>
  <c r="T121" i="1" s="1"/>
  <c r="T119" i="1" a="1"/>
  <c r="T119" i="1" s="1"/>
  <c r="T118" i="1" a="1"/>
  <c r="T118" i="1" s="1"/>
  <c r="T120" i="1" a="1"/>
  <c r="T120" i="1" s="1"/>
  <c r="T88" i="1"/>
  <c r="T103" i="1" a="1"/>
  <c r="T103" i="1" s="1"/>
  <c r="E35" i="1"/>
  <c r="E27" i="1"/>
  <c r="E19" i="1"/>
  <c r="E11" i="1"/>
  <c r="E66" i="1"/>
  <c r="E44" i="1"/>
  <c r="E10" i="1"/>
  <c r="E17" i="1"/>
  <c r="E9" i="1"/>
  <c r="E68" i="1"/>
  <c r="E67" i="1"/>
  <c r="E73" i="1"/>
  <c r="E65" i="1"/>
  <c r="E43" i="1"/>
  <c r="E50" i="1"/>
  <c r="E34" i="1"/>
  <c r="E26" i="1"/>
  <c r="E18" i="1"/>
  <c r="E42" i="1"/>
  <c r="E33" i="1"/>
  <c r="E32" i="1"/>
  <c r="E16" i="1"/>
  <c r="E38" i="1"/>
  <c r="E30" i="1"/>
  <c r="E14" i="1"/>
  <c r="E22" i="1"/>
  <c r="E6" i="1"/>
  <c r="E78" i="1"/>
  <c r="E2" i="1"/>
  <c r="E36" i="1"/>
  <c r="E28" i="1"/>
  <c r="E20" i="1"/>
  <c r="E12" i="1"/>
  <c r="E4" i="1"/>
  <c r="E85" i="1"/>
  <c r="E77" i="1"/>
  <c r="E46" i="1"/>
  <c r="E82" i="1"/>
  <c r="E74" i="1"/>
  <c r="E45" i="1"/>
  <c r="E72" i="1"/>
  <c r="E41" i="1"/>
  <c r="E48" i="1"/>
  <c r="E3" i="1"/>
  <c r="E70" i="1"/>
  <c r="E47" i="1"/>
  <c r="E80" i="1"/>
  <c r="E49" i="1"/>
  <c r="E40" i="1"/>
  <c r="E69" i="1"/>
  <c r="G88" i="1"/>
  <c r="A85" i="1" l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2" i="1"/>
  <c r="L104" i="1" l="1" a="1"/>
  <c r="L104" i="1" s="1"/>
  <c r="H105" i="1" a="1"/>
  <c r="H105" i="1" s="1"/>
  <c r="P105" i="1" a="1"/>
  <c r="P105" i="1" s="1"/>
  <c r="L106" i="1" a="1"/>
  <c r="L106" i="1" s="1"/>
  <c r="H107" i="1" a="1"/>
  <c r="H107" i="1" s="1"/>
  <c r="P107" i="1" a="1"/>
  <c r="P107" i="1" s="1"/>
  <c r="L108" i="1" a="1"/>
  <c r="L108" i="1" s="1"/>
  <c r="H109" i="1" a="1"/>
  <c r="H109" i="1" s="1"/>
  <c r="P109" i="1" a="1"/>
  <c r="P109" i="1" s="1"/>
  <c r="L110" i="1" a="1"/>
  <c r="L110" i="1" s="1"/>
  <c r="H111" i="1" a="1"/>
  <c r="H111" i="1" s="1"/>
  <c r="P111" i="1" a="1"/>
  <c r="P111" i="1" s="1"/>
  <c r="L112" i="1" a="1"/>
  <c r="L112" i="1" s="1"/>
  <c r="H115" i="1" a="1"/>
  <c r="H115" i="1" s="1"/>
  <c r="P115" i="1" a="1"/>
  <c r="P115" i="1" s="1"/>
  <c r="H89" i="1" a="1"/>
  <c r="H89" i="1" s="1"/>
  <c r="P89" i="1" a="1"/>
  <c r="P89" i="1" s="1"/>
  <c r="K90" i="1" a="1"/>
  <c r="K90" i="1" s="1"/>
  <c r="Q90" i="1" a="1"/>
  <c r="Q90" i="1" s="1"/>
  <c r="K91" i="1" a="1"/>
  <c r="K91" i="1" s="1"/>
  <c r="R91" i="1" a="1"/>
  <c r="R91" i="1" s="1"/>
  <c r="M92" i="1" a="1"/>
  <c r="M92" i="1" s="1"/>
  <c r="S92" i="1" a="1"/>
  <c r="S92" i="1" s="1"/>
  <c r="N93" i="1" a="1"/>
  <c r="N93" i="1" s="1"/>
  <c r="J94" i="1" a="1"/>
  <c r="J94" i="1" s="1"/>
  <c r="Q94" i="1" a="1"/>
  <c r="Q94" i="1" s="1"/>
  <c r="L95" i="1" a="1"/>
  <c r="L95" i="1" s="1"/>
  <c r="H96" i="1" a="1"/>
  <c r="H96" i="1" s="1"/>
  <c r="P96" i="1" a="1"/>
  <c r="P96" i="1" s="1"/>
  <c r="L97" i="1" a="1"/>
  <c r="L97" i="1" s="1"/>
  <c r="H100" i="1" a="1"/>
  <c r="H100" i="1" s="1"/>
  <c r="P100" i="1" a="1"/>
  <c r="P100" i="1" s="1"/>
  <c r="G108" i="1" a="1"/>
  <c r="G108" i="1" s="1"/>
  <c r="G94" i="1" a="1"/>
  <c r="G94" i="1" s="1"/>
  <c r="S115" i="1" a="1"/>
  <c r="S115" i="1" s="1"/>
  <c r="Q93" i="1" a="1"/>
  <c r="Q93" i="1" s="1"/>
  <c r="K96" i="1" a="1"/>
  <c r="K96" i="1" s="1"/>
  <c r="G110" i="1" a="1"/>
  <c r="G110" i="1" s="1"/>
  <c r="L89" i="1" a="1"/>
  <c r="L89" i="1" s="1"/>
  <c r="P92" i="1" a="1"/>
  <c r="P92" i="1" s="1"/>
  <c r="L96" i="1" a="1"/>
  <c r="L96" i="1" s="1"/>
  <c r="G105" i="1" a="1"/>
  <c r="G105" i="1" s="1"/>
  <c r="Q112" i="1" a="1"/>
  <c r="Q112" i="1" s="1"/>
  <c r="S93" i="1" a="1"/>
  <c r="S93" i="1" s="1"/>
  <c r="I97" i="1" a="1"/>
  <c r="I97" i="1" s="1"/>
  <c r="R95" i="1" a="1"/>
  <c r="R95" i="1" s="1"/>
  <c r="R97" i="1" a="1"/>
  <c r="R97" i="1" s="1"/>
  <c r="M104" i="1" a="1"/>
  <c r="M104" i="1" s="1"/>
  <c r="I105" i="1" a="1"/>
  <c r="I105" i="1" s="1"/>
  <c r="Q105" i="1" a="1"/>
  <c r="Q105" i="1" s="1"/>
  <c r="M106" i="1" a="1"/>
  <c r="M106" i="1" s="1"/>
  <c r="I107" i="1" a="1"/>
  <c r="I107" i="1" s="1"/>
  <c r="Q107" i="1" a="1"/>
  <c r="Q107" i="1" s="1"/>
  <c r="M108" i="1" a="1"/>
  <c r="M108" i="1" s="1"/>
  <c r="I109" i="1" a="1"/>
  <c r="I109" i="1" s="1"/>
  <c r="Q109" i="1" a="1"/>
  <c r="Q109" i="1" s="1"/>
  <c r="M110" i="1" a="1"/>
  <c r="M110" i="1" s="1"/>
  <c r="I111" i="1" a="1"/>
  <c r="I111" i="1" s="1"/>
  <c r="Q111" i="1" a="1"/>
  <c r="Q111" i="1" s="1"/>
  <c r="M112" i="1" a="1"/>
  <c r="M112" i="1" s="1"/>
  <c r="I115" i="1" a="1"/>
  <c r="I115" i="1" s="1"/>
  <c r="Q115" i="1" a="1"/>
  <c r="Q115" i="1" s="1"/>
  <c r="I89" i="1" a="1"/>
  <c r="I89" i="1" s="1"/>
  <c r="R90" i="1" a="1"/>
  <c r="R90" i="1" s="1"/>
  <c r="L91" i="1" a="1"/>
  <c r="L91" i="1" s="1"/>
  <c r="H93" i="1" a="1"/>
  <c r="H93" i="1" s="1"/>
  <c r="O93" i="1" a="1"/>
  <c r="O93" i="1" s="1"/>
  <c r="K94" i="1" a="1"/>
  <c r="K94" i="1" s="1"/>
  <c r="R94" i="1" a="1"/>
  <c r="R94" i="1" s="1"/>
  <c r="M95" i="1" a="1"/>
  <c r="M95" i="1" s="1"/>
  <c r="I96" i="1" a="1"/>
  <c r="I96" i="1" s="1"/>
  <c r="Q96" i="1" a="1"/>
  <c r="Q96" i="1" s="1"/>
  <c r="M97" i="1" a="1"/>
  <c r="M97" i="1" s="1"/>
  <c r="I100" i="1" a="1"/>
  <c r="I100" i="1" s="1"/>
  <c r="Q100" i="1" a="1"/>
  <c r="Q100" i="1" s="1"/>
  <c r="G104" i="1" a="1"/>
  <c r="G104" i="1" s="1"/>
  <c r="G95" i="1" a="1"/>
  <c r="G95" i="1" s="1"/>
  <c r="S111" i="1" a="1"/>
  <c r="S111" i="1" s="1"/>
  <c r="R89" i="1" a="1"/>
  <c r="R89" i="1" s="1"/>
  <c r="N91" i="1" a="1"/>
  <c r="N91" i="1" s="1"/>
  <c r="J93" i="1" a="1"/>
  <c r="J93" i="1" s="1"/>
  <c r="O95" i="1" a="1"/>
  <c r="O95" i="1" s="1"/>
  <c r="O97" i="1" a="1"/>
  <c r="O97" i="1" s="1"/>
  <c r="G96" i="1" a="1"/>
  <c r="G96" i="1" s="1"/>
  <c r="S89" i="1" a="1"/>
  <c r="S89" i="1" s="1"/>
  <c r="K93" i="1" a="1"/>
  <c r="K93" i="1" s="1"/>
  <c r="P95" i="1" a="1"/>
  <c r="P95" i="1" s="1"/>
  <c r="L100" i="1" a="1"/>
  <c r="L100" i="1" s="1"/>
  <c r="M89" i="1" a="1"/>
  <c r="M89" i="1" s="1"/>
  <c r="O91" i="1" a="1"/>
  <c r="O91" i="1" s="1"/>
  <c r="L93" i="1" a="1"/>
  <c r="L93" i="1" s="1"/>
  <c r="M96" i="1" a="1"/>
  <c r="M96" i="1" s="1"/>
  <c r="J97" i="1" a="1"/>
  <c r="J97" i="1" s="1"/>
  <c r="N100" i="1" a="1"/>
  <c r="N100" i="1" s="1"/>
  <c r="N104" i="1" a="1"/>
  <c r="N104" i="1" s="1"/>
  <c r="J105" i="1" a="1"/>
  <c r="J105" i="1" s="1"/>
  <c r="R105" i="1" a="1"/>
  <c r="R105" i="1" s="1"/>
  <c r="N106" i="1" a="1"/>
  <c r="N106" i="1" s="1"/>
  <c r="J107" i="1" a="1"/>
  <c r="J107" i="1" s="1"/>
  <c r="R107" i="1" a="1"/>
  <c r="R107" i="1" s="1"/>
  <c r="N108" i="1" a="1"/>
  <c r="N108" i="1" s="1"/>
  <c r="J109" i="1" a="1"/>
  <c r="J109" i="1" s="1"/>
  <c r="R109" i="1" a="1"/>
  <c r="R109" i="1" s="1"/>
  <c r="N110" i="1" a="1"/>
  <c r="N110" i="1" s="1"/>
  <c r="J111" i="1" a="1"/>
  <c r="J111" i="1" s="1"/>
  <c r="R111" i="1" a="1"/>
  <c r="R111" i="1" s="1"/>
  <c r="N112" i="1" a="1"/>
  <c r="N112" i="1" s="1"/>
  <c r="J115" i="1" a="1"/>
  <c r="J115" i="1" s="1"/>
  <c r="R115" i="1" a="1"/>
  <c r="R115" i="1" s="1"/>
  <c r="J89" i="1" a="1"/>
  <c r="J89" i="1" s="1"/>
  <c r="Q89" i="1" a="1"/>
  <c r="Q89" i="1" s="1"/>
  <c r="L90" i="1" a="1"/>
  <c r="L90" i="1" s="1"/>
  <c r="S90" i="1" a="1"/>
  <c r="S90" i="1" s="1"/>
  <c r="M91" i="1" a="1"/>
  <c r="M91" i="1" s="1"/>
  <c r="S91" i="1" a="1"/>
  <c r="S91" i="1" s="1"/>
  <c r="N92" i="1" a="1"/>
  <c r="N92" i="1" s="1"/>
  <c r="I93" i="1" a="1"/>
  <c r="I93" i="1" s="1"/>
  <c r="P93" i="1" a="1"/>
  <c r="P93" i="1" s="1"/>
  <c r="L94" i="1" a="1"/>
  <c r="L94" i="1" s="1"/>
  <c r="S94" i="1" a="1"/>
  <c r="S94" i="1" s="1"/>
  <c r="N95" i="1" a="1"/>
  <c r="N95" i="1" s="1"/>
  <c r="J96" i="1" a="1"/>
  <c r="J96" i="1" s="1"/>
  <c r="R96" i="1" a="1"/>
  <c r="R96" i="1" s="1"/>
  <c r="N97" i="1" a="1"/>
  <c r="N97" i="1" s="1"/>
  <c r="J100" i="1" a="1"/>
  <c r="J100" i="1" s="1"/>
  <c r="R100" i="1" a="1"/>
  <c r="R100" i="1" s="1"/>
  <c r="G109" i="1" a="1"/>
  <c r="G109" i="1" s="1"/>
  <c r="G90" i="1" a="1"/>
  <c r="G90" i="1" s="1"/>
  <c r="O112" i="1" a="1"/>
  <c r="O112" i="1" s="1"/>
  <c r="K89" i="1" a="1"/>
  <c r="K89" i="1" s="1"/>
  <c r="M90" i="1" a="1"/>
  <c r="M90" i="1" s="1"/>
  <c r="O92" i="1" a="1"/>
  <c r="O92" i="1" s="1"/>
  <c r="M94" i="1" a="1"/>
  <c r="M94" i="1" s="1"/>
  <c r="S96" i="1" a="1"/>
  <c r="S96" i="1" s="1"/>
  <c r="G91" i="1" a="1"/>
  <c r="G91" i="1" s="1"/>
  <c r="H91" i="1" a="1"/>
  <c r="H91" i="1" s="1"/>
  <c r="N94" i="1" a="1"/>
  <c r="N94" i="1" s="1"/>
  <c r="P97" i="1" a="1"/>
  <c r="P97" i="1" s="1"/>
  <c r="M115" i="1" a="1"/>
  <c r="M115" i="1" s="1"/>
  <c r="I95" i="1" a="1"/>
  <c r="I95" i="1" s="1"/>
  <c r="Q97" i="1" a="1"/>
  <c r="Q97" i="1" s="1"/>
  <c r="N96" i="1" a="1"/>
  <c r="N96" i="1" s="1"/>
  <c r="G112" i="1" a="1"/>
  <c r="G112" i="1" s="1"/>
  <c r="O104" i="1" a="1"/>
  <c r="O104" i="1" s="1"/>
  <c r="K105" i="1" a="1"/>
  <c r="K105" i="1" s="1"/>
  <c r="S105" i="1" a="1"/>
  <c r="S105" i="1" s="1"/>
  <c r="O106" i="1" a="1"/>
  <c r="O106" i="1" s="1"/>
  <c r="K107" i="1" a="1"/>
  <c r="K107" i="1" s="1"/>
  <c r="S107" i="1" a="1"/>
  <c r="S107" i="1" s="1"/>
  <c r="O108" i="1" a="1"/>
  <c r="O108" i="1" s="1"/>
  <c r="K109" i="1" a="1"/>
  <c r="K109" i="1" s="1"/>
  <c r="S109" i="1" a="1"/>
  <c r="S109" i="1" s="1"/>
  <c r="O110" i="1" a="1"/>
  <c r="O110" i="1" s="1"/>
  <c r="K111" i="1" a="1"/>
  <c r="K111" i="1" s="1"/>
  <c r="K115" i="1" a="1"/>
  <c r="K115" i="1" s="1"/>
  <c r="H92" i="1" a="1"/>
  <c r="H92" i="1" s="1"/>
  <c r="K100" i="1" a="1"/>
  <c r="K100" i="1" s="1"/>
  <c r="I92" i="1" a="1"/>
  <c r="I92" i="1" s="1"/>
  <c r="H90" i="1" a="1"/>
  <c r="H90" i="1" s="1"/>
  <c r="Q92" i="1" a="1"/>
  <c r="Q92" i="1" s="1"/>
  <c r="G111" i="1" a="1"/>
  <c r="G111" i="1" s="1"/>
  <c r="H104" i="1" a="1"/>
  <c r="H104" i="1" s="1"/>
  <c r="P104" i="1" a="1"/>
  <c r="P104" i="1" s="1"/>
  <c r="L105" i="1" a="1"/>
  <c r="L105" i="1" s="1"/>
  <c r="H106" i="1" a="1"/>
  <c r="H106" i="1" s="1"/>
  <c r="P106" i="1" a="1"/>
  <c r="P106" i="1" s="1"/>
  <c r="L107" i="1" a="1"/>
  <c r="L107" i="1" s="1"/>
  <c r="H108" i="1" a="1"/>
  <c r="H108" i="1" s="1"/>
  <c r="P108" i="1" a="1"/>
  <c r="P108" i="1" s="1"/>
  <c r="L109" i="1" a="1"/>
  <c r="L109" i="1" s="1"/>
  <c r="H110" i="1" a="1"/>
  <c r="H110" i="1" s="1"/>
  <c r="P110" i="1" a="1"/>
  <c r="P110" i="1" s="1"/>
  <c r="L111" i="1" a="1"/>
  <c r="L111" i="1" s="1"/>
  <c r="H112" i="1" a="1"/>
  <c r="H112" i="1" s="1"/>
  <c r="P112" i="1" a="1"/>
  <c r="P112" i="1" s="1"/>
  <c r="L115" i="1" a="1"/>
  <c r="L115" i="1" s="1"/>
  <c r="H95" i="1" a="1"/>
  <c r="H95" i="1" s="1"/>
  <c r="O90" i="1" a="1"/>
  <c r="O90" i="1" s="1"/>
  <c r="O94" i="1" a="1"/>
  <c r="O94" i="1" s="1"/>
  <c r="G92" i="1" a="1"/>
  <c r="G92" i="1" s="1"/>
  <c r="I104" i="1" a="1"/>
  <c r="I104" i="1" s="1"/>
  <c r="Q104" i="1" a="1"/>
  <c r="Q104" i="1" s="1"/>
  <c r="M105" i="1" a="1"/>
  <c r="M105" i="1" s="1"/>
  <c r="I106" i="1" a="1"/>
  <c r="I106" i="1" s="1"/>
  <c r="Q106" i="1" a="1"/>
  <c r="Q106" i="1" s="1"/>
  <c r="M107" i="1" a="1"/>
  <c r="M107" i="1" s="1"/>
  <c r="I108" i="1" a="1"/>
  <c r="I108" i="1" s="1"/>
  <c r="Q108" i="1" a="1"/>
  <c r="Q108" i="1" s="1"/>
  <c r="M109" i="1" a="1"/>
  <c r="M109" i="1" s="1"/>
  <c r="I110" i="1" a="1"/>
  <c r="I110" i="1" s="1"/>
  <c r="Q110" i="1" a="1"/>
  <c r="Q110" i="1" s="1"/>
  <c r="M111" i="1" a="1"/>
  <c r="M111" i="1" s="1"/>
  <c r="I91" i="1" a="1"/>
  <c r="I91" i="1" s="1"/>
  <c r="J92" i="1" a="1"/>
  <c r="J92" i="1" s="1"/>
  <c r="G106" i="1" a="1"/>
  <c r="G106" i="1" s="1"/>
  <c r="J104" i="1" a="1"/>
  <c r="J104" i="1" s="1"/>
  <c r="R104" i="1" a="1"/>
  <c r="R104" i="1" s="1"/>
  <c r="N105" i="1" a="1"/>
  <c r="N105" i="1" s="1"/>
  <c r="J106" i="1" a="1"/>
  <c r="J106" i="1" s="1"/>
  <c r="R106" i="1" a="1"/>
  <c r="R106" i="1" s="1"/>
  <c r="N107" i="1" a="1"/>
  <c r="N107" i="1" s="1"/>
  <c r="J108" i="1" a="1"/>
  <c r="J108" i="1" s="1"/>
  <c r="R108" i="1" a="1"/>
  <c r="R108" i="1" s="1"/>
  <c r="N109" i="1" a="1"/>
  <c r="N109" i="1" s="1"/>
  <c r="J110" i="1" a="1"/>
  <c r="J110" i="1" s="1"/>
  <c r="R110" i="1" a="1"/>
  <c r="R110" i="1" s="1"/>
  <c r="N111" i="1" a="1"/>
  <c r="N111" i="1" s="1"/>
  <c r="J112" i="1" a="1"/>
  <c r="J112" i="1" s="1"/>
  <c r="R112" i="1" a="1"/>
  <c r="R112" i="1" s="1"/>
  <c r="N115" i="1" a="1"/>
  <c r="N115" i="1" s="1"/>
  <c r="N89" i="1" a="1"/>
  <c r="N89" i="1" s="1"/>
  <c r="I90" i="1" a="1"/>
  <c r="I90" i="1" s="1"/>
  <c r="J91" i="1" a="1"/>
  <c r="J91" i="1" s="1"/>
  <c r="P91" i="1" a="1"/>
  <c r="P91" i="1" s="1"/>
  <c r="K92" i="1" a="1"/>
  <c r="K92" i="1" s="1"/>
  <c r="H94" i="1" a="1"/>
  <c r="H94" i="1" s="1"/>
  <c r="K104" i="1" a="1"/>
  <c r="K104" i="1" s="1"/>
  <c r="S104" i="1" a="1"/>
  <c r="S104" i="1" s="1"/>
  <c r="O105" i="1" a="1"/>
  <c r="O105" i="1" s="1"/>
  <c r="K106" i="1" a="1"/>
  <c r="K106" i="1" s="1"/>
  <c r="S106" i="1" a="1"/>
  <c r="S106" i="1" s="1"/>
  <c r="O107" i="1" a="1"/>
  <c r="O107" i="1" s="1"/>
  <c r="K108" i="1" a="1"/>
  <c r="K108" i="1" s="1"/>
  <c r="S108" i="1" a="1"/>
  <c r="S108" i="1" s="1"/>
  <c r="O109" i="1" a="1"/>
  <c r="O109" i="1" s="1"/>
  <c r="K110" i="1" a="1"/>
  <c r="K110" i="1" s="1"/>
  <c r="S110" i="1" a="1"/>
  <c r="S110" i="1" s="1"/>
  <c r="O111" i="1" a="1"/>
  <c r="O111" i="1" s="1"/>
  <c r="K112" i="1" a="1"/>
  <c r="K112" i="1" s="1"/>
  <c r="S112" i="1" a="1"/>
  <c r="S112" i="1" s="1"/>
  <c r="O115" i="1" a="1"/>
  <c r="O115" i="1" s="1"/>
  <c r="O89" i="1" a="1"/>
  <c r="O89" i="1" s="1"/>
  <c r="J90" i="1" a="1"/>
  <c r="J90" i="1" s="1"/>
  <c r="P90" i="1" a="1"/>
  <c r="P90" i="1" s="1"/>
  <c r="Q91" i="1" a="1"/>
  <c r="Q91" i="1" s="1"/>
  <c r="L92" i="1" a="1"/>
  <c r="L92" i="1" s="1"/>
  <c r="R92" i="1" a="1"/>
  <c r="R92" i="1" s="1"/>
  <c r="M93" i="1" a="1"/>
  <c r="M93" i="1" s="1"/>
  <c r="I94" i="1" a="1"/>
  <c r="I94" i="1" s="1"/>
  <c r="P94" i="1" a="1"/>
  <c r="P94" i="1" s="1"/>
  <c r="K95" i="1" a="1"/>
  <c r="K95" i="1" s="1"/>
  <c r="S95" i="1" a="1"/>
  <c r="S95" i="1" s="1"/>
  <c r="O96" i="1" a="1"/>
  <c r="O96" i="1" s="1"/>
  <c r="K97" i="1" a="1"/>
  <c r="K97" i="1" s="1"/>
  <c r="S97" i="1" a="1"/>
  <c r="S97" i="1" s="1"/>
  <c r="O100" i="1" a="1"/>
  <c r="O100" i="1" s="1"/>
  <c r="G107" i="1" a="1"/>
  <c r="G107" i="1" s="1"/>
  <c r="G93" i="1" a="1"/>
  <c r="G93" i="1" s="1"/>
  <c r="S100" i="1" a="1"/>
  <c r="S100" i="1" s="1"/>
  <c r="N90" i="1" a="1"/>
  <c r="N90" i="1" s="1"/>
  <c r="R93" i="1" a="1"/>
  <c r="R93" i="1" s="1"/>
  <c r="H97" i="1" a="1"/>
  <c r="H97" i="1" s="1"/>
  <c r="G97" i="1" a="1"/>
  <c r="G97" i="1" s="1"/>
  <c r="I112" i="1" a="1"/>
  <c r="I112" i="1" s="1"/>
  <c r="Q95" i="1" a="1"/>
  <c r="Q95" i="1" s="1"/>
  <c r="M100" i="1" a="1"/>
  <c r="M100" i="1" s="1"/>
  <c r="J95" i="1" a="1"/>
  <c r="J95" i="1" s="1"/>
  <c r="G89" i="1" a="1"/>
  <c r="G89" i="1" s="1"/>
  <c r="T105" i="1" a="1"/>
  <c r="T105" i="1" s="1"/>
  <c r="T100" i="1" a="1"/>
  <c r="T100" i="1" s="1"/>
  <c r="T110" i="1" a="1"/>
  <c r="T110" i="1" s="1"/>
  <c r="T92" i="1" a="1"/>
  <c r="T92" i="1" s="1"/>
  <c r="T95" i="1" a="1"/>
  <c r="T95" i="1" s="1"/>
  <c r="T108" i="1" a="1"/>
  <c r="T108" i="1" s="1"/>
  <c r="T107" i="1" a="1"/>
  <c r="T107" i="1" s="1"/>
  <c r="T112" i="1" a="1"/>
  <c r="T112" i="1" s="1"/>
  <c r="T106" i="1" a="1"/>
  <c r="T106" i="1" s="1"/>
  <c r="T93" i="1" a="1"/>
  <c r="T93" i="1" s="1"/>
  <c r="T89" i="1" a="1"/>
  <c r="T89" i="1" s="1"/>
  <c r="T96" i="1" a="1"/>
  <c r="T96" i="1" s="1"/>
  <c r="T104" i="1" a="1"/>
  <c r="T104" i="1" s="1"/>
  <c r="T115" i="1" a="1"/>
  <c r="T115" i="1" s="1"/>
  <c r="T94" i="1" a="1"/>
  <c r="T94" i="1" s="1"/>
  <c r="T97" i="1" a="1"/>
  <c r="T97" i="1" s="1"/>
  <c r="T91" i="1" a="1"/>
  <c r="T91" i="1" s="1"/>
  <c r="T90" i="1" a="1"/>
  <c r="T90" i="1" s="1"/>
  <c r="T111" i="1" a="1"/>
  <c r="T111" i="1" s="1"/>
  <c r="T109" i="1" a="1"/>
  <c r="T10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<sst xmlns="http://schemas.openxmlformats.org/spreadsheetml/2006/main" count="137" uniqueCount="119">
  <si>
    <t>condition</t>
  </si>
  <si>
    <t>3</t>
  </si>
  <si>
    <t>4</t>
  </si>
  <si>
    <t>5</t>
  </si>
  <si>
    <t>6</t>
  </si>
  <si>
    <t>7</t>
  </si>
  <si>
    <t>8</t>
  </si>
  <si>
    <t>9</t>
  </si>
  <si>
    <t>10</t>
  </si>
  <si>
    <t>12</t>
  </si>
  <si>
    <t>15</t>
  </si>
  <si>
    <t>arabic-1g</t>
  </si>
  <si>
    <t>arabic-2g</t>
  </si>
  <si>
    <t>arabic-3g</t>
  </si>
  <si>
    <t>arabic-sk2g</t>
  </si>
  <si>
    <t>arabic-sk3g</t>
  </si>
  <si>
    <t>english-1g</t>
  </si>
  <si>
    <t>english-2g</t>
  </si>
  <si>
    <t>english-3g</t>
  </si>
  <si>
    <t>english-sk2g</t>
  </si>
  <si>
    <t>english-sk3g</t>
  </si>
  <si>
    <t>french-1g</t>
  </si>
  <si>
    <t>french-2g</t>
  </si>
  <si>
    <t>french-3g</t>
  </si>
  <si>
    <t>french-sk2g</t>
  </si>
  <si>
    <t>french-sk3g</t>
  </si>
  <si>
    <t>german-1g</t>
  </si>
  <si>
    <t>german-2g</t>
  </si>
  <si>
    <t>german-3g</t>
  </si>
  <si>
    <t>german-sk2g</t>
  </si>
  <si>
    <t>german-sk3g</t>
  </si>
  <si>
    <t>russian-1g</t>
  </si>
  <si>
    <t>russian-2g</t>
  </si>
  <si>
    <t>russian-3g</t>
  </si>
  <si>
    <t>russian-sk2g</t>
  </si>
  <si>
    <t>russian-sk3g</t>
  </si>
  <si>
    <t>lang</t>
  </si>
  <si>
    <t>all</t>
  </si>
  <si>
    <t>arabic</t>
  </si>
  <si>
    <t>german</t>
  </si>
  <si>
    <t>english</t>
  </si>
  <si>
    <t>french</t>
  </si>
  <si>
    <t>russian</t>
  </si>
  <si>
    <t>1g</t>
  </si>
  <si>
    <t>1g excluded</t>
  </si>
  <si>
    <t>average</t>
  </si>
  <si>
    <t>11</t>
  </si>
  <si>
    <t>13</t>
  </si>
  <si>
    <t>14</t>
  </si>
  <si>
    <t>xsk</t>
  </si>
  <si>
    <t>sk</t>
  </si>
  <si>
    <t>norm</t>
  </si>
  <si>
    <t>arabic-xsk2g</t>
  </si>
  <si>
    <t>arabic-xsk3g</t>
  </si>
  <si>
    <t>english-xsk2g</t>
  </si>
  <si>
    <t>english-xsk3g</t>
  </si>
  <si>
    <t>french-xsk2g</t>
  </si>
  <si>
    <t>french-xsk3g</t>
  </si>
  <si>
    <t>finnish-1g</t>
  </si>
  <si>
    <t>finnish-2g</t>
  </si>
  <si>
    <t>finnish-3g</t>
  </si>
  <si>
    <t>finnish-sk2g</t>
  </si>
  <si>
    <t>finnish-sk3g</t>
  </si>
  <si>
    <t>finnish-xsk2g</t>
  </si>
  <si>
    <t>finnish-xsk3g</t>
  </si>
  <si>
    <t>german-xsk2g</t>
  </si>
  <si>
    <t>german-xsk3g</t>
  </si>
  <si>
    <t>greek-1g</t>
  </si>
  <si>
    <t>greek-2g</t>
  </si>
  <si>
    <t>greek-3g</t>
  </si>
  <si>
    <t>greek-sk2g</t>
  </si>
  <si>
    <t>greek-sk3g</t>
  </si>
  <si>
    <t>greek-xsk2g</t>
  </si>
  <si>
    <t>greek-xsk3g</t>
  </si>
  <si>
    <t>hebrew-1g</t>
  </si>
  <si>
    <t>hebrew-2g</t>
  </si>
  <si>
    <t>hebrew-3g</t>
  </si>
  <si>
    <t>hebrew-sk2g</t>
  </si>
  <si>
    <t>hebrew-sk3g</t>
  </si>
  <si>
    <t>hebrew-xsk2g</t>
  </si>
  <si>
    <t>hebrew-xsk3g</t>
  </si>
  <si>
    <t>icelandic-1g</t>
  </si>
  <si>
    <t>icelandic-2g</t>
  </si>
  <si>
    <t>icelandic-3g</t>
  </si>
  <si>
    <t>icelandic-sk2g</t>
  </si>
  <si>
    <t>icelandic-sk3g</t>
  </si>
  <si>
    <t>icelandic-xsk2g</t>
  </si>
  <si>
    <t>icelandic-xsk3g</t>
  </si>
  <si>
    <t>russian-xsk2g</t>
  </si>
  <si>
    <t>russian-xsk3g</t>
  </si>
  <si>
    <t>turkish-1g</t>
  </si>
  <si>
    <t>turkish-2g</t>
  </si>
  <si>
    <t>turkish-3g</t>
  </si>
  <si>
    <t>turkish-sk2g</t>
  </si>
  <si>
    <t>turkish-sk3g</t>
  </si>
  <si>
    <t>turkish-xsk2g</t>
  </si>
  <si>
    <t>turkish-xsk3g</t>
  </si>
  <si>
    <t>finnish</t>
  </si>
  <si>
    <t>greek</t>
  </si>
  <si>
    <t>hebrew</t>
  </si>
  <si>
    <t>icelandic</t>
  </si>
  <si>
    <t>turkish</t>
  </si>
  <si>
    <t>spanish</t>
  </si>
  <si>
    <t>swahili</t>
  </si>
  <si>
    <t>spanish-1g</t>
  </si>
  <si>
    <t>spanish-2g</t>
  </si>
  <si>
    <t>spanish-3g</t>
  </si>
  <si>
    <t>spanish-sk2g</t>
  </si>
  <si>
    <t>spanish-sk3g</t>
  </si>
  <si>
    <t>spanish-xsk2g</t>
  </si>
  <si>
    <t>spanish-xsk3g</t>
  </si>
  <si>
    <t>swahili-1g</t>
  </si>
  <si>
    <t>swahili-2g</t>
  </si>
  <si>
    <t>swahili-3g</t>
  </si>
  <si>
    <t>swahili-sk2g</t>
  </si>
  <si>
    <t>swahili-sk3g</t>
  </si>
  <si>
    <t>swahili-xsk2g</t>
  </si>
  <si>
    <t>swahili-xsk3g</t>
  </si>
  <si>
    <t>1g included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</si>
</sst>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3"/>
      <color theme="1"/>
      <name val="LucidaSansUnicode"/>
      <family val="2"/>
    </font>
    <font>
      <sz val="8"/>
      <name val="LucidaSansUnicod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2" fontId="0" fillId="0" borderId="1" xfId="0" applyNumberFormat="1" applyBorder="1"/>
  </cellXfs>
  <cellStyles count="1">
    <cellStyle name="Normal" xfId="0" builtinId="0"/>
  </cellStyles>
  <dxfs count="18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F-value</a:t>
            </a:r>
            <a:r>
              <a:rPr lang="ja-JP" altLang="en-US" baseline="0"/>
              <a:t> </a:t>
            </a:r>
            <a:r>
              <a:rPr lang="en-US" altLang="ja-JP" baseline="0"/>
              <a:t>distributions</a:t>
            </a:r>
            <a:r>
              <a:rPr lang="ja-JP" altLang="en-US" baseline="0"/>
              <a:t> </a:t>
            </a:r>
            <a:r>
              <a:rPr lang="en-US" altLang="ja-JP" baseline="0"/>
              <a:t>by</a:t>
            </a:r>
            <a:r>
              <a:rPr lang="ja-JP" altLang="en-US" baseline="0"/>
              <a:t> </a:t>
            </a:r>
            <a:r>
              <a:rPr lang="en-US" altLang="ja-JP" baseline="0"/>
              <a:t>encodings</a:t>
            </a:r>
            <a:r>
              <a:rPr lang="ja-JP" altLang="en-US" baseline="0"/>
              <a:t> </a:t>
            </a:r>
            <a:r>
              <a:rPr lang="en-US" altLang="ja-JP" baseline="0"/>
              <a:t>along</a:t>
            </a:r>
            <a:r>
              <a:rPr lang="ja-JP" altLang="en-US" baseline="0"/>
              <a:t> </a:t>
            </a:r>
            <a:r>
              <a:rPr lang="en-US" altLang="ja-JP" baseline="0"/>
              <a:t>n_topics</a:t>
            </a:r>
            <a:r>
              <a:rPr lang="ja-JP" altLang="en-US" baseline="0"/>
              <a:t> </a:t>
            </a:r>
            <a:r>
              <a:rPr lang="en-US" altLang="ja-JP" baseline="0"/>
              <a:t>(1g</a:t>
            </a:r>
            <a:r>
              <a:rPr lang="ja-JP" altLang="en-US" baseline="0"/>
              <a:t> </a:t>
            </a:r>
            <a:r>
              <a:rPr lang="en-US" altLang="ja-JP" baseline="0"/>
              <a:t>excluded)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'aNA.pt0.33'!$F$119</c:f>
              <c:strCache>
                <c:ptCount val="1"/>
                <c:pt idx="0">
                  <c:v>xsk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'aNA.pt0.33'!$G$1:$S$1</c:f>
              <c:strCache>
                <c:ptCount val="1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</c:strCache>
            </c:strRef>
          </c:cat>
          <c:val>
            <c:numRef>
              <c:f>'aNA.pt0.33'!$G$119:$S$119</c:f>
              <c:numCache>
                <c:formatCode>0.00</c:formatCode>
                <c:ptCount val="13"/>
                <c:pt idx="0">
                  <c:v>0.81590570110312222</c:v>
                </c:pt>
                <c:pt idx="1">
                  <c:v>0.78744061752200967</c:v>
                </c:pt>
                <c:pt idx="2">
                  <c:v>0.78865913934794307</c:v>
                </c:pt>
                <c:pt idx="3">
                  <c:v>0.72933517500258438</c:v>
                </c:pt>
                <c:pt idx="4">
                  <c:v>0.7259134087873953</c:v>
                </c:pt>
                <c:pt idx="5">
                  <c:v>0.69682596730649859</c:v>
                </c:pt>
                <c:pt idx="6">
                  <c:v>0.70590685875173032</c:v>
                </c:pt>
                <c:pt idx="7">
                  <c:v>0.70450324285698951</c:v>
                </c:pt>
                <c:pt idx="8">
                  <c:v>0.6814043607511171</c:v>
                </c:pt>
                <c:pt idx="9">
                  <c:v>0.67170991671168012</c:v>
                </c:pt>
                <c:pt idx="10">
                  <c:v>0.71535577466524469</c:v>
                </c:pt>
                <c:pt idx="11">
                  <c:v>0.60780069204009368</c:v>
                </c:pt>
                <c:pt idx="12">
                  <c:v>0.65475596992096985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F4-744E-B056-3268730A806E}"/>
            </c:ext>
          </c:extLst>
        </c:ser>
        <c:ser>
          <c:idx val="2"/>
          <c:order val="1"/>
          <c:tx>
            <c:strRef>
              <c:f>'aNA.pt0.33'!$F$120</c:f>
              <c:strCache>
                <c:ptCount val="1"/>
                <c:pt idx="0">
                  <c:v>sk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'aNA.pt0.33'!$G$1:$S$1</c:f>
              <c:strCache>
                <c:ptCount val="1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</c:strCache>
            </c:strRef>
          </c:cat>
          <c:val>
            <c:numRef>
              <c:f>'aNA.pt0.33'!$G$120:$S$120</c:f>
              <c:numCache>
                <c:formatCode>0.00</c:formatCode>
                <c:ptCount val="13"/>
                <c:pt idx="0">
                  <c:v>0.77045600778804146</c:v>
                </c:pt>
                <c:pt idx="1">
                  <c:v>0.75605655968467855</c:v>
                </c:pt>
                <c:pt idx="2">
                  <c:v>0.74615244422700477</c:v>
                </c:pt>
                <c:pt idx="3">
                  <c:v>0.72199404611283358</c:v>
                </c:pt>
                <c:pt idx="4">
                  <c:v>0.6973499388526877</c:v>
                </c:pt>
                <c:pt idx="5">
                  <c:v>0.68822210689348695</c:v>
                </c:pt>
                <c:pt idx="6">
                  <c:v>0.69453387121696275</c:v>
                </c:pt>
                <c:pt idx="7">
                  <c:v>0.63930348975551243</c:v>
                </c:pt>
                <c:pt idx="8">
                  <c:v>0.70183045560141144</c:v>
                </c:pt>
                <c:pt idx="9">
                  <c:v>0.6746914504928635</c:v>
                </c:pt>
                <c:pt idx="10">
                  <c:v>0.63406653445284933</c:v>
                </c:pt>
                <c:pt idx="11">
                  <c:v>0.65314042284966678</c:v>
                </c:pt>
                <c:pt idx="12">
                  <c:v>0.65653657169969415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F4-744E-B056-3268730A806E}"/>
            </c:ext>
          </c:extLst>
        </c:ser>
        <c:ser>
          <c:idx val="3"/>
          <c:order val="2"/>
          <c:tx>
            <c:strRef>
              <c:f>'aNA.pt0.33'!$F$121</c:f>
              <c:strCache>
                <c:ptCount val="1"/>
                <c:pt idx="0">
                  <c:v>norm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'aNA.pt0.33'!$G$1:$S$1</c:f>
              <c:strCache>
                <c:ptCount val="1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</c:strCache>
            </c:strRef>
          </c:cat>
          <c:val>
            <c:numRef>
              <c:f>'aNA.pt0.33'!$G$121:$S$121</c:f>
              <c:numCache>
                <c:formatCode>0.00</c:formatCode>
                <c:ptCount val="13"/>
                <c:pt idx="0">
                  <c:v>0.77045600778804146</c:v>
                </c:pt>
                <c:pt idx="1">
                  <c:v>0.75605655968467855</c:v>
                </c:pt>
                <c:pt idx="2">
                  <c:v>0.74615244422700477</c:v>
                </c:pt>
                <c:pt idx="3">
                  <c:v>0.72199404611283358</c:v>
                </c:pt>
                <c:pt idx="4">
                  <c:v>0.6973499388526877</c:v>
                </c:pt>
                <c:pt idx="5">
                  <c:v>0.68822210689348695</c:v>
                </c:pt>
                <c:pt idx="6">
                  <c:v>0.69453387121696275</c:v>
                </c:pt>
                <c:pt idx="7">
                  <c:v>0.63930348975551243</c:v>
                </c:pt>
                <c:pt idx="8">
                  <c:v>0.70183045560141144</c:v>
                </c:pt>
                <c:pt idx="9">
                  <c:v>0.6746914504928635</c:v>
                </c:pt>
                <c:pt idx="10">
                  <c:v>0.63406653445284933</c:v>
                </c:pt>
                <c:pt idx="11">
                  <c:v>0.65314042284966678</c:v>
                </c:pt>
                <c:pt idx="12">
                  <c:v>0.65653657169969415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EF4-744E-B056-3268730A80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5657120"/>
        <c:axId val="2105744544"/>
      </c:lineChart>
      <c:catAx>
        <c:axId val="151565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2105744544"/>
        <c:crosses val="autoZero"/>
        <c:auto val="1"/>
        <c:lblAlgn val="ctr"/>
        <c:lblOffset val="100"/>
        <c:noMultiLvlLbl val="0"/>
      </c:catAx>
      <c:valAx>
        <c:axId val="210574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JP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515657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F-value</a:t>
            </a:r>
            <a:r>
              <a:rPr lang="ja-JP" altLang="en-US" baseline="0"/>
              <a:t> </a:t>
            </a:r>
            <a:r>
              <a:rPr lang="en-US" altLang="ja-JP" baseline="0"/>
              <a:t>distributions</a:t>
            </a:r>
            <a:r>
              <a:rPr lang="ja-JP" altLang="en-US" baseline="0"/>
              <a:t> </a:t>
            </a:r>
            <a:r>
              <a:rPr lang="en-US" altLang="ja-JP" baseline="0"/>
              <a:t>by</a:t>
            </a:r>
            <a:r>
              <a:rPr lang="ja-JP" altLang="en-US" baseline="0"/>
              <a:t> </a:t>
            </a:r>
            <a:r>
              <a:rPr lang="en-US" altLang="ja-JP" baseline="0"/>
              <a:t>languages</a:t>
            </a:r>
            <a:r>
              <a:rPr lang="ja-JP" altLang="en-US" baseline="0"/>
              <a:t> </a:t>
            </a:r>
            <a:r>
              <a:rPr lang="en-US" altLang="ja-JP" baseline="0"/>
              <a:t>along</a:t>
            </a:r>
            <a:r>
              <a:rPr lang="ja-JP" altLang="en-US" baseline="0"/>
              <a:t> </a:t>
            </a:r>
            <a:r>
              <a:rPr lang="en-US" altLang="ja-JP" baseline="0"/>
              <a:t>n_topics</a:t>
            </a:r>
            <a:r>
              <a:rPr lang="ja-JP" altLang="en-US" baseline="0"/>
              <a:t> </a:t>
            </a:r>
            <a:r>
              <a:rPr lang="en-US" altLang="ja-JP" baseline="0"/>
              <a:t>(s1,</a:t>
            </a:r>
            <a:r>
              <a:rPr lang="ja-JP" altLang="en-US" baseline="0"/>
              <a:t> </a:t>
            </a:r>
            <a:r>
              <a:rPr lang="en-US" altLang="ja-JP" baseline="0"/>
              <a:t>pt</a:t>
            </a:r>
            <a:r>
              <a:rPr lang="ja-JP" altLang="en-US" baseline="0"/>
              <a:t> </a:t>
            </a:r>
            <a:r>
              <a:rPr lang="en-US" altLang="ja-JP" baseline="0"/>
              <a:t>=0.33;</a:t>
            </a:r>
            <a:r>
              <a:rPr lang="ja-JP" altLang="en-US" baseline="0"/>
              <a:t> </a:t>
            </a:r>
            <a:r>
              <a:rPr lang="en-US" altLang="ja-JP" baseline="0"/>
              <a:t>mgr</a:t>
            </a:r>
            <a:r>
              <a:rPr lang="ja-JP" altLang="en-US" baseline="0"/>
              <a:t> </a:t>
            </a:r>
            <a:r>
              <a:rPr lang="en-US" altLang="ja-JP" baseline="0"/>
              <a:t>=</a:t>
            </a:r>
            <a:r>
              <a:rPr lang="ja-JP" altLang="en-US" baseline="0"/>
              <a:t> </a:t>
            </a:r>
            <a:r>
              <a:rPr lang="en-US" altLang="ja-JP" baseline="0"/>
              <a:t>0.33;</a:t>
            </a:r>
            <a:r>
              <a:rPr lang="ja-JP" altLang="en-US" baseline="0"/>
              <a:t> </a:t>
            </a:r>
            <a:r>
              <a:rPr lang="en-US" altLang="ja-JP" baseline="0"/>
              <a:t>1g</a:t>
            </a:r>
            <a:r>
              <a:rPr lang="ja-JP" altLang="en-US" baseline="0"/>
              <a:t> </a:t>
            </a:r>
            <a:r>
              <a:rPr lang="en-US" altLang="ja-JP" baseline="0"/>
              <a:t>excluded)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'aNA.pt0.33'!$F$104</c:f>
              <c:strCache>
                <c:ptCount val="1"/>
                <c:pt idx="0">
                  <c:v>arabic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'aNA.pt0.33'!$G$1:$S$1</c:f>
              <c:strCache>
                <c:ptCount val="1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</c:strCache>
            </c:strRef>
          </c:cat>
          <c:val>
            <c:numRef>
              <c:f>'aNA.pt0.33'!$G$104:$S$104</c:f>
              <c:numCache>
                <c:formatCode>0.00</c:formatCode>
                <c:ptCount val="13"/>
                <c:pt idx="0">
                  <c:v>0.99742381572023009</c:v>
                </c:pt>
                <c:pt idx="1">
                  <c:v>0.9930384172893657</c:v>
                </c:pt>
                <c:pt idx="2">
                  <c:v>0.99259688460754736</c:v>
                </c:pt>
                <c:pt idx="3">
                  <c:v>0.99861085382012116</c:v>
                </c:pt>
                <c:pt idx="4">
                  <c:v>0.99573179976525739</c:v>
                </c:pt>
                <c:pt idx="5">
                  <c:v>0.98359706010804715</c:v>
                </c:pt>
                <c:pt idx="6">
                  <c:v>0.9972067039106145</c:v>
                </c:pt>
                <c:pt idx="7">
                  <c:v>0.99896480331262938</c:v>
                </c:pt>
                <c:pt idx="8">
                  <c:v>0.99663299663299654</c:v>
                </c:pt>
                <c:pt idx="9">
                  <c:v>0.98422711937618723</c:v>
                </c:pt>
                <c:pt idx="10">
                  <c:v>0.99882623286589867</c:v>
                </c:pt>
                <c:pt idx="11">
                  <c:v>0.97690891902284049</c:v>
                </c:pt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70-1346-ADFB-B1A9B6FF66F3}"/>
            </c:ext>
          </c:extLst>
        </c:ser>
        <c:ser>
          <c:idx val="2"/>
          <c:order val="1"/>
          <c:tx>
            <c:strRef>
              <c:f>'aNA.pt0.33'!$F$105</c:f>
              <c:strCache>
                <c:ptCount val="1"/>
                <c:pt idx="0">
                  <c:v>english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'aNA.pt0.33'!$G$1:$S$1</c:f>
              <c:strCache>
                <c:ptCount val="1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</c:strCache>
            </c:strRef>
          </c:cat>
          <c:val>
            <c:numRef>
              <c:f>'aNA.pt0.33'!$G$105:$S$105</c:f>
              <c:numCache>
                <c:formatCode>0.00</c:formatCode>
                <c:ptCount val="13"/>
                <c:pt idx="0">
                  <c:v>0.5864946294776564</c:v>
                </c:pt>
                <c:pt idx="1">
                  <c:v>0.46096999311274733</c:v>
                </c:pt>
                <c:pt idx="2">
                  <c:v>0.55470291043416908</c:v>
                </c:pt>
                <c:pt idx="3">
                  <c:v>0.42411055686987248</c:v>
                </c:pt>
                <c:pt idx="4">
                  <c:v>0.45245446942592449</c:v>
                </c:pt>
                <c:pt idx="5">
                  <c:v>0.45566541024258528</c:v>
                </c:pt>
                <c:pt idx="6">
                  <c:v>0.47003024624261047</c:v>
                </c:pt>
                <c:pt idx="7">
                  <c:v>0.43204582548452358</c:v>
                </c:pt>
                <c:pt idx="8">
                  <c:v>0.37776417859213068</c:v>
                </c:pt>
                <c:pt idx="9">
                  <c:v>0.28992563435997887</c:v>
                </c:pt>
                <c:pt idx="10">
                  <c:v>0.23051402844872651</c:v>
                </c:pt>
                <c:pt idx="11">
                  <c:v>0.33212349699328347</c:v>
                </c:pt>
                <c:pt idx="12">
                  <c:v>0.26455391388056831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170-1346-ADFB-B1A9B6FF66F3}"/>
            </c:ext>
          </c:extLst>
        </c:ser>
        <c:ser>
          <c:idx val="3"/>
          <c:order val="2"/>
          <c:tx>
            <c:strRef>
              <c:f>'aNA.pt0.33'!$F$106</c:f>
              <c:strCache>
                <c:ptCount val="1"/>
                <c:pt idx="0">
                  <c:v>french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'aNA.pt0.33'!$G$1:$S$1</c:f>
              <c:strCache>
                <c:ptCount val="1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</c:strCache>
            </c:strRef>
          </c:cat>
          <c:val>
            <c:numRef>
              <c:f>'aNA.pt0.33'!$G$106:$S$106</c:f>
              <c:numCache>
                <c:formatCode>0.00</c:formatCode>
                <c:ptCount val="13"/>
                <c:pt idx="0">
                  <c:v>0.54733661555677682</c:v>
                </c:pt>
                <c:pt idx="1">
                  <c:v>0.49610165754964558</c:v>
                </c:pt>
                <c:pt idx="2">
                  <c:v>0.53595958473402183</c:v>
                </c:pt>
                <c:pt idx="3">
                  <c:v>0.44402863293939415</c:v>
                </c:pt>
                <c:pt idx="4">
                  <c:v>0.44373685546636205</c:v>
                </c:pt>
                <c:pt idx="5">
                  <c:v>0.47199998583612596</c:v>
                </c:pt>
                <c:pt idx="6">
                  <c:v>0.41227468388498062</c:v>
                </c:pt>
                <c:pt idx="7">
                  <c:v>0.38470018732762384</c:v>
                </c:pt>
                <c:pt idx="8">
                  <c:v>0.42213578007147151</c:v>
                </c:pt>
                <c:pt idx="9">
                  <c:v>0.36364203454074512</c:v>
                </c:pt>
                <c:pt idx="10">
                  <c:v>0.23808431320232268</c:v>
                </c:pt>
                <c:pt idx="11">
                  <c:v>0.33549510674149657</c:v>
                </c:pt>
                <c:pt idx="12">
                  <c:v>0.31555648828970634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170-1346-ADFB-B1A9B6FF66F3}"/>
            </c:ext>
          </c:extLst>
        </c:ser>
        <c:ser>
          <c:idx val="4"/>
          <c:order val="3"/>
          <c:tx>
            <c:strRef>
              <c:f>'aNA.pt0.33'!$F$107</c:f>
              <c:strCache>
                <c:ptCount val="1"/>
                <c:pt idx="0">
                  <c:v>finnish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'aNA.pt0.33'!$G$1:$S$1</c:f>
              <c:strCache>
                <c:ptCount val="1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</c:strCache>
            </c:strRef>
          </c:cat>
          <c:val>
            <c:numRef>
              <c:f>'aNA.pt0.33'!$G$107:$S$107</c:f>
              <c:numCache>
                <c:formatCode>0.00</c:formatCode>
                <c:ptCount val="13"/>
                <c:pt idx="0">
                  <c:v>0.64163912995282335</c:v>
                </c:pt>
                <c:pt idx="1">
                  <c:v>0.68949038990412193</c:v>
                </c:pt>
                <c:pt idx="2">
                  <c:v>0.64622709750561558</c:v>
                </c:pt>
                <c:pt idx="3">
                  <c:v>0.60320632845595068</c:v>
                </c:pt>
                <c:pt idx="4">
                  <c:v>0.60155946240062663</c:v>
                </c:pt>
                <c:pt idx="5">
                  <c:v>0.53754951482698055</c:v>
                </c:pt>
                <c:pt idx="6">
                  <c:v>0.44624869966089337</c:v>
                </c:pt>
                <c:pt idx="7">
                  <c:v>0.51956563751947948</c:v>
                </c:pt>
                <c:pt idx="8">
                  <c:v>0.64311235343704143</c:v>
                </c:pt>
                <c:pt idx="9">
                  <c:v>0.57038349504397468</c:v>
                </c:pt>
                <c:pt idx="10">
                  <c:v>0.60449261966357348</c:v>
                </c:pt>
                <c:pt idx="11">
                  <c:v>0.63850780722197442</c:v>
                </c:pt>
                <c:pt idx="12">
                  <c:v>0.49838309716818313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170-1346-ADFB-B1A9B6FF66F3}"/>
            </c:ext>
          </c:extLst>
        </c:ser>
        <c:ser>
          <c:idx val="5"/>
          <c:order val="4"/>
          <c:tx>
            <c:strRef>
              <c:f>'aNA.pt0.33'!$F$108</c:f>
              <c:strCache>
                <c:ptCount val="1"/>
                <c:pt idx="0">
                  <c:v>german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'aNA.pt0.33'!$G$1:$S$1</c:f>
              <c:strCache>
                <c:ptCount val="1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</c:strCache>
            </c:strRef>
          </c:cat>
          <c:val>
            <c:numRef>
              <c:f>'aNA.pt0.33'!$G$108:$S$108</c:f>
              <c:numCache>
                <c:formatCode>0.00</c:formatCode>
                <c:ptCount val="13"/>
                <c:pt idx="0">
                  <c:v>0.69946566894979023</c:v>
                </c:pt>
                <c:pt idx="1">
                  <c:v>0.66322464014171079</c:v>
                </c:pt>
                <c:pt idx="2">
                  <c:v>0.47243473685789672</c:v>
                </c:pt>
                <c:pt idx="3">
                  <c:v>0.5177759903971052</c:v>
                </c:pt>
                <c:pt idx="4">
                  <c:v>0.54257350597721599</c:v>
                </c:pt>
                <c:pt idx="5">
                  <c:v>0.56371312991847067</c:v>
                </c:pt>
                <c:pt idx="6">
                  <c:v>0.48074427849028961</c:v>
                </c:pt>
                <c:pt idx="7">
                  <c:v>0.52947080804837321</c:v>
                </c:pt>
                <c:pt idx="8">
                  <c:v>0.51851400658161384</c:v>
                </c:pt>
                <c:pt idx="9">
                  <c:v>0.62358459417885659</c:v>
                </c:pt>
                <c:pt idx="10">
                  <c:v>0.61056809359524356</c:v>
                </c:pt>
                <c:pt idx="11">
                  <c:v>0.67796148786406107</c:v>
                </c:pt>
                <c:pt idx="12">
                  <c:v>0.35668903400390245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170-1346-ADFB-B1A9B6FF66F3}"/>
            </c:ext>
          </c:extLst>
        </c:ser>
        <c:ser>
          <c:idx val="6"/>
          <c:order val="5"/>
          <c:tx>
            <c:strRef>
              <c:f>'aNA.pt0.33'!$F$109</c:f>
              <c:strCache>
                <c:ptCount val="1"/>
                <c:pt idx="0">
                  <c:v>greek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'aNA.pt0.33'!$G$1:$S$1</c:f>
              <c:strCache>
                <c:ptCount val="1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</c:strCache>
            </c:strRef>
          </c:cat>
          <c:val>
            <c:numRef>
              <c:f>'aNA.pt0.33'!$G$109:$S$109</c:f>
              <c:numCache>
                <c:formatCode>0.00</c:formatCode>
                <c:ptCount val="13"/>
                <c:pt idx="0">
                  <c:v>0.99436013068374696</c:v>
                </c:pt>
                <c:pt idx="1">
                  <c:v>1</c:v>
                </c:pt>
                <c:pt idx="2">
                  <c:v>1</c:v>
                </c:pt>
                <c:pt idx="3">
                  <c:v>0.97071959317319101</c:v>
                </c:pt>
                <c:pt idx="4">
                  <c:v>1</c:v>
                </c:pt>
                <c:pt idx="5">
                  <c:v>0.98176310622073082</c:v>
                </c:pt>
                <c:pt idx="6">
                  <c:v>0.97397951295121976</c:v>
                </c:pt>
                <c:pt idx="7">
                  <c:v>0.9528495931753943</c:v>
                </c:pt>
                <c:pt idx="8">
                  <c:v>0.9857499007309739</c:v>
                </c:pt>
                <c:pt idx="9">
                  <c:v>0.98788944854427874</c:v>
                </c:pt>
                <c:pt idx="10">
                  <c:v>1</c:v>
                </c:pt>
                <c:pt idx="11">
                  <c:v>0.97116920113019256</c:v>
                </c:pt>
                <c:pt idx="12">
                  <c:v>0.89593594568239443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170-1346-ADFB-B1A9B6FF66F3}"/>
            </c:ext>
          </c:extLst>
        </c:ser>
        <c:ser>
          <c:idx val="7"/>
          <c:order val="6"/>
          <c:tx>
            <c:strRef>
              <c:f>'aNA.pt0.33'!$F$110</c:f>
              <c:strCache>
                <c:ptCount val="1"/>
                <c:pt idx="0">
                  <c:v>hebrew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'aNA.pt0.33'!$G$1:$S$1</c:f>
              <c:strCache>
                <c:ptCount val="1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</c:strCache>
            </c:strRef>
          </c:cat>
          <c:val>
            <c:numRef>
              <c:f>'aNA.pt0.33'!$G$110:$S$110</c:f>
              <c:numCache>
                <c:formatCode>0.00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0.99422175371455701</c:v>
                </c:pt>
                <c:pt idx="5">
                  <c:v>0.99532799881126488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0.99201494936998336</c:v>
                </c:pt>
                <c:pt idx="11">
                  <c:v>0.98959131708814818</c:v>
                </c:pt>
                <c:pt idx="12">
                  <c:v>0.99171270718232041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170-1346-ADFB-B1A9B6FF66F3}"/>
            </c:ext>
          </c:extLst>
        </c:ser>
        <c:ser>
          <c:idx val="8"/>
          <c:order val="7"/>
          <c:tx>
            <c:strRef>
              <c:f>'aNA.pt0.33'!$F$111</c:f>
              <c:strCache>
                <c:ptCount val="1"/>
                <c:pt idx="0">
                  <c:v>icelandic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'aNA.pt0.33'!$G$1:$S$1</c:f>
              <c:strCache>
                <c:ptCount val="1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</c:strCache>
            </c:strRef>
          </c:cat>
          <c:val>
            <c:numRef>
              <c:f>'aNA.pt0.33'!$G$111:$S$111</c:f>
              <c:numCache>
                <c:formatCode>0.00</c:formatCode>
                <c:ptCount val="13"/>
                <c:pt idx="0">
                  <c:v>0.82232327536660998</c:v>
                </c:pt>
                <c:pt idx="1">
                  <c:v>0.73632537279090904</c:v>
                </c:pt>
                <c:pt idx="2">
                  <c:v>0.73493134360856549</c:v>
                </c:pt>
                <c:pt idx="3">
                  <c:v>0.77857576816778662</c:v>
                </c:pt>
                <c:pt idx="4">
                  <c:v>0.65895157556086559</c:v>
                </c:pt>
                <c:pt idx="5">
                  <c:v>0.56882235284577043</c:v>
                </c:pt>
                <c:pt idx="6">
                  <c:v>0.62295685583600846</c:v>
                </c:pt>
                <c:pt idx="7">
                  <c:v>0.50508647528112016</c:v>
                </c:pt>
                <c:pt idx="8">
                  <c:v>0.55660444806107834</c:v>
                </c:pt>
                <c:pt idx="9">
                  <c:v>0.80509793789663575</c:v>
                </c:pt>
                <c:pt idx="10">
                  <c:v>0.72506563687373848</c:v>
                </c:pt>
                <c:pt idx="11">
                  <c:v>0.58621220357073989</c:v>
                </c:pt>
                <c:pt idx="12">
                  <c:v>0.71323737328619019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170-1346-ADFB-B1A9B6FF66F3}"/>
            </c:ext>
          </c:extLst>
        </c:ser>
        <c:ser>
          <c:idx val="9"/>
          <c:order val="8"/>
          <c:tx>
            <c:strRef>
              <c:f>'aNA.pt0.33'!$F$112</c:f>
              <c:strCache>
                <c:ptCount val="1"/>
                <c:pt idx="0">
                  <c:v>russian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'aNA.pt0.33'!$G$1:$S$1</c:f>
              <c:strCache>
                <c:ptCount val="1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</c:strCache>
            </c:strRef>
          </c:cat>
          <c:val>
            <c:numRef>
              <c:f>'aNA.pt0.33'!$G$112:$S$112</c:f>
              <c:numCache>
                <c:formatCode>0.00</c:formatCode>
                <c:ptCount val="13"/>
                <c:pt idx="0">
                  <c:v>0.98952324478739218</c:v>
                </c:pt>
                <c:pt idx="1">
                  <c:v>0.98896338604453249</c:v>
                </c:pt>
                <c:pt idx="2">
                  <c:v>0.98248841747666849</c:v>
                </c:pt>
                <c:pt idx="3">
                  <c:v>0.9845422741440083</c:v>
                </c:pt>
                <c:pt idx="4">
                  <c:v>0.96527063313384387</c:v>
                </c:pt>
                <c:pt idx="5">
                  <c:v>0.96194836061591527</c:v>
                </c:pt>
                <c:pt idx="6">
                  <c:v>0.9634353848714422</c:v>
                </c:pt>
                <c:pt idx="7">
                  <c:v>0.92578564228373139</c:v>
                </c:pt>
                <c:pt idx="8">
                  <c:v>0.95661987245050095</c:v>
                </c:pt>
                <c:pt idx="9">
                  <c:v>0.95587723681847603</c:v>
                </c:pt>
                <c:pt idx="10">
                  <c:v>0.971239312573834</c:v>
                </c:pt>
                <c:pt idx="11">
                  <c:v>0.96660657729715072</c:v>
                </c:pt>
                <c:pt idx="12">
                  <c:v>0.9590329952404143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170-1346-ADFB-B1A9B6FF66F3}"/>
            </c:ext>
          </c:extLst>
        </c:ser>
        <c:ser>
          <c:idx val="0"/>
          <c:order val="9"/>
          <c:tx>
            <c:strRef>
              <c:f>'aNA.pt0.33'!$F$113</c:f>
              <c:strCache>
                <c:ptCount val="1"/>
                <c:pt idx="0">
                  <c:v>spanish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'aNA.pt0.33'!$G$113:$S$113</c:f>
              <c:numCache>
                <c:formatCode>0.00</c:formatCode>
                <c:ptCount val="13"/>
                <c:pt idx="0">
                  <c:v>0.63778853808021629</c:v>
                </c:pt>
                <c:pt idx="1">
                  <c:v>0.57869765356855341</c:v>
                </c:pt>
                <c:pt idx="2">
                  <c:v>0.66830350927179438</c:v>
                </c:pt>
                <c:pt idx="3">
                  <c:v>0.55920384275936819</c:v>
                </c:pt>
                <c:pt idx="4">
                  <c:v>0.44189426175703755</c:v>
                </c:pt>
                <c:pt idx="5">
                  <c:v>0.58381638933186208</c:v>
                </c:pt>
                <c:pt idx="6">
                  <c:v>0.69480168513508767</c:v>
                </c:pt>
                <c:pt idx="7">
                  <c:v>0.58236112927688288</c:v>
                </c:pt>
                <c:pt idx="8">
                  <c:v>0.4890870260775057</c:v>
                </c:pt>
                <c:pt idx="9">
                  <c:v>0.42238761172539946</c:v>
                </c:pt>
                <c:pt idx="10">
                  <c:v>0.48333017186181876</c:v>
                </c:pt>
                <c:pt idx="11">
                  <c:v>0.32425396503252668</c:v>
                </c:pt>
                <c:pt idx="12">
                  <c:v>0.34936094068652329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06-094B-BA3A-D3A5622B9864}"/>
            </c:ext>
          </c:extLst>
        </c:ser>
        <c:ser>
          <c:idx val="11"/>
          <c:order val="10"/>
          <c:tx>
            <c:strRef>
              <c:f>'aNA.pt0.33'!$F$114</c:f>
              <c:strCache>
                <c:ptCount val="1"/>
                <c:pt idx="0">
                  <c:v>swahili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'aNA.pt0.33'!$G$114:$S$114</c:f>
              <c:numCache>
                <c:formatCode>0.00</c:formatCode>
                <c:ptCount val="13"/>
                <c:pt idx="0">
                  <c:v>0.71339791927323104</c:v>
                </c:pt>
                <c:pt idx="1">
                  <c:v>0.6348760979382112</c:v>
                </c:pt>
                <c:pt idx="2">
                  <c:v>0.61084779203757278</c:v>
                </c:pt>
                <c:pt idx="3">
                  <c:v>0.59855679151869468</c:v>
                </c:pt>
                <c:pt idx="4">
                  <c:v>0.60093884074383441</c:v>
                </c:pt>
                <c:pt idx="5">
                  <c:v>0.59669753719137753</c:v>
                </c:pt>
                <c:pt idx="6">
                  <c:v>0.46046279753748903</c:v>
                </c:pt>
                <c:pt idx="7">
                  <c:v>0.46201191076662901</c:v>
                </c:pt>
                <c:pt idx="8">
                  <c:v>0.47500909520656337</c:v>
                </c:pt>
                <c:pt idx="9">
                  <c:v>0.57193076844951862</c:v>
                </c:pt>
                <c:pt idx="10">
                  <c:v>0.54622552082390086</c:v>
                </c:pt>
                <c:pt idx="11">
                  <c:v>0.28509067867030213</c:v>
                </c:pt>
                <c:pt idx="12">
                  <c:v>0.56402656629871839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06-094B-BA3A-D3A5622B9864}"/>
            </c:ext>
          </c:extLst>
        </c:ser>
        <c:ser>
          <c:idx val="10"/>
          <c:order val="11"/>
          <c:tx>
            <c:strRef>
              <c:f>'aNA.pt0.33'!$F$115</c:f>
              <c:strCache>
                <c:ptCount val="1"/>
                <c:pt idx="0">
                  <c:v>turkish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'aNA.pt0.33'!$G$1:$S$1</c:f>
              <c:strCache>
                <c:ptCount val="1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</c:strCache>
            </c:strRef>
          </c:cat>
          <c:val>
            <c:numRef>
              <c:f>'aNA.pt0.33'!$G$115:$S$115</c:f>
              <c:numCache>
                <c:formatCode>0.00</c:formatCode>
                <c:ptCount val="13"/>
                <c:pt idx="0">
                  <c:v>0.66982942463740047</c:v>
                </c:pt>
                <c:pt idx="1">
                  <c:v>0.66803591640070703</c:v>
                </c:pt>
                <c:pt idx="2">
                  <c:v>0.66434324682795542</c:v>
                </c:pt>
                <c:pt idx="3">
                  <c:v>0.52388510277605382</c:v>
                </c:pt>
                <c:pt idx="4">
                  <c:v>0.5750368471865297</c:v>
                </c:pt>
                <c:pt idx="5">
                  <c:v>0.5463585341988233</c:v>
                </c:pt>
                <c:pt idx="6">
                  <c:v>0.64630087456951313</c:v>
                </c:pt>
                <c:pt idx="7">
                  <c:v>0.6238183820783082</c:v>
                </c:pt>
                <c:pt idx="8">
                  <c:v>0.63335351657054895</c:v>
                </c:pt>
                <c:pt idx="9">
                  <c:v>0.72852782768375901</c:v>
                </c:pt>
                <c:pt idx="10">
                  <c:v>0.50567210787919625</c:v>
                </c:pt>
                <c:pt idx="11">
                  <c:v>0.61026230315352903</c:v>
                </c:pt>
                <c:pt idx="12">
                  <c:v>0.75785966653499715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170-1346-ADFB-B1A9B6FF66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5005344"/>
        <c:axId val="2135655616"/>
      </c:lineChart>
      <c:catAx>
        <c:axId val="2135005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2135655616"/>
        <c:crosses val="autoZero"/>
        <c:auto val="1"/>
        <c:lblAlgn val="ctr"/>
        <c:lblOffset val="100"/>
        <c:noMultiLvlLbl val="0"/>
      </c:catAx>
      <c:valAx>
        <c:axId val="213565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JP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2135005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895350</xdr:colOff>
      <xdr:row>114</xdr:row>
      <xdr:rowOff>342898</xdr:rowOff>
    </xdr:from>
    <xdr:to>
      <xdr:col>24</xdr:col>
      <xdr:colOff>897350</xdr:colOff>
      <xdr:row>123</xdr:row>
      <xdr:rowOff>153898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DE0F10-1F44-87D6-9469-8DE2AB2D63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863600</xdr:colOff>
      <xdr:row>102</xdr:row>
      <xdr:rowOff>184147</xdr:rowOff>
    </xdr:from>
    <xdr:to>
      <xdr:col>25</xdr:col>
      <xdr:colOff>866100</xdr:colOff>
      <xdr:row>111</xdr:row>
      <xdr:rowOff>355147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E8937A4-89BF-0CEC-A1FB-25B7562797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FBF5C2-C562-4A4E-B95B-091D1721BBE3}" name="Table1" displayName="Table1" ref="A1:T85" totalsRowShown="0">
  <autoFilter ref="A1:T85" xr:uid="{CFFBF5C2-C562-4A4E-B95B-091D1721BBE3}"/>
  <tableColumns count="20">
    <tableColumn id="1" xr3:uid="{B965C989-233C-BA49-B251-382897A2BABE}" name="lang">
      <calculatedColumnFormula>_xlfn.LET(_xlpm.c,$F2,_xlfn.TEXTBEFORE(_xlpm.c,"-"))</calculatedColumnFormula>
    </tableColumn>
    <tableColumn id="13" xr3:uid="{F3AD09D6-DEE4-004B-9353-31CAC865BD48}" name="1g" dataDxfId="17">
      <calculatedColumnFormula>_xlfn.LET(_xlpm.c,_xlfn.SINGLE(Table1[condition]),IF(RIGHT(_xlpm.c,2)="1g",1,0))</calculatedColumnFormula>
    </tableColumn>
    <tableColumn id="18" xr3:uid="{6A766CD9-CC08-B048-BDB2-C5B6C8FBAC9E}" name="xsk" dataDxfId="16">
      <calculatedColumnFormula>_xlfn.LET(_xlpm.c,_xlfn.SINGLE(Table1[condition]),_xlpm.k,CONCATENATE("*","-xsk","*"),IF(COUNTIF(_xlpm.c,_xlpm.k)&gt;0,1,0))</calculatedColumnFormula>
    </tableColumn>
    <tableColumn id="19" xr3:uid="{70CABA00-98B5-654F-8AF7-EF28D5D5FFAE}" name="sk" dataDxfId="15">
      <calculatedColumnFormula>_xlfn.LET(_xlpm.c,_xlfn.SINGLE(Table1[condition]),_xlpm.k,CONCATENATE("*","-sk","*"),IF(COUNTIF(_xlpm.c,_xlpm.k)&gt;0,1,0))</calculatedColumnFormula>
    </tableColumn>
    <tableColumn id="20" xr3:uid="{1055BC00-75EE-C949-95C7-47A8186D731F}" name="norm" dataDxfId="14">
      <calculatedColumnFormula>IF(AND(Table1[[#This Row],[xsk]]=1,Table1[[#This Row],[sk]]=1),0,1)</calculatedColumnFormula>
    </tableColumn>
    <tableColumn id="12" xr3:uid="{67CADDAA-63EE-5F45-989C-A240EB19AD7C}" name="condition"/>
    <tableColumn id="2" xr3:uid="{E49E0B59-37B0-284D-BE77-40B5319AB755}" name="3" dataDxfId="13"/>
    <tableColumn id="3" xr3:uid="{12F044D8-6B04-8146-9059-0DD6BE8C153F}" name="4" dataDxfId="12"/>
    <tableColumn id="4" xr3:uid="{28314014-34F8-EF4B-AF7B-FC88FF8A6DA9}" name="5" dataDxfId="11"/>
    <tableColumn id="5" xr3:uid="{0BD4A703-F893-784A-B65E-DB2D1E798103}" name="6" dataDxfId="10"/>
    <tableColumn id="6" xr3:uid="{50D9F421-0114-CF41-9767-B830E35DC34D}" name="7" dataDxfId="9"/>
    <tableColumn id="7" xr3:uid="{E0DD0445-0346-1E47-9A2C-83486C4A03C4}" name="8" dataDxfId="8"/>
    <tableColumn id="8" xr3:uid="{5556115A-B62B-C140-944D-BADBB061EBB5}" name="9" dataDxfId="7"/>
    <tableColumn id="9" xr3:uid="{1B92E407-F94E-544F-B76D-B160EB3BC0AB}" name="10" dataDxfId="6"/>
    <tableColumn id="15" xr3:uid="{CA9D90BA-009C-464D-BE92-0011909FDA2B}" name="11" dataDxfId="5"/>
    <tableColumn id="10" xr3:uid="{6871B4E2-64FC-EF4F-91D7-DFBFD9EFB3C2}" name="12" dataDxfId="4"/>
    <tableColumn id="16" xr3:uid="{940501F9-5D71-6942-A362-A269C3BC407F}" name="13" dataDxfId="3"/>
    <tableColumn id="17" xr3:uid="{50A93E03-F3FA-1141-B60E-E238694C2C39}" name="14" dataDxfId="2"/>
    <tableColumn id="11" xr3:uid="{059EBDD8-5269-D041-AFDD-56AB88BB8F27}" name="15" dataDxfId="1"/>
    <tableColumn id="14" xr3:uid="{C3D92A6B-91A7-7248-A813-2D0B01CBD1F8}" name="average" dataDxfId="0">
      <calculatedColumnFormula>_xlfn.LET(_xlpm.d,$G2:$S2,AVERAGE(_xlpm.d))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47F66-EE82-C44C-A791-091623582AC9}">
  <dimension ref="A1:T121"/>
  <sheetViews>
    <sheetView tabSelected="1" workbookViewId="0">
      <pane xSplit="9080" ySplit="3520" topLeftCell="F100" activePane="topRight"/>
      <selection activeCell="F2" sqref="F2:F85"/>
      <selection pane="topRight" activeCell="Q2" sqref="Q2:Q85"/>
      <selection pane="bottomLeft" activeCell="A115" sqref="A115"/>
      <selection pane="bottomRight" activeCell="H107" sqref="H107"/>
    </sheetView>
  </sheetViews>
  <sheetFormatPr baseColWidth="10" defaultRowHeight="30" customHeight="1"/>
  <cols>
    <col min="1" max="1" width="9.25" customWidth="1"/>
    <col min="2" max="5" width="7.5" customWidth="1"/>
    <col min="6" max="6" width="14.25" customWidth="1"/>
    <col min="7" max="20" width="5.625" customWidth="1"/>
  </cols>
  <sheetData>
    <row r="1" spans="1:20" ht="30" customHeight="1">
      <c r="A1" t="s">
        <v>36</v>
      </c>
      <c r="B1" t="s">
        <v>43</v>
      </c>
      <c r="C1" t="s">
        <v>49</v>
      </c>
      <c r="D1" t="s">
        <v>50</v>
      </c>
      <c r="E1" t="s">
        <v>51</v>
      </c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46</v>
      </c>
      <c r="P1" t="s">
        <v>9</v>
      </c>
      <c r="Q1" t="s">
        <v>47</v>
      </c>
      <c r="R1" t="s">
        <v>48</v>
      </c>
      <c r="S1" t="s">
        <v>10</v>
      </c>
      <c r="T1" t="s">
        <v>45</v>
      </c>
    </row>
    <row r="2" spans="1:20" ht="30" customHeight="1">
      <c r="A2" t="str">
        <f>_xlfn.LET(_xlpm.c,$F2,_xlfn.TEXTBEFORE(_xlpm.c,"-"))</f>
        <v>arabic</v>
      </c>
      <c r="B2">
        <f>_xlfn.LET(_xlpm.c,_xlfn.SINGLE(Table1[condition]),IF(RIGHT(_xlpm.c,2)="1g",1,0))</f>
        <v>1</v>
      </c>
      <c r="C2">
        <f>_xlfn.LET(_xlpm.c,_xlfn.SINGLE(Table1[condition]),_xlpm.k,CONCATENATE("*","-xsk","*"),IF(COUNTIF(_xlpm.c,_xlpm.k)&gt;0,1,0))</f>
        <v>0</v>
      </c>
      <c r="D2">
        <f>_xlfn.LET(_xlpm.c,_xlfn.SINGLE(Table1[condition]),_xlpm.k,CONCATENATE("*","-sk","*"),IF(COUNTIF(_xlpm.c,_xlpm.k)&gt;0,1,0))</f>
        <v>0</v>
      </c>
      <c r="E2">
        <f>IF(AND(Table1[[#This Row],[xsk]]=1,Table1[[#This Row],[sk]]=1),0,1)</f>
        <v>1</v>
      </c>
      <c r="F2" t="s">
        <v>11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>
        <v>1</v>
      </c>
      <c r="Q2" s="1">
        <v>1</v>
      </c>
      <c r="R2" s="1">
        <v>1</v>
      </c>
      <c r="S2" s="1">
        <v>1</v>
      </c>
      <c r="T2" s="1">
        <f t="shared" ref="T2:T85" si="0">_xlfn.LET(_xlpm.d,$G2:$S2,AVERAGE(_xlpm.d))</f>
        <v>1</v>
      </c>
    </row>
    <row r="3" spans="1:20" ht="30" customHeight="1">
      <c r="A3" t="str">
        <f t="shared" ref="A3:A70" si="1">_xlfn.LET(_xlpm.c,$F3,_xlfn.TEXTBEFORE(_xlpm.c,"-"))</f>
        <v>arabic</v>
      </c>
      <c r="B3">
        <f>_xlfn.LET(_xlpm.c,_xlfn.SINGLE(Table1[condition]),IF(RIGHT(_xlpm.c,2)="1g",1,0))</f>
        <v>0</v>
      </c>
      <c r="C3">
        <f>_xlfn.LET(_xlpm.c,_xlfn.SINGLE(Table1[condition]),_xlpm.k,CONCATENATE("*","-xsk","*"),IF(COUNTIF(_xlpm.c,_xlpm.k)&gt;0,1,0))</f>
        <v>0</v>
      </c>
      <c r="D3">
        <f>_xlfn.LET(_xlpm.c,_xlfn.SINGLE(Table1[condition]),_xlpm.k,CONCATENATE("*","-sk","*"),IF(COUNTIF(_xlpm.c,_xlpm.k)&gt;0,1,0))</f>
        <v>0</v>
      </c>
      <c r="E3">
        <f>IF(AND(Table1[[#This Row],[xsk]]=1,Table1[[#This Row],[sk]]=1),0,1)</f>
        <v>1</v>
      </c>
      <c r="F3" t="s">
        <v>12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v>1</v>
      </c>
      <c r="R3" s="1">
        <v>1</v>
      </c>
      <c r="S3" s="1">
        <v>1</v>
      </c>
      <c r="T3" s="1">
        <f t="shared" ref="T3:T70" si="2">_xlfn.LET(_xlpm.d,$G3:$S3,AVERAGE(_xlpm.d))</f>
        <v>1</v>
      </c>
    </row>
    <row r="4" spans="1:20" ht="30" customHeight="1">
      <c r="A4" t="str">
        <f t="shared" ref="A4:A39" si="3">_xlfn.LET(_xlpm.c,$F4,_xlfn.TEXTBEFORE(_xlpm.c,"-"))</f>
        <v>arabic</v>
      </c>
      <c r="B4">
        <f>_xlfn.LET(_xlpm.c,_xlfn.SINGLE(Table1[condition]),IF(RIGHT(_xlpm.c,2)="1g",1,0))</f>
        <v>0</v>
      </c>
      <c r="C4">
        <f>_xlfn.LET(_xlpm.c,_xlfn.SINGLE(Table1[condition]),_xlpm.k,CONCATENATE("*","-xsk","*"),IF(COUNTIF(_xlpm.c,_xlpm.k)&gt;0,1,0))</f>
        <v>0</v>
      </c>
      <c r="D4">
        <f>_xlfn.LET(_xlpm.c,_xlfn.SINGLE(Table1[condition]),_xlpm.k,CONCATENATE("*","-sk","*"),IF(COUNTIF(_xlpm.c,_xlpm.k)&gt;0,1,0))</f>
        <v>0</v>
      </c>
      <c r="E4">
        <f>IF(AND(Table1[[#This Row],[xsk]]=1,Table1[[#This Row],[sk]]=1),0,1)</f>
        <v>1</v>
      </c>
      <c r="F4" t="s">
        <v>13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f t="shared" ref="T4:T39" si="4">_xlfn.LET(_xlpm.d,$G4:$S4,AVERAGE(_xlpm.d))</f>
        <v>1</v>
      </c>
    </row>
    <row r="5" spans="1:20" ht="30" customHeight="1">
      <c r="A5" t="str">
        <f t="shared" si="3"/>
        <v>arabic</v>
      </c>
      <c r="B5">
        <f>_xlfn.LET(_xlpm.c,_xlfn.SINGLE(Table1[condition]),IF(RIGHT(_xlpm.c,2)="1g",1,0))</f>
        <v>0</v>
      </c>
      <c r="C5">
        <f>_xlfn.LET(_xlpm.c,_xlfn.SINGLE(Table1[condition]),_xlpm.k,CONCATENATE("*","-xsk","*"),IF(COUNTIF(_xlpm.c,_xlpm.k)&gt;0,1,0))</f>
        <v>0</v>
      </c>
      <c r="D5">
        <f>_xlfn.LET(_xlpm.c,_xlfn.SINGLE(Table1[condition]),_xlpm.k,CONCATENATE("*","-sk","*"),IF(COUNTIF(_xlpm.c,_xlpm.k)&gt;0,1,0))</f>
        <v>1</v>
      </c>
      <c r="E5">
        <f>IF(AND(Table1[[#This Row],[xsk]]=1,Table1[[#This Row],[sk]]=1),0,1)</f>
        <v>1</v>
      </c>
      <c r="F5" t="s">
        <v>14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0.95105691403022596</v>
      </c>
      <c r="M5" s="1">
        <v>1</v>
      </c>
      <c r="N5" s="1">
        <v>1</v>
      </c>
      <c r="O5" s="1">
        <v>0.979797979797979</v>
      </c>
      <c r="P5" s="1">
        <v>0.929172240066647</v>
      </c>
      <c r="Q5" s="1">
        <v>1</v>
      </c>
      <c r="R5" s="1">
        <v>0.99603143354521195</v>
      </c>
      <c r="S5" s="1">
        <v>1</v>
      </c>
      <c r="T5" s="1">
        <f t="shared" si="4"/>
        <v>0.98892758211077414</v>
      </c>
    </row>
    <row r="6" spans="1:20" ht="30" customHeight="1">
      <c r="A6" t="str">
        <f t="shared" si="3"/>
        <v>arabic</v>
      </c>
      <c r="B6">
        <f>_xlfn.LET(_xlpm.c,_xlfn.SINGLE(Table1[condition]),IF(RIGHT(_xlpm.c,2)="1g",1,0))</f>
        <v>0</v>
      </c>
      <c r="C6">
        <f>_xlfn.LET(_xlpm.c,_xlfn.SINGLE(Table1[condition]),_xlpm.k,CONCATENATE("*","-xsk","*"),IF(COUNTIF(_xlpm.c,_xlpm.k)&gt;0,1,0))</f>
        <v>0</v>
      </c>
      <c r="D6">
        <f>_xlfn.LET(_xlpm.c,_xlfn.SINGLE(Table1[condition]),_xlpm.k,CONCATENATE("*","-sk","*"),IF(COUNTIF(_xlpm.c,_xlpm.k)&gt;0,1,0))</f>
        <v>1</v>
      </c>
      <c r="E6">
        <f>IF(AND(Table1[[#This Row],[xsk]]=1,Table1[[#This Row],[sk]]=1),0,1)</f>
        <v>1</v>
      </c>
      <c r="F6" t="s">
        <v>15</v>
      </c>
      <c r="G6" s="1">
        <v>0.98898968210386295</v>
      </c>
      <c r="H6" s="1">
        <v>0.99319223518702304</v>
      </c>
      <c r="I6" s="1">
        <v>0.98382174382882703</v>
      </c>
      <c r="J6" s="1">
        <v>1</v>
      </c>
      <c r="K6" s="1">
        <v>0.99669957410101995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f t="shared" si="4"/>
        <v>0.99713101809390259</v>
      </c>
    </row>
    <row r="7" spans="1:20" ht="30" customHeight="1">
      <c r="A7" t="str">
        <f t="shared" si="3"/>
        <v>arabic</v>
      </c>
      <c r="B7">
        <f>_xlfn.LET(_xlpm.c,_xlfn.SINGLE(Table1[condition]),IF(RIGHT(_xlpm.c,2)="1g",1,0))</f>
        <v>0</v>
      </c>
      <c r="C7">
        <f>_xlfn.LET(_xlpm.c,_xlfn.SINGLE(Table1[condition]),_xlpm.k,CONCATENATE("*","-xsk","*"),IF(COUNTIF(_xlpm.c,_xlpm.k)&gt;0,1,0))</f>
        <v>1</v>
      </c>
      <c r="D7">
        <f>_xlfn.LET(_xlpm.c,_xlfn.SINGLE(Table1[condition]),_xlpm.k,CONCATENATE("*","-sk","*"),IF(COUNTIF(_xlpm.c,_xlpm.k)&gt;0,1,0))</f>
        <v>0</v>
      </c>
      <c r="E7">
        <f>IF(AND(Table1[[#This Row],[xsk]]=1,Table1[[#This Row],[sk]]=1),0,1)</f>
        <v>1</v>
      </c>
      <c r="F7" t="s">
        <v>52</v>
      </c>
      <c r="G7" s="1">
        <v>1</v>
      </c>
      <c r="H7" s="1">
        <v>1</v>
      </c>
      <c r="I7" s="1">
        <v>1</v>
      </c>
      <c r="J7" s="1">
        <v>1</v>
      </c>
      <c r="K7" s="1">
        <v>0.97769122449052404</v>
      </c>
      <c r="L7" s="1">
        <v>0.95339912848577202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f t="shared" si="4"/>
        <v>0.99469925792125358</v>
      </c>
    </row>
    <row r="8" spans="1:20" ht="30" customHeight="1">
      <c r="A8" t="str">
        <f t="shared" si="3"/>
        <v>arabic</v>
      </c>
      <c r="B8">
        <f>_xlfn.LET(_xlpm.c,_xlfn.SINGLE(Table1[condition]),IF(RIGHT(_xlpm.c,2)="1g",1,0))</f>
        <v>0</v>
      </c>
      <c r="C8">
        <f>_xlfn.LET(_xlpm.c,_xlfn.SINGLE(Table1[condition]),_xlpm.k,CONCATENATE("*","-xsk","*"),IF(COUNTIF(_xlpm.c,_xlpm.k)&gt;0,1,0))</f>
        <v>1</v>
      </c>
      <c r="D8">
        <f>_xlfn.LET(_xlpm.c,_xlfn.SINGLE(Table1[condition]),_xlpm.k,CONCATENATE("*","-sk","*"),IF(COUNTIF(_xlpm.c,_xlpm.k)&gt;0,1,0))</f>
        <v>0</v>
      </c>
      <c r="E8">
        <f>IF(AND(Table1[[#This Row],[xsk]]=1,Table1[[#This Row],[sk]]=1),0,1)</f>
        <v>1</v>
      </c>
      <c r="F8" t="s">
        <v>53</v>
      </c>
      <c r="G8" s="1">
        <v>0.99555321221751703</v>
      </c>
      <c r="H8" s="1">
        <v>0.96503826854917096</v>
      </c>
      <c r="I8" s="1">
        <v>0.97175956381645701</v>
      </c>
      <c r="J8" s="1">
        <v>0.99166512292072695</v>
      </c>
      <c r="K8" s="1">
        <v>1</v>
      </c>
      <c r="L8" s="1">
        <v>0.99712631813228503</v>
      </c>
      <c r="M8" s="1">
        <v>0.983240223463687</v>
      </c>
      <c r="N8" s="1">
        <v>0.99378881987577605</v>
      </c>
      <c r="O8" s="1">
        <v>1</v>
      </c>
      <c r="P8" s="1">
        <v>0.97619047619047605</v>
      </c>
      <c r="Q8" s="1">
        <v>0.992957397195392</v>
      </c>
      <c r="R8" s="1">
        <v>0.86542208059183101</v>
      </c>
      <c r="S8" s="1">
        <v>1</v>
      </c>
      <c r="T8" s="1">
        <f t="shared" si="4"/>
        <v>0.9794416525348707</v>
      </c>
    </row>
    <row r="9" spans="1:20" ht="30" customHeight="1">
      <c r="A9" t="str">
        <f t="shared" si="3"/>
        <v>english</v>
      </c>
      <c r="B9">
        <f>_xlfn.LET(_xlpm.c,_xlfn.SINGLE(Table1[condition]),IF(RIGHT(_xlpm.c,2)="1g",1,0))</f>
        <v>1</v>
      </c>
      <c r="C9">
        <f>_xlfn.LET(_xlpm.c,_xlfn.SINGLE(Table1[condition]),_xlpm.k,CONCATENATE("*","-xsk","*"),IF(COUNTIF(_xlpm.c,_xlpm.k)&gt;0,1,0))</f>
        <v>0</v>
      </c>
      <c r="D9">
        <f>_xlfn.LET(_xlpm.c,_xlfn.SINGLE(Table1[condition]),_xlpm.k,CONCATENATE("*","-sk","*"),IF(COUNTIF(_xlpm.c,_xlpm.k)&gt;0,1,0))</f>
        <v>0</v>
      </c>
      <c r="E9">
        <f>IF(AND(Table1[[#This Row],[xsk]]=1,Table1[[#This Row],[sk]]=1),0,1)</f>
        <v>1</v>
      </c>
      <c r="F9" t="s">
        <v>16</v>
      </c>
      <c r="G9" s="1">
        <v>0.65997611869877904</v>
      </c>
      <c r="H9" s="1">
        <v>0.703356065235067</v>
      </c>
      <c r="I9" s="1">
        <v>0.45290417094977597</v>
      </c>
      <c r="J9" s="1">
        <v>0.462097361377037</v>
      </c>
      <c r="K9" s="1">
        <v>0.341769415343324</v>
      </c>
      <c r="L9" s="1">
        <v>0.436692634772057</v>
      </c>
      <c r="M9" s="1">
        <v>0.28077431597038999</v>
      </c>
      <c r="N9" s="1">
        <v>0</v>
      </c>
      <c r="O9" s="1">
        <v>0</v>
      </c>
      <c r="P9" s="1">
        <v>0.36342192826363401</v>
      </c>
      <c r="Q9" s="1">
        <v>0</v>
      </c>
      <c r="R9" s="1">
        <v>0.417635340942486</v>
      </c>
      <c r="S9" s="1">
        <v>0</v>
      </c>
      <c r="T9" s="1">
        <f t="shared" si="4"/>
        <v>0.31681748858096542</v>
      </c>
    </row>
    <row r="10" spans="1:20" ht="30" customHeight="1">
      <c r="A10" t="str">
        <f t="shared" si="3"/>
        <v>english</v>
      </c>
      <c r="B10">
        <f>_xlfn.LET(_xlpm.c,_xlfn.SINGLE(Table1[condition]),IF(RIGHT(_xlpm.c,2)="1g",1,0))</f>
        <v>0</v>
      </c>
      <c r="C10">
        <f>_xlfn.LET(_xlpm.c,_xlfn.SINGLE(Table1[condition]),_xlpm.k,CONCATENATE("*","-xsk","*"),IF(COUNTIF(_xlpm.c,_xlpm.k)&gt;0,1,0))</f>
        <v>0</v>
      </c>
      <c r="D10">
        <f>_xlfn.LET(_xlpm.c,_xlfn.SINGLE(Table1[condition]),_xlpm.k,CONCATENATE("*","-sk","*"),IF(COUNTIF(_xlpm.c,_xlpm.k)&gt;0,1,0))</f>
        <v>0</v>
      </c>
      <c r="E10">
        <f>IF(AND(Table1[[#This Row],[xsk]]=1,Table1[[#This Row],[sk]]=1),0,1)</f>
        <v>1</v>
      </c>
      <c r="F10" t="s">
        <v>17</v>
      </c>
      <c r="G10" s="1">
        <v>0.38747010791827302</v>
      </c>
      <c r="H10" s="1">
        <v>0</v>
      </c>
      <c r="I10" s="1">
        <v>0.50139475301076597</v>
      </c>
      <c r="J10" s="1">
        <v>0.31464169115152202</v>
      </c>
      <c r="K10" s="1">
        <v>0.41396109713406898</v>
      </c>
      <c r="L10" s="1">
        <v>0.47648005462433701</v>
      </c>
      <c r="M10" s="1">
        <v>0.22604885761940399</v>
      </c>
      <c r="N10" s="1">
        <v>0.66666666666666596</v>
      </c>
      <c r="O10" s="1">
        <v>0.39461815607855899</v>
      </c>
      <c r="P10" s="1">
        <v>0.395838180538859</v>
      </c>
      <c r="Q10" s="1">
        <v>0.51580144608426404</v>
      </c>
      <c r="R10" s="1">
        <v>0</v>
      </c>
      <c r="S10" s="1">
        <v>0.5</v>
      </c>
      <c r="T10" s="1">
        <f t="shared" si="4"/>
        <v>0.36868623160205527</v>
      </c>
    </row>
    <row r="11" spans="1:20" ht="30" customHeight="1">
      <c r="A11" t="str">
        <f t="shared" si="3"/>
        <v>english</v>
      </c>
      <c r="B11">
        <f>_xlfn.LET(_xlpm.c,_xlfn.SINGLE(Table1[condition]),IF(RIGHT(_xlpm.c,2)="1g",1,0))</f>
        <v>0</v>
      </c>
      <c r="C11">
        <f>_xlfn.LET(_xlpm.c,_xlfn.SINGLE(Table1[condition]),_xlpm.k,CONCATENATE("*","-xsk","*"),IF(COUNTIF(_xlpm.c,_xlpm.k)&gt;0,1,0))</f>
        <v>0</v>
      </c>
      <c r="D11">
        <f>_xlfn.LET(_xlpm.c,_xlfn.SINGLE(Table1[condition]),_xlpm.k,CONCATENATE("*","-sk","*"),IF(COUNTIF(_xlpm.c,_xlpm.k)&gt;0,1,0))</f>
        <v>0</v>
      </c>
      <c r="E11">
        <f>IF(AND(Table1[[#This Row],[xsk]]=1,Table1[[#This Row],[sk]]=1),0,1)</f>
        <v>1</v>
      </c>
      <c r="F11" t="s">
        <v>18</v>
      </c>
      <c r="G11" s="1">
        <v>0.59657994908871603</v>
      </c>
      <c r="H11" s="1">
        <v>0.31593712735637802</v>
      </c>
      <c r="I11" s="1">
        <v>0.40336653988390703</v>
      </c>
      <c r="J11" s="1">
        <v>0.45700915610387399</v>
      </c>
      <c r="K11" s="1">
        <v>0.42788454784846303</v>
      </c>
      <c r="L11" s="1">
        <v>0.61538461538461497</v>
      </c>
      <c r="M11" s="1">
        <v>0.54665527078014597</v>
      </c>
      <c r="N11" s="1">
        <v>0.5</v>
      </c>
      <c r="O11" s="1">
        <v>0.35487672256265601</v>
      </c>
      <c r="P11" s="1">
        <v>0.29347032957861702</v>
      </c>
      <c r="Q11" s="1">
        <v>0</v>
      </c>
      <c r="R11" s="1">
        <v>0.5</v>
      </c>
      <c r="S11" s="1">
        <v>0.299825861538289</v>
      </c>
      <c r="T11" s="1">
        <f t="shared" si="4"/>
        <v>0.40853770154812774</v>
      </c>
    </row>
    <row r="12" spans="1:20" ht="30" customHeight="1">
      <c r="A12" t="str">
        <f t="shared" si="3"/>
        <v>english</v>
      </c>
      <c r="B12">
        <f>_xlfn.LET(_xlpm.c,_xlfn.SINGLE(Table1[condition]),IF(RIGHT(_xlpm.c,2)="1g",1,0))</f>
        <v>0</v>
      </c>
      <c r="C12">
        <f>_xlfn.LET(_xlpm.c,_xlfn.SINGLE(Table1[condition]),_xlpm.k,CONCATENATE("*","-xsk","*"),IF(COUNTIF(_xlpm.c,_xlpm.k)&gt;0,1,0))</f>
        <v>0</v>
      </c>
      <c r="D12">
        <f>_xlfn.LET(_xlpm.c,_xlfn.SINGLE(Table1[condition]),_xlpm.k,CONCATENATE("*","-sk","*"),IF(COUNTIF(_xlpm.c,_xlpm.k)&gt;0,1,0))</f>
        <v>1</v>
      </c>
      <c r="E12">
        <f>IF(AND(Table1[[#This Row],[xsk]]=1,Table1[[#This Row],[sk]]=1),0,1)</f>
        <v>1</v>
      </c>
      <c r="F12" t="s">
        <v>19</v>
      </c>
      <c r="G12" s="1">
        <v>0.66031089744660998</v>
      </c>
      <c r="H12" s="1">
        <v>0.62925109634432497</v>
      </c>
      <c r="I12" s="1">
        <v>0.57429080244802799</v>
      </c>
      <c r="J12" s="1">
        <v>0.46411466198607398</v>
      </c>
      <c r="K12" s="1">
        <v>0.30883134206670099</v>
      </c>
      <c r="L12" s="1">
        <v>0.51889913957607003</v>
      </c>
      <c r="M12" s="1">
        <v>0.6</v>
      </c>
      <c r="N12" s="1">
        <v>0.28421942539241302</v>
      </c>
      <c r="O12" s="1">
        <v>0.39956830176959302</v>
      </c>
      <c r="P12" s="1">
        <v>0.29216775344187601</v>
      </c>
      <c r="Q12" s="1">
        <v>0</v>
      </c>
      <c r="R12" s="1">
        <v>0.49395009866642597</v>
      </c>
      <c r="S12" s="1">
        <v>0</v>
      </c>
      <c r="T12" s="1">
        <f t="shared" si="4"/>
        <v>0.4019695014721627</v>
      </c>
    </row>
    <row r="13" spans="1:20" ht="30" customHeight="1">
      <c r="A13" t="str">
        <f t="shared" si="3"/>
        <v>english</v>
      </c>
      <c r="B13">
        <f>_xlfn.LET(_xlpm.c,_xlfn.SINGLE(Table1[condition]),IF(RIGHT(_xlpm.c,2)="1g",1,0))</f>
        <v>0</v>
      </c>
      <c r="C13">
        <f>_xlfn.LET(_xlpm.c,_xlfn.SINGLE(Table1[condition]),_xlpm.k,CONCATENATE("*","-xsk","*"),IF(COUNTIF(_xlpm.c,_xlpm.k)&gt;0,1,0))</f>
        <v>0</v>
      </c>
      <c r="D13">
        <f>_xlfn.LET(_xlpm.c,_xlfn.SINGLE(Table1[condition]),_xlpm.k,CONCATENATE("*","-sk","*"),IF(COUNTIF(_xlpm.c,_xlpm.k)&gt;0,1,0))</f>
        <v>1</v>
      </c>
      <c r="E13">
        <f>IF(AND(Table1[[#This Row],[xsk]]=1,Table1[[#This Row],[sk]]=1),0,1)</f>
        <v>1</v>
      </c>
      <c r="F13" t="s">
        <v>20</v>
      </c>
      <c r="G13" s="1">
        <v>0.614518195529137</v>
      </c>
      <c r="H13" s="1">
        <v>0.51081363987475004</v>
      </c>
      <c r="I13" s="1">
        <v>0.63773787592734898</v>
      </c>
      <c r="J13" s="1">
        <v>0.43633039826865</v>
      </c>
      <c r="K13" s="1">
        <v>0.490853727866779</v>
      </c>
      <c r="L13" s="1">
        <v>0.41895486047108499</v>
      </c>
      <c r="M13" s="1">
        <v>0.49767548872858097</v>
      </c>
      <c r="N13" s="1">
        <v>0</v>
      </c>
      <c r="O13" s="1">
        <v>0.33184455472431801</v>
      </c>
      <c r="P13" s="1">
        <v>0.48492322258947901</v>
      </c>
      <c r="Q13" s="1">
        <v>0</v>
      </c>
      <c r="R13" s="1">
        <v>0.36987872736452998</v>
      </c>
      <c r="S13" s="1">
        <v>0.56879574521951604</v>
      </c>
      <c r="T13" s="1">
        <f t="shared" si="4"/>
        <v>0.41248664896647491</v>
      </c>
    </row>
    <row r="14" spans="1:20" ht="30" customHeight="1">
      <c r="A14" t="str">
        <f t="shared" si="3"/>
        <v>english</v>
      </c>
      <c r="B14">
        <f>_xlfn.LET(_xlpm.c,_xlfn.SINGLE(Table1[condition]),IF(RIGHT(_xlpm.c,2)="1g",1,0))</f>
        <v>0</v>
      </c>
      <c r="C14">
        <f>_xlfn.LET(_xlpm.c,_xlfn.SINGLE(Table1[condition]),_xlpm.k,CONCATENATE("*","-xsk","*"),IF(COUNTIF(_xlpm.c,_xlpm.k)&gt;0,1,0))</f>
        <v>1</v>
      </c>
      <c r="D14">
        <f>_xlfn.LET(_xlpm.c,_xlfn.SINGLE(Table1[condition]),_xlpm.k,CONCATENATE("*","-sk","*"),IF(COUNTIF(_xlpm.c,_xlpm.k)&gt;0,1,0))</f>
        <v>0</v>
      </c>
      <c r="E14">
        <f>IF(AND(Table1[[#This Row],[xsk]]=1,Table1[[#This Row],[sk]]=1),0,1)</f>
        <v>1</v>
      </c>
      <c r="F14" t="s">
        <v>54</v>
      </c>
      <c r="G14" s="1">
        <v>0.65364451147290004</v>
      </c>
      <c r="H14" s="1">
        <v>0.56276331970816595</v>
      </c>
      <c r="I14" s="1">
        <v>0.68000134046250005</v>
      </c>
      <c r="J14" s="1">
        <v>0.43318939817961</v>
      </c>
      <c r="K14" s="1">
        <v>0.73595910256646602</v>
      </c>
      <c r="L14" s="1">
        <v>0.25771192986041402</v>
      </c>
      <c r="M14" s="1">
        <v>0.56820730683330001</v>
      </c>
      <c r="N14" s="1">
        <v>0.69666295470957595</v>
      </c>
      <c r="O14" s="1">
        <v>0.34144028503565299</v>
      </c>
      <c r="P14" s="1">
        <v>0</v>
      </c>
      <c r="Q14" s="1">
        <v>0.40776010630685999</v>
      </c>
      <c r="R14" s="1">
        <v>0.39662430538905502</v>
      </c>
      <c r="S14" s="1">
        <v>0.21870187652560499</v>
      </c>
      <c r="T14" s="1">
        <f t="shared" si="4"/>
        <v>0.45789741823462349</v>
      </c>
    </row>
    <row r="15" spans="1:20" ht="30" customHeight="1">
      <c r="A15" t="str">
        <f t="shared" si="3"/>
        <v>english</v>
      </c>
      <c r="B15">
        <f>_xlfn.LET(_xlpm.c,_xlfn.SINGLE(Table1[condition]),IF(RIGHT(_xlpm.c,2)="1g",1,0))</f>
        <v>0</v>
      </c>
      <c r="C15">
        <f>_xlfn.LET(_xlpm.c,_xlfn.SINGLE(Table1[condition]),_xlpm.k,CONCATENATE("*","-xsk","*"),IF(COUNTIF(_xlpm.c,_xlpm.k)&gt;0,1,0))</f>
        <v>1</v>
      </c>
      <c r="D15">
        <f>_xlfn.LET(_xlpm.c,_xlfn.SINGLE(Table1[condition]),_xlpm.k,CONCATENATE("*","-sk","*"),IF(COUNTIF(_xlpm.c,_xlpm.k)&gt;0,1,0))</f>
        <v>0</v>
      </c>
      <c r="E15">
        <f>IF(AND(Table1[[#This Row],[xsk]]=1,Table1[[#This Row],[sk]]=1),0,1)</f>
        <v>1</v>
      </c>
      <c r="F15" t="s">
        <v>55</v>
      </c>
      <c r="G15" s="1">
        <v>0.60644411541030296</v>
      </c>
      <c r="H15" s="1">
        <v>0.74705477539286502</v>
      </c>
      <c r="I15" s="1">
        <v>0.53142615087246503</v>
      </c>
      <c r="J15" s="1">
        <v>0.439378035529505</v>
      </c>
      <c r="K15" s="1">
        <v>0.33723699907306898</v>
      </c>
      <c r="L15" s="1">
        <v>0.44656186153899102</v>
      </c>
      <c r="M15" s="1">
        <v>0.38159455349423199</v>
      </c>
      <c r="N15" s="1">
        <v>0.444725906138486</v>
      </c>
      <c r="O15" s="1">
        <v>0.44423705138200498</v>
      </c>
      <c r="P15" s="1">
        <v>0.27315432001104201</v>
      </c>
      <c r="Q15" s="1">
        <v>0.45952261830123498</v>
      </c>
      <c r="R15" s="1">
        <v>0.23228785053969001</v>
      </c>
      <c r="S15" s="1">
        <v>0</v>
      </c>
      <c r="T15" s="1">
        <f t="shared" si="4"/>
        <v>0.411048018283376</v>
      </c>
    </row>
    <row r="16" spans="1:20" ht="30" customHeight="1">
      <c r="A16" t="str">
        <f t="shared" si="3"/>
        <v>french</v>
      </c>
      <c r="B16">
        <f>_xlfn.LET(_xlpm.c,_xlfn.SINGLE(Table1[condition]),IF(RIGHT(_xlpm.c,2)="1g",1,0))</f>
        <v>1</v>
      </c>
      <c r="C16">
        <f>_xlfn.LET(_xlpm.c,_xlfn.SINGLE(Table1[condition]),_xlpm.k,CONCATENATE("*","-xsk","*"),IF(COUNTIF(_xlpm.c,_xlpm.k)&gt;0,1,0))</f>
        <v>0</v>
      </c>
      <c r="D16">
        <f>_xlfn.LET(_xlpm.c,_xlfn.SINGLE(Table1[condition]),_xlpm.k,CONCATENATE("*","-sk","*"),IF(COUNTIF(_xlpm.c,_xlpm.k)&gt;0,1,0))</f>
        <v>0</v>
      </c>
      <c r="E16">
        <f>IF(AND(Table1[[#This Row],[xsk]]=1,Table1[[#This Row],[sk]]=1),0,1)</f>
        <v>1</v>
      </c>
      <c r="F16" t="s">
        <v>21</v>
      </c>
      <c r="G16" s="1">
        <v>0.73919086479898799</v>
      </c>
      <c r="H16" s="1">
        <v>0.77657365178381499</v>
      </c>
      <c r="I16" s="1">
        <v>0.38497934832003899</v>
      </c>
      <c r="J16" s="1">
        <v>0.69874130530916101</v>
      </c>
      <c r="K16" s="1">
        <v>0.29786374708771601</v>
      </c>
      <c r="L16" s="1">
        <v>0.57142857142857095</v>
      </c>
      <c r="M16" s="1">
        <v>0.31086903804615601</v>
      </c>
      <c r="N16" s="1">
        <v>0.31231342745083301</v>
      </c>
      <c r="O16" s="1">
        <v>0.27132795781436397</v>
      </c>
      <c r="P16" s="1">
        <v>0.50384272801442498</v>
      </c>
      <c r="Q16" s="1">
        <v>0.398528496278793</v>
      </c>
      <c r="R16" s="1">
        <v>0.72128981946544701</v>
      </c>
      <c r="S16" s="1">
        <v>0.37300648973967998</v>
      </c>
      <c r="T16" s="1">
        <f t="shared" si="4"/>
        <v>0.48922734196446072</v>
      </c>
    </row>
    <row r="17" spans="1:20" ht="30" customHeight="1">
      <c r="A17" t="str">
        <f t="shared" si="3"/>
        <v>french</v>
      </c>
      <c r="B17">
        <f>_xlfn.LET(_xlpm.c,_xlfn.SINGLE(Table1[condition]),IF(RIGHT(_xlpm.c,2)="1g",1,0))</f>
        <v>0</v>
      </c>
      <c r="C17">
        <f>_xlfn.LET(_xlpm.c,_xlfn.SINGLE(Table1[condition]),_xlpm.k,CONCATENATE("*","-xsk","*"),IF(COUNTIF(_xlpm.c,_xlpm.k)&gt;0,1,0))</f>
        <v>0</v>
      </c>
      <c r="D17">
        <f>_xlfn.LET(_xlpm.c,_xlfn.SINGLE(Table1[condition]),_xlpm.k,CONCATENATE("*","-sk","*"),IF(COUNTIF(_xlpm.c,_xlpm.k)&gt;0,1,0))</f>
        <v>0</v>
      </c>
      <c r="E17">
        <f>IF(AND(Table1[[#This Row],[xsk]]=1,Table1[[#This Row],[sk]]=1),0,1)</f>
        <v>1</v>
      </c>
      <c r="F17" t="s">
        <v>22</v>
      </c>
      <c r="G17" s="1">
        <v>0.60039744175514798</v>
      </c>
      <c r="H17" s="1">
        <v>0.44988072299820703</v>
      </c>
      <c r="I17" s="1">
        <v>0.65449342684967304</v>
      </c>
      <c r="J17" s="1">
        <v>0</v>
      </c>
      <c r="K17" s="1">
        <v>0.37344411667513799</v>
      </c>
      <c r="L17" s="1">
        <v>0.38182983607858201</v>
      </c>
      <c r="M17" s="1">
        <v>0.55668843334345797</v>
      </c>
      <c r="N17" s="1">
        <v>0.36624538514141503</v>
      </c>
      <c r="O17" s="1">
        <v>0.38782216693198401</v>
      </c>
      <c r="P17" s="1">
        <v>0.404537266618263</v>
      </c>
      <c r="Q17" s="1">
        <v>0.38165241513967002</v>
      </c>
      <c r="R17" s="1"/>
      <c r="S17" s="1">
        <v>0.39942182522693598</v>
      </c>
      <c r="T17" s="1">
        <f t="shared" si="4"/>
        <v>0.41303441972987281</v>
      </c>
    </row>
    <row r="18" spans="1:20" ht="30" customHeight="1">
      <c r="A18" t="str">
        <f t="shared" si="3"/>
        <v>french</v>
      </c>
      <c r="B18">
        <f>_xlfn.LET(_xlpm.c,_xlfn.SINGLE(Table1[condition]),IF(RIGHT(_xlpm.c,2)="1g",1,0))</f>
        <v>0</v>
      </c>
      <c r="C18">
        <f>_xlfn.LET(_xlpm.c,_xlfn.SINGLE(Table1[condition]),_xlpm.k,CONCATENATE("*","-xsk","*"),IF(COUNTIF(_xlpm.c,_xlpm.k)&gt;0,1,0))</f>
        <v>0</v>
      </c>
      <c r="D18">
        <f>_xlfn.LET(_xlpm.c,_xlfn.SINGLE(Table1[condition]),_xlpm.k,CONCATENATE("*","-sk","*"),IF(COUNTIF(_xlpm.c,_xlpm.k)&gt;0,1,0))</f>
        <v>0</v>
      </c>
      <c r="E18">
        <f>IF(AND(Table1[[#This Row],[xsk]]=1,Table1[[#This Row],[sk]]=1),0,1)</f>
        <v>1</v>
      </c>
      <c r="F18" t="s">
        <v>23</v>
      </c>
      <c r="G18" s="1">
        <v>0.66655510171257004</v>
      </c>
      <c r="H18" s="1">
        <v>0.48573309616235799</v>
      </c>
      <c r="I18" s="1">
        <v>0.59689267726373096</v>
      </c>
      <c r="J18" s="1">
        <v>0.43866584936714498</v>
      </c>
      <c r="K18" s="1">
        <v>0.48208963480480599</v>
      </c>
      <c r="L18" s="1">
        <v>0.37417156176504901</v>
      </c>
      <c r="M18" s="1">
        <v>0.383803762740482</v>
      </c>
      <c r="N18" s="1">
        <v>0.33718709894293403</v>
      </c>
      <c r="O18" s="1">
        <v>0.379795897113271</v>
      </c>
      <c r="P18" s="1">
        <v>0.29072243183171298</v>
      </c>
      <c r="Q18" s="1">
        <v>0</v>
      </c>
      <c r="R18" s="1">
        <v>0</v>
      </c>
      <c r="S18" s="1">
        <v>0</v>
      </c>
      <c r="T18" s="1">
        <f t="shared" si="4"/>
        <v>0.34120131628492761</v>
      </c>
    </row>
    <row r="19" spans="1:20" ht="30" customHeight="1">
      <c r="A19" t="str">
        <f t="shared" si="3"/>
        <v>french</v>
      </c>
      <c r="B19">
        <f>_xlfn.LET(_xlpm.c,_xlfn.SINGLE(Table1[condition]),IF(RIGHT(_xlpm.c,2)="1g",1,0))</f>
        <v>0</v>
      </c>
      <c r="C19">
        <f>_xlfn.LET(_xlpm.c,_xlfn.SINGLE(Table1[condition]),_xlpm.k,CONCATENATE("*","-xsk","*"),IF(COUNTIF(_xlpm.c,_xlpm.k)&gt;0,1,0))</f>
        <v>0</v>
      </c>
      <c r="D19">
        <f>_xlfn.LET(_xlpm.c,_xlfn.SINGLE(Table1[condition]),_xlpm.k,CONCATENATE("*","-sk","*"),IF(COUNTIF(_xlpm.c,_xlpm.k)&gt;0,1,0))</f>
        <v>1</v>
      </c>
      <c r="E19">
        <f>IF(AND(Table1[[#This Row],[xsk]]=1,Table1[[#This Row],[sk]]=1),0,1)</f>
        <v>1</v>
      </c>
      <c r="F19" t="s">
        <v>24</v>
      </c>
      <c r="G19" s="1">
        <v>0.49962503423059101</v>
      </c>
      <c r="H19" s="1">
        <v>0.46893200586598499</v>
      </c>
      <c r="I19" s="1">
        <v>0.536557828936437</v>
      </c>
      <c r="J19" s="1">
        <v>0.64063174611931395</v>
      </c>
      <c r="K19" s="1">
        <v>0.51952207222507496</v>
      </c>
      <c r="L19" s="1">
        <v>0.40802322580475803</v>
      </c>
      <c r="M19" s="1">
        <v>0.47356838669766299</v>
      </c>
      <c r="N19" s="1">
        <v>0.44053920860747098</v>
      </c>
      <c r="O19" s="1">
        <v>0.60266389668973697</v>
      </c>
      <c r="P19" s="1">
        <v>0.26842377594436501</v>
      </c>
      <c r="Q19" s="1">
        <v>0</v>
      </c>
      <c r="R19" s="1">
        <v>0.38687238818445502</v>
      </c>
      <c r="S19" s="1">
        <v>0.42504601331817599</v>
      </c>
      <c r="T19" s="1">
        <f t="shared" si="4"/>
        <v>0.43618504481723286</v>
      </c>
    </row>
    <row r="20" spans="1:20" ht="30" customHeight="1">
      <c r="A20" t="str">
        <f t="shared" si="3"/>
        <v>french</v>
      </c>
      <c r="B20">
        <f>_xlfn.LET(_xlpm.c,_xlfn.SINGLE(Table1[condition]),IF(RIGHT(_xlpm.c,2)="1g",1,0))</f>
        <v>0</v>
      </c>
      <c r="C20">
        <f>_xlfn.LET(_xlpm.c,_xlfn.SINGLE(Table1[condition]),_xlpm.k,CONCATENATE("*","-xsk","*"),IF(COUNTIF(_xlpm.c,_xlpm.k)&gt;0,1,0))</f>
        <v>0</v>
      </c>
      <c r="D20">
        <f>_xlfn.LET(_xlpm.c,_xlfn.SINGLE(Table1[condition]),_xlpm.k,CONCATENATE("*","-sk","*"),IF(COUNTIF(_xlpm.c,_xlpm.k)&gt;0,1,0))</f>
        <v>1</v>
      </c>
      <c r="E20">
        <f>IF(AND(Table1[[#This Row],[xsk]]=1,Table1[[#This Row],[sk]]=1),0,1)</f>
        <v>1</v>
      </c>
      <c r="F20" t="s">
        <v>25</v>
      </c>
      <c r="G20" s="1">
        <v>0.50661060958385595</v>
      </c>
      <c r="H20" s="1">
        <v>0.65825337691072705</v>
      </c>
      <c r="I20" s="1">
        <v>0.51587210594617094</v>
      </c>
      <c r="J20" s="1">
        <v>0.53964079523038999</v>
      </c>
      <c r="K20" s="1">
        <v>0.31462745367468198</v>
      </c>
      <c r="L20" s="1">
        <v>0.51190017391132103</v>
      </c>
      <c r="M20" s="1">
        <v>0.38638543386551599</v>
      </c>
      <c r="N20" s="1">
        <v>0.433678633310706</v>
      </c>
      <c r="O20" s="1">
        <v>0.38376523706069798</v>
      </c>
      <c r="P20" s="1">
        <v>0.43765665003485299</v>
      </c>
      <c r="Q20" s="1">
        <v>0.40892488247050601</v>
      </c>
      <c r="R20" s="1">
        <v>0.47045107268125602</v>
      </c>
      <c r="S20" s="1">
        <v>0.511071593630816</v>
      </c>
      <c r="T20" s="1">
        <f t="shared" si="4"/>
        <v>0.46760292448549989</v>
      </c>
    </row>
    <row r="21" spans="1:20" ht="30" customHeight="1">
      <c r="A21" t="str">
        <f t="shared" si="3"/>
        <v>french</v>
      </c>
      <c r="B21">
        <f>_xlfn.LET(_xlpm.c,_xlfn.SINGLE(Table1[condition]),IF(RIGHT(_xlpm.c,2)="1g",1,0))</f>
        <v>0</v>
      </c>
      <c r="C21">
        <f>_xlfn.LET(_xlpm.c,_xlfn.SINGLE(Table1[condition]),_xlpm.k,CONCATENATE("*","-xsk","*"),IF(COUNTIF(_xlpm.c,_xlpm.k)&gt;0,1,0))</f>
        <v>1</v>
      </c>
      <c r="D21">
        <f>_xlfn.LET(_xlpm.c,_xlfn.SINGLE(Table1[condition]),_xlpm.k,CONCATENATE("*","-sk","*"),IF(COUNTIF(_xlpm.c,_xlpm.k)&gt;0,1,0))</f>
        <v>0</v>
      </c>
      <c r="E21">
        <f>IF(AND(Table1[[#This Row],[xsk]]=1,Table1[[#This Row],[sk]]=1),0,1)</f>
        <v>1</v>
      </c>
      <c r="F21" t="s">
        <v>56</v>
      </c>
      <c r="G21" s="1">
        <v>0.40855407661118398</v>
      </c>
      <c r="H21" s="1">
        <v>0.39064020971732799</v>
      </c>
      <c r="I21" s="1">
        <v>0.45099336491487901</v>
      </c>
      <c r="J21" s="1">
        <v>0.57667613711437005</v>
      </c>
      <c r="K21" s="1">
        <v>0.52505114269901199</v>
      </c>
      <c r="L21" s="1">
        <v>0.52303112651078099</v>
      </c>
      <c r="M21" s="1">
        <v>0.40123618413259399</v>
      </c>
      <c r="N21" s="1">
        <v>0.41054090786101399</v>
      </c>
      <c r="O21" s="1">
        <v>0.34906948486927503</v>
      </c>
      <c r="P21" s="1">
        <v>0.57543266174784302</v>
      </c>
      <c r="Q21" s="1">
        <v>0.39972149003986501</v>
      </c>
      <c r="R21" s="1">
        <v>0.48699329485595899</v>
      </c>
      <c r="S21" s="1">
        <v>0.36683432325086202</v>
      </c>
      <c r="T21" s="1">
        <f t="shared" si="4"/>
        <v>0.45113649264038208</v>
      </c>
    </row>
    <row r="22" spans="1:20" ht="30" customHeight="1">
      <c r="A22" t="str">
        <f t="shared" si="3"/>
        <v>french</v>
      </c>
      <c r="B22">
        <f>_xlfn.LET(_xlpm.c,_xlfn.SINGLE(Table1[condition]),IF(RIGHT(_xlpm.c,2)="1g",1,0))</f>
        <v>0</v>
      </c>
      <c r="C22">
        <f>_xlfn.LET(_xlpm.c,_xlfn.SINGLE(Table1[condition]),_xlpm.k,CONCATENATE("*","-xsk","*"),IF(COUNTIF(_xlpm.c,_xlpm.k)&gt;0,1,0))</f>
        <v>1</v>
      </c>
      <c r="D22">
        <f>_xlfn.LET(_xlpm.c,_xlfn.SINGLE(Table1[condition]),_xlpm.k,CONCATENATE("*","-sk","*"),IF(COUNTIF(_xlpm.c,_xlpm.k)&gt;0,1,0))</f>
        <v>0</v>
      </c>
      <c r="E22">
        <f>IF(AND(Table1[[#This Row],[xsk]]=1,Table1[[#This Row],[sk]]=1),0,1)</f>
        <v>1</v>
      </c>
      <c r="F22" t="s">
        <v>57</v>
      </c>
      <c r="G22" s="1">
        <v>0.602277429447312</v>
      </c>
      <c r="H22" s="1">
        <v>0.52317053364326904</v>
      </c>
      <c r="I22" s="1">
        <v>0.46094810449323997</v>
      </c>
      <c r="J22" s="1">
        <v>0.468557269805146</v>
      </c>
      <c r="K22" s="1">
        <v>0.44768671271945898</v>
      </c>
      <c r="L22" s="1">
        <v>0.63304399094626496</v>
      </c>
      <c r="M22" s="1">
        <v>0.271965902530171</v>
      </c>
      <c r="N22" s="1">
        <v>0.32000989010220299</v>
      </c>
      <c r="O22" s="1">
        <v>0.42969799776386403</v>
      </c>
      <c r="P22" s="1">
        <v>0.20507942106743399</v>
      </c>
      <c r="Q22" s="1">
        <v>0.238207091563895</v>
      </c>
      <c r="R22" s="1">
        <v>0.333158777985813</v>
      </c>
      <c r="S22" s="1">
        <v>0.19096517431144799</v>
      </c>
      <c r="T22" s="1">
        <f t="shared" si="4"/>
        <v>0.39421294587534761</v>
      </c>
    </row>
    <row r="23" spans="1:20" ht="30" customHeight="1">
      <c r="A23" t="str">
        <f t="shared" si="3"/>
        <v>finnish</v>
      </c>
      <c r="B23">
        <f>_xlfn.LET(_xlpm.c,_xlfn.SINGLE(Table1[condition]),IF(RIGHT(_xlpm.c,2)="1g",1,0))</f>
        <v>1</v>
      </c>
      <c r="C23">
        <f>_xlfn.LET(_xlpm.c,_xlfn.SINGLE(Table1[condition]),_xlpm.k,CONCATENATE("*","-xsk","*"),IF(COUNTIF(_xlpm.c,_xlpm.k)&gt;0,1,0))</f>
        <v>0</v>
      </c>
      <c r="D23">
        <f>_xlfn.LET(_xlpm.c,_xlfn.SINGLE(Table1[condition]),_xlpm.k,CONCATENATE("*","-sk","*"),IF(COUNTIF(_xlpm.c,_xlpm.k)&gt;0,1,0))</f>
        <v>0</v>
      </c>
      <c r="E23">
        <f>IF(AND(Table1[[#This Row],[xsk]]=1,Table1[[#This Row],[sk]]=1),0,1)</f>
        <v>1</v>
      </c>
      <c r="F23" t="s">
        <v>58</v>
      </c>
      <c r="G23" s="1">
        <v>0.85670601404954805</v>
      </c>
      <c r="H23" s="1">
        <v>0.55138111890633901</v>
      </c>
      <c r="I23" s="1">
        <v>0.57484629898193595</v>
      </c>
      <c r="J23" s="1">
        <v>0.68614066163450704</v>
      </c>
      <c r="K23" s="1">
        <v>0.59647362174552299</v>
      </c>
      <c r="L23" s="1">
        <v>0.36222162114314199</v>
      </c>
      <c r="M23" s="1">
        <v>0.52484327682712195</v>
      </c>
      <c r="N23" s="1">
        <v>0.63622624490884205</v>
      </c>
      <c r="O23" s="1">
        <v>0.494337159618087</v>
      </c>
      <c r="P23" s="1">
        <v>0.41171425595857902</v>
      </c>
      <c r="Q23" s="1">
        <v>0.56723311185397696</v>
      </c>
      <c r="R23" s="1">
        <v>0.30058690060348298</v>
      </c>
      <c r="S23" s="1">
        <v>0.51878986562144602</v>
      </c>
      <c r="T23" s="1">
        <f t="shared" si="4"/>
        <v>0.5447307809117331</v>
      </c>
    </row>
    <row r="24" spans="1:20" ht="30" customHeight="1">
      <c r="A24" t="str">
        <f t="shared" si="3"/>
        <v>finnish</v>
      </c>
      <c r="B24">
        <f>_xlfn.LET(_xlpm.c,_xlfn.SINGLE(Table1[condition]),IF(RIGHT(_xlpm.c,2)="1g",1,0))</f>
        <v>0</v>
      </c>
      <c r="C24">
        <f>_xlfn.LET(_xlpm.c,_xlfn.SINGLE(Table1[condition]),_xlpm.k,CONCATENATE("*","-xsk","*"),IF(COUNTIF(_xlpm.c,_xlpm.k)&gt;0,1,0))</f>
        <v>0</v>
      </c>
      <c r="D24">
        <f>_xlfn.LET(_xlpm.c,_xlfn.SINGLE(Table1[condition]),_xlpm.k,CONCATENATE("*","-sk","*"),IF(COUNTIF(_xlpm.c,_xlpm.k)&gt;0,1,0))</f>
        <v>0</v>
      </c>
      <c r="E24">
        <f>IF(AND(Table1[[#This Row],[xsk]]=1,Table1[[#This Row],[sk]]=1),0,1)</f>
        <v>1</v>
      </c>
      <c r="F24" t="s">
        <v>59</v>
      </c>
      <c r="G24" s="1">
        <v>0.58631072644830895</v>
      </c>
      <c r="H24" s="1">
        <v>0.82412035437764397</v>
      </c>
      <c r="I24" s="1">
        <v>0.51131286780933904</v>
      </c>
      <c r="J24" s="1">
        <v>0.435547395427131</v>
      </c>
      <c r="K24" s="1">
        <v>0.46974858941574599</v>
      </c>
      <c r="L24" s="1">
        <v>0.52355652746576398</v>
      </c>
      <c r="M24" s="1">
        <v>0.55128574613748305</v>
      </c>
      <c r="N24" s="1">
        <v>0.51895403596524103</v>
      </c>
      <c r="O24" s="1">
        <v>0.383095389635767</v>
      </c>
      <c r="P24" s="1">
        <v>0.30342403488723302</v>
      </c>
      <c r="Q24" s="1">
        <v>0.64717578128986997</v>
      </c>
      <c r="R24" s="1">
        <v>1</v>
      </c>
      <c r="S24" s="1">
        <v>0.304437844036549</v>
      </c>
      <c r="T24" s="1">
        <f t="shared" si="4"/>
        <v>0.54299763791508282</v>
      </c>
    </row>
    <row r="25" spans="1:20" ht="30" customHeight="1">
      <c r="A25" t="str">
        <f t="shared" si="3"/>
        <v>finnish</v>
      </c>
      <c r="B25">
        <f>_xlfn.LET(_xlpm.c,_xlfn.SINGLE(Table1[condition]),IF(RIGHT(_xlpm.c,2)="1g",1,0))</f>
        <v>0</v>
      </c>
      <c r="C25">
        <f>_xlfn.LET(_xlpm.c,_xlfn.SINGLE(Table1[condition]),_xlpm.k,CONCATENATE("*","-xsk","*"),IF(COUNTIF(_xlpm.c,_xlpm.k)&gt;0,1,0))</f>
        <v>0</v>
      </c>
      <c r="D25">
        <f>_xlfn.LET(_xlpm.c,_xlfn.SINGLE(Table1[condition]),_xlpm.k,CONCATENATE("*","-sk","*"),IF(COUNTIF(_xlpm.c,_xlpm.k)&gt;0,1,0))</f>
        <v>0</v>
      </c>
      <c r="E25">
        <f>IF(AND(Table1[[#This Row],[xsk]]=1,Table1[[#This Row],[sk]]=1),0,1)</f>
        <v>1</v>
      </c>
      <c r="F25" t="s">
        <v>60</v>
      </c>
      <c r="G25" s="1">
        <v>0.46539909958747699</v>
      </c>
      <c r="H25" s="1">
        <v>0.64140217898061802</v>
      </c>
      <c r="I25" s="1">
        <v>0.59333805685471597</v>
      </c>
      <c r="J25" s="1">
        <v>0.501477795189883</v>
      </c>
      <c r="K25" s="1">
        <v>0.63775463664235199</v>
      </c>
      <c r="L25" s="1">
        <v>0.518355661650442</v>
      </c>
      <c r="M25" s="1">
        <v>0</v>
      </c>
      <c r="N25" s="1">
        <v>0.44098698170527401</v>
      </c>
      <c r="O25" s="1">
        <v>0.28489698511853401</v>
      </c>
      <c r="P25" s="1">
        <v>0.69867352580917497</v>
      </c>
      <c r="Q25" s="1">
        <v>0.72</v>
      </c>
      <c r="R25" s="1">
        <v>0.45456139786802202</v>
      </c>
      <c r="S25" s="1">
        <v>0.56092971444065398</v>
      </c>
      <c r="T25" s="1">
        <f t="shared" si="4"/>
        <v>0.50136738721901131</v>
      </c>
    </row>
    <row r="26" spans="1:20" ht="30" customHeight="1">
      <c r="A26" t="str">
        <f t="shared" si="3"/>
        <v>finnish</v>
      </c>
      <c r="B26">
        <f>_xlfn.LET(_xlpm.c,_xlfn.SINGLE(Table1[condition]),IF(RIGHT(_xlpm.c,2)="1g",1,0))</f>
        <v>0</v>
      </c>
      <c r="C26">
        <f>_xlfn.LET(_xlpm.c,_xlfn.SINGLE(Table1[condition]),_xlpm.k,CONCATENATE("*","-xsk","*"),IF(COUNTIF(_xlpm.c,_xlpm.k)&gt;0,1,0))</f>
        <v>0</v>
      </c>
      <c r="D26">
        <f>_xlfn.LET(_xlpm.c,_xlfn.SINGLE(Table1[condition]),_xlpm.k,CONCATENATE("*","-sk","*"),IF(COUNTIF(_xlpm.c,_xlpm.k)&gt;0,1,0))</f>
        <v>1</v>
      </c>
      <c r="E26">
        <f>IF(AND(Table1[[#This Row],[xsk]]=1,Table1[[#This Row],[sk]]=1),0,1)</f>
        <v>1</v>
      </c>
      <c r="F26" t="s">
        <v>61</v>
      </c>
      <c r="G26" s="1">
        <v>0.70601942645852001</v>
      </c>
      <c r="H26" s="1">
        <v>0.55052953104480995</v>
      </c>
      <c r="I26" s="1">
        <v>0.59438065106927696</v>
      </c>
      <c r="J26" s="1">
        <v>0.53620924549525995</v>
      </c>
      <c r="K26" s="1">
        <v>0.60746534392628204</v>
      </c>
      <c r="L26" s="1">
        <v>0.58099237308753404</v>
      </c>
      <c r="M26" s="1">
        <v>0.52237387702204197</v>
      </c>
      <c r="N26" s="1">
        <v>0.47838587294774598</v>
      </c>
      <c r="O26" s="1">
        <v>0.60699950199265795</v>
      </c>
      <c r="P26" s="1">
        <v>0.52778407294410301</v>
      </c>
      <c r="Q26" s="1">
        <v>0.69387755102040805</v>
      </c>
      <c r="R26" s="1">
        <v>0.70678706759265197</v>
      </c>
      <c r="S26" s="1">
        <v>0.58064516129032195</v>
      </c>
      <c r="T26" s="1">
        <f t="shared" si="4"/>
        <v>0.59172689814550883</v>
      </c>
    </row>
    <row r="27" spans="1:20" ht="30" customHeight="1">
      <c r="A27" t="str">
        <f t="shared" si="3"/>
        <v>finnish</v>
      </c>
      <c r="B27">
        <f>_xlfn.LET(_xlpm.c,_xlfn.SINGLE(Table1[condition]),IF(RIGHT(_xlpm.c,2)="1g",1,0))</f>
        <v>0</v>
      </c>
      <c r="C27">
        <f>_xlfn.LET(_xlpm.c,_xlfn.SINGLE(Table1[condition]),_xlpm.k,CONCATENATE("*","-xsk","*"),IF(COUNTIF(_xlpm.c,_xlpm.k)&gt;0,1,0))</f>
        <v>0</v>
      </c>
      <c r="D27">
        <f>_xlfn.LET(_xlpm.c,_xlfn.SINGLE(Table1[condition]),_xlpm.k,CONCATENATE("*","-sk","*"),IF(COUNTIF(_xlpm.c,_xlpm.k)&gt;0,1,0))</f>
        <v>1</v>
      </c>
      <c r="E27">
        <f>IF(AND(Table1[[#This Row],[xsk]]=1,Table1[[#This Row],[sk]]=1),0,1)</f>
        <v>1</v>
      </c>
      <c r="F27" t="s">
        <v>62</v>
      </c>
      <c r="G27" s="1">
        <v>0.67878530944928295</v>
      </c>
      <c r="H27" s="1">
        <v>0.78906903492906399</v>
      </c>
      <c r="I27" s="1">
        <v>0.57038002907986596</v>
      </c>
      <c r="J27" s="1">
        <v>0.66824088953425398</v>
      </c>
      <c r="K27" s="1">
        <v>0.73045663569501196</v>
      </c>
      <c r="L27" s="1">
        <v>0.49144042247805603</v>
      </c>
      <c r="M27" s="1">
        <v>0.50735453203357095</v>
      </c>
      <c r="N27" s="1">
        <v>0.51836637247046802</v>
      </c>
      <c r="O27" s="1">
        <v>0.757216696599189</v>
      </c>
      <c r="P27" s="1">
        <v>0.68871868683121995</v>
      </c>
      <c r="Q27" s="1">
        <v>0.42051077642643298</v>
      </c>
      <c r="R27" s="1">
        <v>0.54678172407782999</v>
      </c>
      <c r="S27" s="1">
        <v>0.53579504479750195</v>
      </c>
      <c r="T27" s="1">
        <f t="shared" si="4"/>
        <v>0.60793201187705748</v>
      </c>
    </row>
    <row r="28" spans="1:20" ht="30" customHeight="1">
      <c r="A28" t="str">
        <f t="shared" si="3"/>
        <v>finnish</v>
      </c>
      <c r="B28">
        <f>_xlfn.LET(_xlpm.c,_xlfn.SINGLE(Table1[condition]),IF(RIGHT(_xlpm.c,2)="1g",1,0))</f>
        <v>0</v>
      </c>
      <c r="C28">
        <f>_xlfn.LET(_xlpm.c,_xlfn.SINGLE(Table1[condition]),_xlpm.k,CONCATENATE("*","-xsk","*"),IF(COUNTIF(_xlpm.c,_xlpm.k)&gt;0,1,0))</f>
        <v>1</v>
      </c>
      <c r="D28">
        <f>_xlfn.LET(_xlpm.c,_xlfn.SINGLE(Table1[condition]),_xlpm.k,CONCATENATE("*","-sk","*"),IF(COUNTIF(_xlpm.c,_xlpm.k)&gt;0,1,0))</f>
        <v>0</v>
      </c>
      <c r="E28">
        <f>IF(AND(Table1[[#This Row],[xsk]]=1,Table1[[#This Row],[sk]]=1),0,1)</f>
        <v>1</v>
      </c>
      <c r="F28" t="s">
        <v>63</v>
      </c>
      <c r="G28" s="1">
        <v>0.719453178969364</v>
      </c>
      <c r="H28" s="1">
        <v>0.62583047800582503</v>
      </c>
      <c r="I28" s="1">
        <v>0.88303688022450499</v>
      </c>
      <c r="J28" s="1">
        <v>0.53889679169953997</v>
      </c>
      <c r="K28" s="1">
        <v>0.805665096117543</v>
      </c>
      <c r="L28" s="1">
        <v>0.57078023985277104</v>
      </c>
      <c r="M28" s="1">
        <v>0.57503081631677</v>
      </c>
      <c r="N28" s="1">
        <v>0.69917332780597796</v>
      </c>
      <c r="O28" s="1">
        <v>0.86094830589678994</v>
      </c>
      <c r="P28" s="1">
        <v>0.55031363575887304</v>
      </c>
      <c r="Q28" s="1">
        <v>0.69618758781775603</v>
      </c>
      <c r="R28" s="1">
        <v>0.570127752236676</v>
      </c>
      <c r="S28" s="1">
        <v>0.64739839560126</v>
      </c>
      <c r="T28" s="1">
        <f t="shared" si="4"/>
        <v>0.67252634510028086</v>
      </c>
    </row>
    <row r="29" spans="1:20" ht="30" customHeight="1">
      <c r="A29" t="str">
        <f t="shared" si="3"/>
        <v>finnish</v>
      </c>
      <c r="B29">
        <f>_xlfn.LET(_xlpm.c,_xlfn.SINGLE(Table1[condition]),IF(RIGHT(_xlpm.c,2)="1g",1,0))</f>
        <v>0</v>
      </c>
      <c r="C29">
        <f>_xlfn.LET(_xlpm.c,_xlfn.SINGLE(Table1[condition]),_xlpm.k,CONCATENATE("*","-xsk","*"),IF(COUNTIF(_xlpm.c,_xlpm.k)&gt;0,1,0))</f>
        <v>1</v>
      </c>
      <c r="D29">
        <f>_xlfn.LET(_xlpm.c,_xlfn.SINGLE(Table1[condition]),_xlpm.k,CONCATENATE("*","-sk","*"),IF(COUNTIF(_xlpm.c,_xlpm.k)&gt;0,1,0))</f>
        <v>0</v>
      </c>
      <c r="E29">
        <f>IF(AND(Table1[[#This Row],[xsk]]=1,Table1[[#This Row],[sk]]=1),0,1)</f>
        <v>1</v>
      </c>
      <c r="F29" t="s">
        <v>64</v>
      </c>
      <c r="G29" s="1">
        <v>0.69386703880398704</v>
      </c>
      <c r="H29" s="1">
        <v>0.70599076208677003</v>
      </c>
      <c r="I29" s="1">
        <v>0.72491409999599099</v>
      </c>
      <c r="J29" s="1">
        <v>0.93886585338963602</v>
      </c>
      <c r="K29" s="1">
        <v>0.35826647260682498</v>
      </c>
      <c r="L29" s="1">
        <v>0.54017186442731602</v>
      </c>
      <c r="M29" s="1">
        <v>0.52144722645549402</v>
      </c>
      <c r="N29" s="1">
        <v>0.46152723422217001</v>
      </c>
      <c r="O29" s="1">
        <v>0.96551724137931005</v>
      </c>
      <c r="P29" s="1">
        <v>0.65338701403324395</v>
      </c>
      <c r="Q29" s="1">
        <v>0.44920402142697402</v>
      </c>
      <c r="R29" s="1">
        <v>0.55278890155666704</v>
      </c>
      <c r="S29" s="1">
        <v>0.36109242284281201</v>
      </c>
      <c r="T29" s="1">
        <f t="shared" si="4"/>
        <v>0.60977231947901511</v>
      </c>
    </row>
    <row r="30" spans="1:20" ht="30" customHeight="1">
      <c r="A30" t="str">
        <f t="shared" si="3"/>
        <v>german</v>
      </c>
      <c r="B30">
        <f>_xlfn.LET(_xlpm.c,_xlfn.SINGLE(Table1[condition]),IF(RIGHT(_xlpm.c,2)="1g",1,0))</f>
        <v>1</v>
      </c>
      <c r="C30">
        <f>_xlfn.LET(_xlpm.c,_xlfn.SINGLE(Table1[condition]),_xlpm.k,CONCATENATE("*","-xsk","*"),IF(COUNTIF(_xlpm.c,_xlpm.k)&gt;0,1,0))</f>
        <v>0</v>
      </c>
      <c r="D30">
        <f>_xlfn.LET(_xlpm.c,_xlfn.SINGLE(Table1[condition]),_xlpm.k,CONCATENATE("*","-sk","*"),IF(COUNTIF(_xlpm.c,_xlpm.k)&gt;0,1,0))</f>
        <v>0</v>
      </c>
      <c r="E30">
        <f>IF(AND(Table1[[#This Row],[xsk]]=1,Table1[[#This Row],[sk]]=1),0,1)</f>
        <v>1</v>
      </c>
      <c r="F30" t="s">
        <v>26</v>
      </c>
      <c r="G30" s="1">
        <v>0.73909878020505404</v>
      </c>
      <c r="H30" s="1">
        <v>0.79605905425937196</v>
      </c>
      <c r="I30" s="1">
        <v>0.86704147578903101</v>
      </c>
      <c r="J30" s="1">
        <v>0.61148407825432105</v>
      </c>
      <c r="K30" s="1">
        <v>0.82251414582186599</v>
      </c>
      <c r="L30" s="1">
        <v>0.25197287338762497</v>
      </c>
      <c r="M30" s="1">
        <v>0</v>
      </c>
      <c r="N30" s="1">
        <v>0.551863207914012</v>
      </c>
      <c r="O30" s="1">
        <v>0.56937918132012399</v>
      </c>
      <c r="P30" s="1">
        <v>0.39175964268758001</v>
      </c>
      <c r="Q30" s="1">
        <v>0.51316701949486199</v>
      </c>
      <c r="R30" s="1"/>
      <c r="S30" s="1">
        <v>0.45624013018959803</v>
      </c>
      <c r="T30" s="1">
        <f t="shared" si="4"/>
        <v>0.54754829911028713</v>
      </c>
    </row>
    <row r="31" spans="1:20" ht="30" customHeight="1">
      <c r="A31" t="str">
        <f t="shared" si="3"/>
        <v>german</v>
      </c>
      <c r="B31">
        <f>_xlfn.LET(_xlpm.c,_xlfn.SINGLE(Table1[condition]),IF(RIGHT(_xlpm.c,2)="1g",1,0))</f>
        <v>0</v>
      </c>
      <c r="C31">
        <f>_xlfn.LET(_xlpm.c,_xlfn.SINGLE(Table1[condition]),_xlpm.k,CONCATENATE("*","-xsk","*"),IF(COUNTIF(_xlpm.c,_xlpm.k)&gt;0,1,0))</f>
        <v>0</v>
      </c>
      <c r="D31">
        <f>_xlfn.LET(_xlpm.c,_xlfn.SINGLE(Table1[condition]),_xlpm.k,CONCATENATE("*","-sk","*"),IF(COUNTIF(_xlpm.c,_xlpm.k)&gt;0,1,0))</f>
        <v>0</v>
      </c>
      <c r="E31">
        <f>IF(AND(Table1[[#This Row],[xsk]]=1,Table1[[#This Row],[sk]]=1),0,1)</f>
        <v>1</v>
      </c>
      <c r="F31" t="s">
        <v>27</v>
      </c>
      <c r="G31" s="1">
        <v>0.444509612242453</v>
      </c>
      <c r="H31" s="1">
        <v>0.66031804555167395</v>
      </c>
      <c r="I31" s="1">
        <v>0.25512361893989</v>
      </c>
      <c r="J31" s="1">
        <v>0.42632227150676999</v>
      </c>
      <c r="K31" s="1">
        <v>0.43849927603897598</v>
      </c>
      <c r="L31" s="1">
        <v>0.65606378723411696</v>
      </c>
      <c r="M31" s="1">
        <v>0.42935225482346501</v>
      </c>
      <c r="N31" s="1">
        <v>1</v>
      </c>
      <c r="O31" s="1">
        <v>0.73205080756887697</v>
      </c>
      <c r="P31" s="1">
        <v>1</v>
      </c>
      <c r="Q31" s="1">
        <v>0.39702762303064698</v>
      </c>
      <c r="R31" s="1">
        <v>1</v>
      </c>
      <c r="S31" s="1">
        <v>0.30694807889388498</v>
      </c>
      <c r="T31" s="1">
        <f t="shared" si="4"/>
        <v>0.5958627212177503</v>
      </c>
    </row>
    <row r="32" spans="1:20" ht="30" customHeight="1">
      <c r="A32" t="str">
        <f t="shared" si="3"/>
        <v>german</v>
      </c>
      <c r="B32">
        <f>_xlfn.LET(_xlpm.c,_xlfn.SINGLE(Table1[condition]),IF(RIGHT(_xlpm.c,2)="1g",1,0))</f>
        <v>0</v>
      </c>
      <c r="C32">
        <f>_xlfn.LET(_xlpm.c,_xlfn.SINGLE(Table1[condition]),_xlpm.k,CONCATENATE("*","-xsk","*"),IF(COUNTIF(_xlpm.c,_xlpm.k)&gt;0,1,0))</f>
        <v>0</v>
      </c>
      <c r="D32">
        <f>_xlfn.LET(_xlpm.c,_xlfn.SINGLE(Table1[condition]),_xlpm.k,CONCATENATE("*","-sk","*"),IF(COUNTIF(_xlpm.c,_xlpm.k)&gt;0,1,0))</f>
        <v>0</v>
      </c>
      <c r="E32">
        <f>IF(AND(Table1[[#This Row],[xsk]]=1,Table1[[#This Row],[sk]]=1),0,1)</f>
        <v>1</v>
      </c>
      <c r="F32" t="s">
        <v>28</v>
      </c>
      <c r="G32" s="1">
        <v>0.67020290680762595</v>
      </c>
      <c r="H32" s="1">
        <v>0.55999062886777695</v>
      </c>
      <c r="I32" s="1">
        <v>0.375813290886155</v>
      </c>
      <c r="J32" s="1">
        <v>0.47111490778189902</v>
      </c>
      <c r="K32" s="1">
        <v>0.39420140634182799</v>
      </c>
      <c r="L32" s="1">
        <v>0.54227396179967802</v>
      </c>
      <c r="M32" s="1">
        <v>0.55085488943651495</v>
      </c>
      <c r="N32" s="1">
        <v>0.37409051387388498</v>
      </c>
      <c r="O32" s="1">
        <v>0.54795756020952302</v>
      </c>
      <c r="P32" s="1">
        <v>0.74717081015480702</v>
      </c>
      <c r="Q32" s="1">
        <v>0.34847322162989702</v>
      </c>
      <c r="R32" s="1">
        <v>1</v>
      </c>
      <c r="S32" s="1">
        <v>0.35480998374967898</v>
      </c>
      <c r="T32" s="1">
        <f t="shared" si="4"/>
        <v>0.53361185242609765</v>
      </c>
    </row>
    <row r="33" spans="1:20" ht="30" customHeight="1">
      <c r="A33" t="str">
        <f t="shared" si="3"/>
        <v>german</v>
      </c>
      <c r="B33">
        <f>_xlfn.LET(_xlpm.c,_xlfn.SINGLE(Table1[condition]),IF(RIGHT(_xlpm.c,2)="1g",1,0))</f>
        <v>0</v>
      </c>
      <c r="C33">
        <f>_xlfn.LET(_xlpm.c,_xlfn.SINGLE(Table1[condition]),_xlpm.k,CONCATENATE("*","-xsk","*"),IF(COUNTIF(_xlpm.c,_xlpm.k)&gt;0,1,0))</f>
        <v>0</v>
      </c>
      <c r="D33">
        <f>_xlfn.LET(_xlpm.c,_xlfn.SINGLE(Table1[condition]),_xlpm.k,CONCATENATE("*","-sk","*"),IF(COUNTIF(_xlpm.c,_xlpm.k)&gt;0,1,0))</f>
        <v>1</v>
      </c>
      <c r="E33">
        <f>IF(AND(Table1[[#This Row],[xsk]]=1,Table1[[#This Row],[sk]]=1),0,1)</f>
        <v>1</v>
      </c>
      <c r="F33" t="s">
        <v>29</v>
      </c>
      <c r="G33" s="1">
        <v>0.67450291063872303</v>
      </c>
      <c r="H33" s="1">
        <v>0.67278614286113503</v>
      </c>
      <c r="I33" s="1">
        <v>0.51549826329645898</v>
      </c>
      <c r="J33" s="1">
        <v>0.58624301852640803</v>
      </c>
      <c r="K33" s="1">
        <v>0.52870566763413596</v>
      </c>
      <c r="L33" s="1">
        <v>0.58997324881401103</v>
      </c>
      <c r="M33" s="1">
        <v>0.24909322724352201</v>
      </c>
      <c r="N33" s="1">
        <v>0.25667824761976799</v>
      </c>
      <c r="O33" s="1">
        <v>0.406025018706347</v>
      </c>
      <c r="P33" s="1">
        <v>0.552616534994544</v>
      </c>
      <c r="Q33" s="1">
        <v>1</v>
      </c>
      <c r="R33" s="1">
        <v>0.46639986672804801</v>
      </c>
      <c r="S33" s="1">
        <v>0.41904303063116699</v>
      </c>
      <c r="T33" s="1">
        <f t="shared" si="4"/>
        <v>0.53212039828417457</v>
      </c>
    </row>
    <row r="34" spans="1:20" ht="30" customHeight="1">
      <c r="A34" t="str">
        <f t="shared" si="3"/>
        <v>german</v>
      </c>
      <c r="B34">
        <f>_xlfn.LET(_xlpm.c,_xlfn.SINGLE(Table1[condition]),IF(RIGHT(_xlpm.c,2)="1g",1,0))</f>
        <v>0</v>
      </c>
      <c r="C34">
        <f>_xlfn.LET(_xlpm.c,_xlfn.SINGLE(Table1[condition]),_xlpm.k,CONCATENATE("*","-xsk","*"),IF(COUNTIF(_xlpm.c,_xlpm.k)&gt;0,1,0))</f>
        <v>0</v>
      </c>
      <c r="D34">
        <f>_xlfn.LET(_xlpm.c,_xlfn.SINGLE(Table1[condition]),_xlpm.k,CONCATENATE("*","-sk","*"),IF(COUNTIF(_xlpm.c,_xlpm.k)&gt;0,1,0))</f>
        <v>1</v>
      </c>
      <c r="E34">
        <f>IF(AND(Table1[[#This Row],[xsk]]=1,Table1[[#This Row],[sk]]=1),0,1)</f>
        <v>1</v>
      </c>
      <c r="F34" t="s">
        <v>30</v>
      </c>
      <c r="G34" s="1">
        <v>0.81815105940503297</v>
      </c>
      <c r="H34" s="1">
        <v>0.60170396389031</v>
      </c>
      <c r="I34" s="1">
        <v>0.63560335423056702</v>
      </c>
      <c r="J34" s="1">
        <v>0.47979761823931899</v>
      </c>
      <c r="K34" s="1">
        <v>0.58486319328115699</v>
      </c>
      <c r="L34" s="1">
        <v>0.44007831261233299</v>
      </c>
      <c r="M34" s="1">
        <v>0.59019942778540202</v>
      </c>
      <c r="N34" s="1">
        <v>0.56378416312476098</v>
      </c>
      <c r="O34" s="1">
        <v>0.55167587376972704</v>
      </c>
      <c r="P34" s="1">
        <v>0.37515966192187</v>
      </c>
      <c r="Q34" s="1">
        <v>0.69206988182868101</v>
      </c>
      <c r="R34" s="1">
        <v>0.48202761674126898</v>
      </c>
      <c r="S34" s="1">
        <v>0.52712197740150901</v>
      </c>
      <c r="T34" s="1">
        <f t="shared" si="4"/>
        <v>0.56478739263322608</v>
      </c>
    </row>
    <row r="35" spans="1:20" ht="30" customHeight="1">
      <c r="A35" t="str">
        <f t="shared" si="3"/>
        <v>german</v>
      </c>
      <c r="B35">
        <f>_xlfn.LET(_xlpm.c,_xlfn.SINGLE(Table1[condition]),IF(RIGHT(_xlpm.c,2)="1g",1,0))</f>
        <v>0</v>
      </c>
      <c r="C35">
        <f>_xlfn.LET(_xlpm.c,_xlfn.SINGLE(Table1[condition]),_xlpm.k,CONCATENATE("*","-xsk","*"),IF(COUNTIF(_xlpm.c,_xlpm.k)&gt;0,1,0))</f>
        <v>1</v>
      </c>
      <c r="D35">
        <f>_xlfn.LET(_xlpm.c,_xlfn.SINGLE(Table1[condition]),_xlpm.k,CONCATENATE("*","-sk","*"),IF(COUNTIF(_xlpm.c,_xlpm.k)&gt;0,1,0))</f>
        <v>0</v>
      </c>
      <c r="E35">
        <f>IF(AND(Table1[[#This Row],[xsk]]=1,Table1[[#This Row],[sk]]=1),0,1)</f>
        <v>1</v>
      </c>
      <c r="F35" t="s">
        <v>65</v>
      </c>
      <c r="G35" s="1">
        <v>0.73035575726327095</v>
      </c>
      <c r="H35" s="1">
        <v>0.77629082476980804</v>
      </c>
      <c r="I35" s="1">
        <v>0.475400363434823</v>
      </c>
      <c r="J35" s="1">
        <v>0.63236792184698998</v>
      </c>
      <c r="K35" s="1">
        <v>0.56041610512302598</v>
      </c>
      <c r="L35" s="1">
        <v>0.44143679555196103</v>
      </c>
      <c r="M35" s="1">
        <v>0.56496587165283396</v>
      </c>
      <c r="N35" s="1">
        <v>0.48227192367182498</v>
      </c>
      <c r="O35" s="1">
        <v>0.52046873456763498</v>
      </c>
      <c r="P35" s="1">
        <v>0.53137303340311404</v>
      </c>
      <c r="Q35" s="1">
        <v>0.73193630316304004</v>
      </c>
      <c r="R35" s="1">
        <v>0.54114693147053095</v>
      </c>
      <c r="S35" s="1">
        <v>0.25122818435323202</v>
      </c>
      <c r="T35" s="1">
        <f t="shared" si="4"/>
        <v>0.55689682694400688</v>
      </c>
    </row>
    <row r="36" spans="1:20" ht="30" customHeight="1">
      <c r="A36" t="str">
        <f t="shared" si="3"/>
        <v>german</v>
      </c>
      <c r="B36">
        <f>_xlfn.LET(_xlpm.c,_xlfn.SINGLE(Table1[condition]),IF(RIGHT(_xlpm.c,2)="1g",1,0))</f>
        <v>0</v>
      </c>
      <c r="C36">
        <f>_xlfn.LET(_xlpm.c,_xlfn.SINGLE(Table1[condition]),_xlpm.k,CONCATENATE("*","-xsk","*"),IF(COUNTIF(_xlpm.c,_xlpm.k)&gt;0,1,0))</f>
        <v>1</v>
      </c>
      <c r="D36">
        <f>_xlfn.LET(_xlpm.c,_xlfn.SINGLE(Table1[condition]),_xlpm.k,CONCATENATE("*","-sk","*"),IF(COUNTIF(_xlpm.c,_xlpm.k)&gt;0,1,0))</f>
        <v>0</v>
      </c>
      <c r="E36">
        <f>IF(AND(Table1[[#This Row],[xsk]]=1,Table1[[#This Row],[sk]]=1),0,1)</f>
        <v>1</v>
      </c>
      <c r="F36" t="s">
        <v>66</v>
      </c>
      <c r="G36" s="1">
        <v>0.85907176734163604</v>
      </c>
      <c r="H36" s="1">
        <v>0.70825823490956097</v>
      </c>
      <c r="I36" s="1">
        <v>0.57716953035948604</v>
      </c>
      <c r="J36" s="1">
        <v>0.51081020448124503</v>
      </c>
      <c r="K36" s="1">
        <v>0.74875538744417303</v>
      </c>
      <c r="L36" s="1">
        <v>0.71245267349872399</v>
      </c>
      <c r="M36" s="1">
        <v>0.5</v>
      </c>
      <c r="N36" s="1">
        <v>0.5</v>
      </c>
      <c r="O36" s="1">
        <v>0.35290604466757403</v>
      </c>
      <c r="P36" s="1">
        <v>0.53518752459880403</v>
      </c>
      <c r="Q36" s="1">
        <v>0.493901531919196</v>
      </c>
      <c r="R36" s="1">
        <v>0.57819451224451901</v>
      </c>
      <c r="S36" s="1">
        <v>0.28098294899394299</v>
      </c>
      <c r="T36" s="1">
        <f t="shared" si="4"/>
        <v>0.56597618157375851</v>
      </c>
    </row>
    <row r="37" spans="1:20" ht="30" customHeight="1">
      <c r="A37" t="str">
        <f t="shared" si="3"/>
        <v>greek</v>
      </c>
      <c r="B37">
        <f>_xlfn.LET(_xlpm.c,_xlfn.SINGLE(Table1[condition]),IF(RIGHT(_xlpm.c,2)="1g",1,0))</f>
        <v>1</v>
      </c>
      <c r="C37">
        <f>_xlfn.LET(_xlpm.c,_xlfn.SINGLE(Table1[condition]),_xlpm.k,CONCATENATE("*","-xsk","*"),IF(COUNTIF(_xlpm.c,_xlpm.k)&gt;0,1,0))</f>
        <v>0</v>
      </c>
      <c r="D37">
        <f>_xlfn.LET(_xlpm.c,_xlfn.SINGLE(Table1[condition]),_xlpm.k,CONCATENATE("*","-sk","*"),IF(COUNTIF(_xlpm.c,_xlpm.k)&gt;0,1,0))</f>
        <v>0</v>
      </c>
      <c r="E37">
        <f>IF(AND(Table1[[#This Row],[xsk]]=1,Table1[[#This Row],[sk]]=1),0,1)</f>
        <v>1</v>
      </c>
      <c r="F37" t="s">
        <v>67</v>
      </c>
      <c r="G37" s="1">
        <v>1</v>
      </c>
      <c r="H37" s="1">
        <v>1</v>
      </c>
      <c r="I37" s="1">
        <v>1</v>
      </c>
      <c r="J37" s="1">
        <v>1</v>
      </c>
      <c r="K37" s="1">
        <v>1</v>
      </c>
      <c r="L37" s="1">
        <v>1</v>
      </c>
      <c r="M37" s="1">
        <v>1</v>
      </c>
      <c r="N37" s="1">
        <v>1</v>
      </c>
      <c r="O37" s="1">
        <v>1</v>
      </c>
      <c r="P37" s="1">
        <v>1</v>
      </c>
      <c r="Q37" s="1">
        <v>1</v>
      </c>
      <c r="R37" s="1">
        <v>1</v>
      </c>
      <c r="S37" s="1">
        <v>1</v>
      </c>
      <c r="T37" s="1">
        <f t="shared" si="4"/>
        <v>1</v>
      </c>
    </row>
    <row r="38" spans="1:20" ht="30" customHeight="1">
      <c r="A38" t="str">
        <f t="shared" si="3"/>
        <v>greek</v>
      </c>
      <c r="B38">
        <f>_xlfn.LET(_xlpm.c,_xlfn.SINGLE(Table1[condition]),IF(RIGHT(_xlpm.c,2)="1g",1,0))</f>
        <v>0</v>
      </c>
      <c r="C38">
        <f>_xlfn.LET(_xlpm.c,_xlfn.SINGLE(Table1[condition]),_xlpm.k,CONCATENATE("*","-xsk","*"),IF(COUNTIF(_xlpm.c,_xlpm.k)&gt;0,1,0))</f>
        <v>0</v>
      </c>
      <c r="D38">
        <f>_xlfn.LET(_xlpm.c,_xlfn.SINGLE(Table1[condition]),_xlpm.k,CONCATENATE("*","-sk","*"),IF(COUNTIF(_xlpm.c,_xlpm.k)&gt;0,1,0))</f>
        <v>0</v>
      </c>
      <c r="E38">
        <f>IF(AND(Table1[[#This Row],[xsk]]=1,Table1[[#This Row],[sk]]=1),0,1)</f>
        <v>1</v>
      </c>
      <c r="F38" t="s">
        <v>68</v>
      </c>
      <c r="G38" s="1">
        <v>1</v>
      </c>
      <c r="H38" s="1">
        <v>1</v>
      </c>
      <c r="I38" s="1">
        <v>1</v>
      </c>
      <c r="J38" s="1">
        <v>1</v>
      </c>
      <c r="K38" s="1">
        <v>1</v>
      </c>
      <c r="L38" s="1">
        <v>1</v>
      </c>
      <c r="M38" s="1">
        <v>1</v>
      </c>
      <c r="N38" s="1">
        <v>1</v>
      </c>
      <c r="O38" s="1">
        <v>1</v>
      </c>
      <c r="P38" s="1">
        <v>1</v>
      </c>
      <c r="Q38" s="1">
        <v>1</v>
      </c>
      <c r="R38" s="1">
        <v>1</v>
      </c>
      <c r="S38" s="1">
        <v>1</v>
      </c>
      <c r="T38" s="1">
        <f t="shared" si="4"/>
        <v>1</v>
      </c>
    </row>
    <row r="39" spans="1:20" ht="30" customHeight="1">
      <c r="A39" t="str">
        <f t="shared" si="3"/>
        <v>greek</v>
      </c>
      <c r="B39">
        <f>_xlfn.LET(_xlpm.c,_xlfn.SINGLE(Table1[condition]),IF(RIGHT(_xlpm.c,2)="1g",1,0))</f>
        <v>0</v>
      </c>
      <c r="C39">
        <f>_xlfn.LET(_xlpm.c,_xlfn.SINGLE(Table1[condition]),_xlpm.k,CONCATENATE("*","-xsk","*"),IF(COUNTIF(_xlpm.c,_xlpm.k)&gt;0,1,0))</f>
        <v>0</v>
      </c>
      <c r="D39">
        <f>_xlfn.LET(_xlpm.c,_xlfn.SINGLE(Table1[condition]),_xlpm.k,CONCATENATE("*","-sk","*"),IF(COUNTIF(_xlpm.c,_xlpm.k)&gt;0,1,0))</f>
        <v>0</v>
      </c>
      <c r="E39">
        <f>IF(AND(Table1[[#This Row],[xsk]]=1,Table1[[#This Row],[sk]]=1),0,1)</f>
        <v>1</v>
      </c>
      <c r="F39" t="s">
        <v>69</v>
      </c>
      <c r="G39" s="1">
        <v>1</v>
      </c>
      <c r="H39" s="1">
        <v>1</v>
      </c>
      <c r="I39" s="1">
        <v>1</v>
      </c>
      <c r="J39" s="1">
        <v>1</v>
      </c>
      <c r="K39" s="1">
        <v>1</v>
      </c>
      <c r="L39" s="1">
        <v>1</v>
      </c>
      <c r="M39" s="1">
        <v>1</v>
      </c>
      <c r="N39" s="1">
        <v>1</v>
      </c>
      <c r="O39" s="1">
        <v>1</v>
      </c>
      <c r="P39" s="1">
        <v>1</v>
      </c>
      <c r="Q39" s="1">
        <v>1</v>
      </c>
      <c r="R39" s="1">
        <v>1</v>
      </c>
      <c r="S39" s="1">
        <v>1</v>
      </c>
      <c r="T39" s="1">
        <f t="shared" si="4"/>
        <v>1</v>
      </c>
    </row>
    <row r="40" spans="1:20" ht="30" customHeight="1">
      <c r="A40" t="str">
        <f t="shared" si="1"/>
        <v>greek</v>
      </c>
      <c r="B40">
        <f>_xlfn.LET(_xlpm.c,_xlfn.SINGLE(Table1[condition]),IF(RIGHT(_xlpm.c,2)="1g",1,0))</f>
        <v>0</v>
      </c>
      <c r="C40">
        <f>_xlfn.LET(_xlpm.c,_xlfn.SINGLE(Table1[condition]),_xlpm.k,CONCATENATE("*","-xsk","*"),IF(COUNTIF(_xlpm.c,_xlpm.k)&gt;0,1,0))</f>
        <v>0</v>
      </c>
      <c r="D40">
        <f>_xlfn.LET(_xlpm.c,_xlfn.SINGLE(Table1[condition]),_xlpm.k,CONCATENATE("*","-sk","*"),IF(COUNTIF(_xlpm.c,_xlpm.k)&gt;0,1,0))</f>
        <v>1</v>
      </c>
      <c r="E40">
        <f>IF(AND(Table1[[#This Row],[xsk]]=1,Table1[[#This Row],[sk]]=1),0,1)</f>
        <v>1</v>
      </c>
      <c r="F40" t="s">
        <v>70</v>
      </c>
      <c r="G40" s="1">
        <v>1</v>
      </c>
      <c r="H40" s="1">
        <v>1</v>
      </c>
      <c r="I40" s="1">
        <v>1</v>
      </c>
      <c r="J40" s="1">
        <v>1</v>
      </c>
      <c r="K40" s="1">
        <v>1</v>
      </c>
      <c r="L40" s="1">
        <v>1</v>
      </c>
      <c r="M40" s="1">
        <v>1</v>
      </c>
      <c r="N40" s="1">
        <v>1</v>
      </c>
      <c r="O40" s="1">
        <v>1</v>
      </c>
      <c r="P40" s="1">
        <v>1</v>
      </c>
      <c r="Q40" s="1">
        <v>1</v>
      </c>
      <c r="R40" s="1">
        <v>0.91400282192118698</v>
      </c>
      <c r="S40" s="1">
        <v>1</v>
      </c>
      <c r="T40" s="1">
        <f t="shared" si="2"/>
        <v>0.99338483245547593</v>
      </c>
    </row>
    <row r="41" spans="1:20" ht="30" customHeight="1">
      <c r="A41" t="str">
        <f t="shared" si="1"/>
        <v>greek</v>
      </c>
      <c r="B41">
        <f>_xlfn.LET(_xlpm.c,_xlfn.SINGLE(Table1[condition]),IF(RIGHT(_xlpm.c,2)="1g",1,0))</f>
        <v>0</v>
      </c>
      <c r="C41">
        <f>_xlfn.LET(_xlpm.c,_xlfn.SINGLE(Table1[condition]),_xlpm.k,CONCATENATE("*","-xsk","*"),IF(COUNTIF(_xlpm.c,_xlpm.k)&gt;0,1,0))</f>
        <v>0</v>
      </c>
      <c r="D41">
        <f>_xlfn.LET(_xlpm.c,_xlfn.SINGLE(Table1[condition]),_xlpm.k,CONCATENATE("*","-sk","*"),IF(COUNTIF(_xlpm.c,_xlpm.k)&gt;0,1,0))</f>
        <v>1</v>
      </c>
      <c r="E41">
        <f>IF(AND(Table1[[#This Row],[xsk]]=1,Table1[[#This Row],[sk]]=1),0,1)</f>
        <v>1</v>
      </c>
      <c r="F41" t="s">
        <v>71</v>
      </c>
      <c r="G41" s="1">
        <v>0.99770111702771702</v>
      </c>
      <c r="H41" s="1">
        <v>1</v>
      </c>
      <c r="I41" s="1">
        <v>1</v>
      </c>
      <c r="J41" s="1">
        <v>1</v>
      </c>
      <c r="K41" s="1">
        <v>1</v>
      </c>
      <c r="L41" s="1">
        <v>0.89057863732438503</v>
      </c>
      <c r="M41" s="1">
        <v>0.84387707770731901</v>
      </c>
      <c r="N41" s="1">
        <v>0.92771750814121401</v>
      </c>
      <c r="O41" s="1">
        <v>1</v>
      </c>
      <c r="P41" s="1">
        <v>1</v>
      </c>
      <c r="Q41" s="1">
        <v>1</v>
      </c>
      <c r="R41" s="1">
        <v>1</v>
      </c>
      <c r="S41" s="1">
        <v>0.48999599679679601</v>
      </c>
      <c r="T41" s="1">
        <f t="shared" si="2"/>
        <v>0.93460541053826396</v>
      </c>
    </row>
    <row r="42" spans="1:20" ht="30" customHeight="1">
      <c r="A42" t="str">
        <f t="shared" si="1"/>
        <v>greek</v>
      </c>
      <c r="B42">
        <f>_xlfn.LET(_xlpm.c,_xlfn.SINGLE(Table1[condition]),IF(RIGHT(_xlpm.c,2)="1g",1,0))</f>
        <v>0</v>
      </c>
      <c r="C42">
        <f>_xlfn.LET(_xlpm.c,_xlfn.SINGLE(Table1[condition]),_xlpm.k,CONCATENATE("*","-xsk","*"),IF(COUNTIF(_xlpm.c,_xlpm.k)&gt;0,1,0))</f>
        <v>1</v>
      </c>
      <c r="D42">
        <f>_xlfn.LET(_xlpm.c,_xlfn.SINGLE(Table1[condition]),_xlpm.k,CONCATENATE("*","-sk","*"),IF(COUNTIF(_xlpm.c,_xlpm.k)&gt;0,1,0))</f>
        <v>0</v>
      </c>
      <c r="E42">
        <f>IF(AND(Table1[[#This Row],[xsk]]=1,Table1[[#This Row],[sk]]=1),0,1)</f>
        <v>1</v>
      </c>
      <c r="F42" t="s">
        <v>72</v>
      </c>
      <c r="G42" s="1">
        <v>0.99090031018004399</v>
      </c>
      <c r="H42" s="1">
        <v>1</v>
      </c>
      <c r="I42" s="1">
        <v>1</v>
      </c>
      <c r="J42" s="1">
        <v>0.92196981226514596</v>
      </c>
      <c r="K42" s="1">
        <v>1</v>
      </c>
      <c r="L42" s="1">
        <v>1</v>
      </c>
      <c r="M42" s="1">
        <v>1</v>
      </c>
      <c r="N42" s="1">
        <v>0.93891206069928301</v>
      </c>
      <c r="O42" s="1">
        <v>0.91449940438584298</v>
      </c>
      <c r="P42" s="1">
        <v>0.92733669126567297</v>
      </c>
      <c r="Q42" s="1">
        <v>1</v>
      </c>
      <c r="R42" s="1">
        <v>1</v>
      </c>
      <c r="S42" s="1">
        <v>0.88561967729757096</v>
      </c>
      <c r="T42" s="1">
        <f t="shared" si="2"/>
        <v>0.96763368893027379</v>
      </c>
    </row>
    <row r="43" spans="1:20" ht="30" customHeight="1">
      <c r="A43" t="str">
        <f t="shared" si="1"/>
        <v>greek</v>
      </c>
      <c r="B43">
        <f>_xlfn.LET(_xlpm.c,_xlfn.SINGLE(Table1[condition]),IF(RIGHT(_xlpm.c,2)="1g",1,0))</f>
        <v>0</v>
      </c>
      <c r="C43">
        <f>_xlfn.LET(_xlpm.c,_xlfn.SINGLE(Table1[condition]),_xlpm.k,CONCATENATE("*","-xsk","*"),IF(COUNTIF(_xlpm.c,_xlpm.k)&gt;0,1,0))</f>
        <v>1</v>
      </c>
      <c r="D43">
        <f>_xlfn.LET(_xlpm.c,_xlfn.SINGLE(Table1[condition]),_xlpm.k,CONCATENATE("*","-sk","*"),IF(COUNTIF(_xlpm.c,_xlpm.k)&gt;0,1,0))</f>
        <v>0</v>
      </c>
      <c r="E43">
        <f>IF(AND(Table1[[#This Row],[xsk]]=1,Table1[[#This Row],[sk]]=1),0,1)</f>
        <v>1</v>
      </c>
      <c r="F43" t="s">
        <v>73</v>
      </c>
      <c r="G43" s="1">
        <v>0.97755935689472095</v>
      </c>
      <c r="H43" s="1">
        <v>1</v>
      </c>
      <c r="I43" s="1">
        <v>1</v>
      </c>
      <c r="J43" s="1">
        <v>0.90234774677400098</v>
      </c>
      <c r="K43" s="1">
        <v>1</v>
      </c>
      <c r="L43" s="1">
        <v>1</v>
      </c>
      <c r="M43" s="1">
        <v>1</v>
      </c>
      <c r="N43" s="1">
        <v>0.85046799021186903</v>
      </c>
      <c r="O43" s="1">
        <v>1</v>
      </c>
      <c r="P43" s="1">
        <v>1</v>
      </c>
      <c r="Q43" s="1">
        <v>1</v>
      </c>
      <c r="R43" s="1">
        <v>0.91301238485996805</v>
      </c>
      <c r="S43" s="1">
        <v>1</v>
      </c>
      <c r="T43" s="1">
        <f t="shared" si="2"/>
        <v>0.97256826759542769</v>
      </c>
    </row>
    <row r="44" spans="1:20" ht="30" customHeight="1">
      <c r="A44" t="str">
        <f t="shared" si="1"/>
        <v>hebrew</v>
      </c>
      <c r="B44">
        <f>_xlfn.LET(_xlpm.c,_xlfn.SINGLE(Table1[condition]),IF(RIGHT(_xlpm.c,2)="1g",1,0))</f>
        <v>1</v>
      </c>
      <c r="C44">
        <f>_xlfn.LET(_xlpm.c,_xlfn.SINGLE(Table1[condition]),_xlpm.k,CONCATENATE("*","-xsk","*"),IF(COUNTIF(_xlpm.c,_xlpm.k)&gt;0,1,0))</f>
        <v>0</v>
      </c>
      <c r="D44">
        <f>_xlfn.LET(_xlpm.c,_xlfn.SINGLE(Table1[condition]),_xlpm.k,CONCATENATE("*","-sk","*"),IF(COUNTIF(_xlpm.c,_xlpm.k)&gt;0,1,0))</f>
        <v>0</v>
      </c>
      <c r="E44">
        <f>IF(AND(Table1[[#This Row],[xsk]]=1,Table1[[#This Row],[sk]]=1),0,1)</f>
        <v>1</v>
      </c>
      <c r="F44" t="s">
        <v>74</v>
      </c>
      <c r="G44" s="1">
        <v>1</v>
      </c>
      <c r="H44" s="1">
        <v>1</v>
      </c>
      <c r="I44" s="1">
        <v>1</v>
      </c>
      <c r="J44" s="1">
        <v>1</v>
      </c>
      <c r="K44" s="1">
        <v>1</v>
      </c>
      <c r="L44" s="1">
        <v>1</v>
      </c>
      <c r="M44" s="1">
        <v>1</v>
      </c>
      <c r="N44" s="1">
        <v>1</v>
      </c>
      <c r="O44" s="1">
        <v>1</v>
      </c>
      <c r="P44" s="1">
        <v>1</v>
      </c>
      <c r="Q44" s="1">
        <v>1</v>
      </c>
      <c r="R44" s="1">
        <v>1</v>
      </c>
      <c r="S44" s="1">
        <v>1</v>
      </c>
      <c r="T44" s="1">
        <f t="shared" si="2"/>
        <v>1</v>
      </c>
    </row>
    <row r="45" spans="1:20" ht="30" customHeight="1">
      <c r="A45" t="str">
        <f t="shared" si="1"/>
        <v>hebrew</v>
      </c>
      <c r="B45">
        <f>_xlfn.LET(_xlpm.c,_xlfn.SINGLE(Table1[condition]),IF(RIGHT(_xlpm.c,2)="1g",1,0))</f>
        <v>0</v>
      </c>
      <c r="C45">
        <f>_xlfn.LET(_xlpm.c,_xlfn.SINGLE(Table1[condition]),_xlpm.k,CONCATENATE("*","-xsk","*"),IF(COUNTIF(_xlpm.c,_xlpm.k)&gt;0,1,0))</f>
        <v>0</v>
      </c>
      <c r="D45">
        <f>_xlfn.LET(_xlpm.c,_xlfn.SINGLE(Table1[condition]),_xlpm.k,CONCATENATE("*","-sk","*"),IF(COUNTIF(_xlpm.c,_xlpm.k)&gt;0,1,0))</f>
        <v>0</v>
      </c>
      <c r="E45">
        <f>IF(AND(Table1[[#This Row],[xsk]]=1,Table1[[#This Row],[sk]]=1),0,1)</f>
        <v>1</v>
      </c>
      <c r="F45" t="s">
        <v>75</v>
      </c>
      <c r="G45" s="1">
        <v>1</v>
      </c>
      <c r="H45" s="1">
        <v>1</v>
      </c>
      <c r="I45" s="1">
        <v>1</v>
      </c>
      <c r="J45" s="1">
        <v>1</v>
      </c>
      <c r="K45" s="1">
        <v>1</v>
      </c>
      <c r="L45" s="1">
        <v>1</v>
      </c>
      <c r="M45" s="1">
        <v>1</v>
      </c>
      <c r="N45" s="1">
        <v>1</v>
      </c>
      <c r="O45" s="1">
        <v>1</v>
      </c>
      <c r="P45" s="1">
        <v>1</v>
      </c>
      <c r="Q45" s="1">
        <v>1</v>
      </c>
      <c r="R45" s="1">
        <v>1</v>
      </c>
      <c r="S45" s="1">
        <v>1</v>
      </c>
      <c r="T45" s="1">
        <f t="shared" si="2"/>
        <v>1</v>
      </c>
    </row>
    <row r="46" spans="1:20" ht="30" customHeight="1">
      <c r="A46" t="str">
        <f t="shared" si="1"/>
        <v>hebrew</v>
      </c>
      <c r="B46">
        <f>_xlfn.LET(_xlpm.c,_xlfn.SINGLE(Table1[condition]),IF(RIGHT(_xlpm.c,2)="1g",1,0))</f>
        <v>0</v>
      </c>
      <c r="C46">
        <f>_xlfn.LET(_xlpm.c,_xlfn.SINGLE(Table1[condition]),_xlpm.k,CONCATENATE("*","-xsk","*"),IF(COUNTIF(_xlpm.c,_xlpm.k)&gt;0,1,0))</f>
        <v>0</v>
      </c>
      <c r="D46">
        <f>_xlfn.LET(_xlpm.c,_xlfn.SINGLE(Table1[condition]),_xlpm.k,CONCATENATE("*","-sk","*"),IF(COUNTIF(_xlpm.c,_xlpm.k)&gt;0,1,0))</f>
        <v>0</v>
      </c>
      <c r="E46">
        <f>IF(AND(Table1[[#This Row],[xsk]]=1,Table1[[#This Row],[sk]]=1),0,1)</f>
        <v>1</v>
      </c>
      <c r="F46" t="s">
        <v>76</v>
      </c>
      <c r="G46" s="1">
        <v>1</v>
      </c>
      <c r="H46" s="1">
        <v>1</v>
      </c>
      <c r="I46" s="1">
        <v>1</v>
      </c>
      <c r="J46" s="1">
        <v>1</v>
      </c>
      <c r="K46" s="1">
        <v>1</v>
      </c>
      <c r="L46" s="1">
        <v>1</v>
      </c>
      <c r="M46" s="1">
        <v>1</v>
      </c>
      <c r="N46" s="1">
        <v>1</v>
      </c>
      <c r="O46" s="1">
        <v>1</v>
      </c>
      <c r="P46" s="1">
        <v>1</v>
      </c>
      <c r="Q46" s="1">
        <v>1</v>
      </c>
      <c r="R46" s="1">
        <v>1</v>
      </c>
      <c r="S46" s="1">
        <v>1</v>
      </c>
      <c r="T46" s="1">
        <f t="shared" si="2"/>
        <v>1</v>
      </c>
    </row>
    <row r="47" spans="1:20" ht="30" customHeight="1">
      <c r="A47" t="str">
        <f t="shared" si="1"/>
        <v>hebrew</v>
      </c>
      <c r="B47">
        <f>_xlfn.LET(_xlpm.c,_xlfn.SINGLE(Table1[condition]),IF(RIGHT(_xlpm.c,2)="1g",1,0))</f>
        <v>0</v>
      </c>
      <c r="C47">
        <f>_xlfn.LET(_xlpm.c,_xlfn.SINGLE(Table1[condition]),_xlpm.k,CONCATENATE("*","-xsk","*"),IF(COUNTIF(_xlpm.c,_xlpm.k)&gt;0,1,0))</f>
        <v>0</v>
      </c>
      <c r="D47">
        <f>_xlfn.LET(_xlpm.c,_xlfn.SINGLE(Table1[condition]),_xlpm.k,CONCATENATE("*","-sk","*"),IF(COUNTIF(_xlpm.c,_xlpm.k)&gt;0,1,0))</f>
        <v>1</v>
      </c>
      <c r="E47">
        <f>IF(AND(Table1[[#This Row],[xsk]]=1,Table1[[#This Row],[sk]]=1),0,1)</f>
        <v>1</v>
      </c>
      <c r="F47" t="s">
        <v>77</v>
      </c>
      <c r="G47" s="1">
        <v>1</v>
      </c>
      <c r="H47" s="1">
        <v>1</v>
      </c>
      <c r="I47" s="1">
        <v>1</v>
      </c>
      <c r="J47" s="1">
        <v>1</v>
      </c>
      <c r="K47" s="1">
        <v>0.99428422086230905</v>
      </c>
      <c r="L47" s="1">
        <v>1</v>
      </c>
      <c r="M47" s="1">
        <v>1</v>
      </c>
      <c r="N47" s="1">
        <v>1</v>
      </c>
      <c r="O47" s="1">
        <v>1</v>
      </c>
      <c r="P47" s="1">
        <v>1</v>
      </c>
      <c r="Q47" s="1">
        <v>1</v>
      </c>
      <c r="R47" s="1">
        <v>1</v>
      </c>
      <c r="S47" s="1">
        <v>1</v>
      </c>
      <c r="T47" s="1">
        <f t="shared" si="2"/>
        <v>0.99956032468171607</v>
      </c>
    </row>
    <row r="48" spans="1:20" ht="30" customHeight="1">
      <c r="A48" t="str">
        <f t="shared" si="1"/>
        <v>hebrew</v>
      </c>
      <c r="B48">
        <f>_xlfn.LET(_xlpm.c,_xlfn.SINGLE(Table1[condition]),IF(RIGHT(_xlpm.c,2)="1g",1,0))</f>
        <v>0</v>
      </c>
      <c r="C48">
        <f>_xlfn.LET(_xlpm.c,_xlfn.SINGLE(Table1[condition]),_xlpm.k,CONCATENATE("*","-xsk","*"),IF(COUNTIF(_xlpm.c,_xlpm.k)&gt;0,1,0))</f>
        <v>0</v>
      </c>
      <c r="D48">
        <f>_xlfn.LET(_xlpm.c,_xlfn.SINGLE(Table1[condition]),_xlpm.k,CONCATENATE("*","-sk","*"),IF(COUNTIF(_xlpm.c,_xlpm.k)&gt;0,1,0))</f>
        <v>1</v>
      </c>
      <c r="E48">
        <f>IF(AND(Table1[[#This Row],[xsk]]=1,Table1[[#This Row],[sk]]=1),0,1)</f>
        <v>1</v>
      </c>
      <c r="F48" t="s">
        <v>78</v>
      </c>
      <c r="G48" s="1">
        <v>1</v>
      </c>
      <c r="H48" s="1">
        <v>1</v>
      </c>
      <c r="I48" s="1">
        <v>1</v>
      </c>
      <c r="J48" s="1">
        <v>1</v>
      </c>
      <c r="K48" s="1">
        <v>1</v>
      </c>
      <c r="L48" s="1">
        <v>1</v>
      </c>
      <c r="M48" s="1">
        <v>1</v>
      </c>
      <c r="N48" s="1">
        <v>1</v>
      </c>
      <c r="O48" s="1">
        <v>1</v>
      </c>
      <c r="P48" s="1">
        <v>1</v>
      </c>
      <c r="Q48" s="1">
        <v>1</v>
      </c>
      <c r="R48" s="1">
        <v>1</v>
      </c>
      <c r="S48" s="1">
        <v>1</v>
      </c>
      <c r="T48" s="1">
        <f t="shared" si="2"/>
        <v>1</v>
      </c>
    </row>
    <row r="49" spans="1:20" ht="30" customHeight="1">
      <c r="A49" t="str">
        <f t="shared" si="1"/>
        <v>hebrew</v>
      </c>
      <c r="B49">
        <f>_xlfn.LET(_xlpm.c,_xlfn.SINGLE(Table1[condition]),IF(RIGHT(_xlpm.c,2)="1g",1,0))</f>
        <v>0</v>
      </c>
      <c r="C49">
        <f>_xlfn.LET(_xlpm.c,_xlfn.SINGLE(Table1[condition]),_xlpm.k,CONCATENATE("*","-xsk","*"),IF(COUNTIF(_xlpm.c,_xlpm.k)&gt;0,1,0))</f>
        <v>1</v>
      </c>
      <c r="D49">
        <f>_xlfn.LET(_xlpm.c,_xlfn.SINGLE(Table1[condition]),_xlpm.k,CONCATENATE("*","-sk","*"),IF(COUNTIF(_xlpm.c,_xlpm.k)&gt;0,1,0))</f>
        <v>0</v>
      </c>
      <c r="E49">
        <f>IF(AND(Table1[[#This Row],[xsk]]=1,Table1[[#This Row],[sk]]=1),0,1)</f>
        <v>1</v>
      </c>
      <c r="F49" t="s">
        <v>79</v>
      </c>
      <c r="G49" s="1">
        <v>1</v>
      </c>
      <c r="H49" s="1">
        <v>1</v>
      </c>
      <c r="I49" s="1">
        <v>1</v>
      </c>
      <c r="J49" s="1">
        <v>1</v>
      </c>
      <c r="K49" s="1">
        <v>1</v>
      </c>
      <c r="L49" s="1">
        <v>0.97196799286758895</v>
      </c>
      <c r="M49" s="1">
        <v>1</v>
      </c>
      <c r="N49" s="1">
        <v>1</v>
      </c>
      <c r="O49" s="1">
        <v>1</v>
      </c>
      <c r="P49" s="1">
        <v>1</v>
      </c>
      <c r="Q49" s="1">
        <v>0.95208969621990003</v>
      </c>
      <c r="R49" s="1">
        <v>0.93754790252888898</v>
      </c>
      <c r="S49" s="1">
        <v>1</v>
      </c>
      <c r="T49" s="1">
        <f t="shared" si="2"/>
        <v>0.98935427627818306</v>
      </c>
    </row>
    <row r="50" spans="1:20" ht="30" customHeight="1">
      <c r="A50" t="str">
        <f t="shared" si="1"/>
        <v>hebrew</v>
      </c>
      <c r="B50">
        <f>_xlfn.LET(_xlpm.c,_xlfn.SINGLE(Table1[condition]),IF(RIGHT(_xlpm.c,2)="1g",1,0))</f>
        <v>0</v>
      </c>
      <c r="C50">
        <f>_xlfn.LET(_xlpm.c,_xlfn.SINGLE(Table1[condition]),_xlpm.k,CONCATENATE("*","-xsk","*"),IF(COUNTIF(_xlpm.c,_xlpm.k)&gt;0,1,0))</f>
        <v>1</v>
      </c>
      <c r="D50">
        <f>_xlfn.LET(_xlpm.c,_xlfn.SINGLE(Table1[condition]),_xlpm.k,CONCATENATE("*","-sk","*"),IF(COUNTIF(_xlpm.c,_xlpm.k)&gt;0,1,0))</f>
        <v>0</v>
      </c>
      <c r="E50">
        <f>IF(AND(Table1[[#This Row],[xsk]]=1,Table1[[#This Row],[sk]]=1),0,1)</f>
        <v>1</v>
      </c>
      <c r="F50" t="s">
        <v>80</v>
      </c>
      <c r="G50" s="1">
        <v>1</v>
      </c>
      <c r="H50" s="1">
        <v>1</v>
      </c>
      <c r="I50" s="1">
        <v>1</v>
      </c>
      <c r="J50" s="1">
        <v>1</v>
      </c>
      <c r="K50" s="1">
        <v>0.97104630142503301</v>
      </c>
      <c r="L50" s="1">
        <v>1</v>
      </c>
      <c r="M50" s="1">
        <v>1</v>
      </c>
      <c r="N50" s="1">
        <v>1</v>
      </c>
      <c r="O50" s="1">
        <v>1</v>
      </c>
      <c r="P50" s="1">
        <v>1</v>
      </c>
      <c r="Q50" s="1">
        <v>1</v>
      </c>
      <c r="R50" s="1">
        <v>1</v>
      </c>
      <c r="S50" s="1">
        <v>0.950276243093922</v>
      </c>
      <c r="T50" s="1">
        <f t="shared" si="2"/>
        <v>0.99394788803991974</v>
      </c>
    </row>
    <row r="51" spans="1:20" ht="30" customHeight="1">
      <c r="A51" t="str">
        <f t="shared" ref="A51:A64" si="5">_xlfn.LET(_xlpm.c,$F51,_xlfn.TEXTBEFORE(_xlpm.c,"-"))</f>
        <v>icelandic</v>
      </c>
      <c r="B51">
        <f>_xlfn.LET(_xlpm.c,_xlfn.SINGLE(Table1[condition]),IF(RIGHT(_xlpm.c,2)="1g",1,0))</f>
        <v>1</v>
      </c>
      <c r="C51">
        <f>_xlfn.LET(_xlpm.c,_xlfn.SINGLE(Table1[condition]),_xlpm.k,CONCATENATE("*","-xsk","*"),IF(COUNTIF(_xlpm.c,_xlpm.k)&gt;0,1,0))</f>
        <v>0</v>
      </c>
      <c r="D51">
        <f>_xlfn.LET(_xlpm.c,_xlfn.SINGLE(Table1[condition]),_xlpm.k,CONCATENATE("*","-sk","*"),IF(COUNTIF(_xlpm.c,_xlpm.k)&gt;0,1,0))</f>
        <v>0</v>
      </c>
      <c r="E51">
        <f>IF(AND(Table1[[#This Row],[xsk]]=1,Table1[[#This Row],[sk]]=1),0,1)</f>
        <v>1</v>
      </c>
      <c r="F51" t="s">
        <v>81</v>
      </c>
      <c r="G51" s="1">
        <v>0.89849383607717204</v>
      </c>
      <c r="H51" s="1">
        <v>0.550712791846799</v>
      </c>
      <c r="I51" s="1">
        <v>0.69584158907819305</v>
      </c>
      <c r="J51" s="1">
        <v>0.52005384646911201</v>
      </c>
      <c r="K51" s="1">
        <v>0.61494103022639701</v>
      </c>
      <c r="L51" s="1">
        <v>0</v>
      </c>
      <c r="M51" s="1">
        <v>0.60911963411507297</v>
      </c>
      <c r="N51" s="1">
        <v>1</v>
      </c>
      <c r="O51" s="1">
        <v>0.58471116183727601</v>
      </c>
      <c r="P51" s="1">
        <v>0.497706373754849</v>
      </c>
      <c r="Q51" s="1">
        <v>0.383216174042188</v>
      </c>
      <c r="R51" s="1">
        <v>0.48227192367182498</v>
      </c>
      <c r="S51" s="1">
        <v>0.446147359549594</v>
      </c>
      <c r="T51" s="1">
        <f t="shared" ref="T51:T64" si="6">_xlfn.LET(_xlpm.d,$G51:$S51,AVERAGE(_xlpm.d))</f>
        <v>0.56024736312834456</v>
      </c>
    </row>
    <row r="52" spans="1:20" ht="30" customHeight="1">
      <c r="A52" t="str">
        <f t="shared" si="5"/>
        <v>icelandic</v>
      </c>
      <c r="B52">
        <f>_xlfn.LET(_xlpm.c,_xlfn.SINGLE(Table1[condition]),IF(RIGHT(_xlpm.c,2)="1g",1,0))</f>
        <v>0</v>
      </c>
      <c r="C52">
        <f>_xlfn.LET(_xlpm.c,_xlfn.SINGLE(Table1[condition]),_xlpm.k,CONCATENATE("*","-xsk","*"),IF(COUNTIF(_xlpm.c,_xlpm.k)&gt;0,1,0))</f>
        <v>0</v>
      </c>
      <c r="D52">
        <f>_xlfn.LET(_xlpm.c,_xlfn.SINGLE(Table1[condition]),_xlpm.k,CONCATENATE("*","-sk","*"),IF(COUNTIF(_xlpm.c,_xlpm.k)&gt;0,1,0))</f>
        <v>0</v>
      </c>
      <c r="E52">
        <f>IF(AND(Table1[[#This Row],[xsk]]=1,Table1[[#This Row],[sk]]=1),0,1)</f>
        <v>1</v>
      </c>
      <c r="F52" t="s">
        <v>82</v>
      </c>
      <c r="G52" s="1">
        <v>0.88355852849156802</v>
      </c>
      <c r="H52" s="1">
        <v>0.61777684799169097</v>
      </c>
      <c r="I52" s="1">
        <v>0.57509428911154303</v>
      </c>
      <c r="J52" s="1">
        <v>0.47276219372164802</v>
      </c>
      <c r="K52" s="1">
        <v>0.58600654185337597</v>
      </c>
      <c r="L52" s="1">
        <v>0.45057821091959499</v>
      </c>
      <c r="M52" s="1">
        <v>0.44869105629700701</v>
      </c>
      <c r="N52" s="1">
        <v>0</v>
      </c>
      <c r="O52" s="1">
        <v>0.38411093634125698</v>
      </c>
      <c r="P52" s="1">
        <v>1</v>
      </c>
      <c r="Q52" s="1">
        <v>0.79128784747791903</v>
      </c>
      <c r="R52" s="1">
        <v>0.752357023060228</v>
      </c>
      <c r="S52" s="1">
        <v>0.62517987437793499</v>
      </c>
      <c r="T52" s="1">
        <f t="shared" si="6"/>
        <v>0.583646411511059</v>
      </c>
    </row>
    <row r="53" spans="1:20" ht="30" customHeight="1">
      <c r="A53" t="str">
        <f t="shared" si="5"/>
        <v>icelandic</v>
      </c>
      <c r="B53">
        <f>_xlfn.LET(_xlpm.c,_xlfn.SINGLE(Table1[condition]),IF(RIGHT(_xlpm.c,2)="1g",1,0))</f>
        <v>0</v>
      </c>
      <c r="C53">
        <f>_xlfn.LET(_xlpm.c,_xlfn.SINGLE(Table1[condition]),_xlpm.k,CONCATENATE("*","-xsk","*"),IF(COUNTIF(_xlpm.c,_xlpm.k)&gt;0,1,0))</f>
        <v>0</v>
      </c>
      <c r="D53">
        <f>_xlfn.LET(_xlpm.c,_xlfn.SINGLE(Table1[condition]),_xlpm.k,CONCATENATE("*","-sk","*"),IF(COUNTIF(_xlpm.c,_xlpm.k)&gt;0,1,0))</f>
        <v>0</v>
      </c>
      <c r="E53">
        <f>IF(AND(Table1[[#This Row],[xsk]]=1,Table1[[#This Row],[sk]]=1),0,1)</f>
        <v>1</v>
      </c>
      <c r="F53" t="s">
        <v>83</v>
      </c>
      <c r="G53" s="1">
        <v>0.87365544832070197</v>
      </c>
      <c r="H53" s="1">
        <v>0.61679258709167695</v>
      </c>
      <c r="I53" s="1">
        <v>0.53535308655222602</v>
      </c>
      <c r="J53" s="1">
        <v>0.82842712474618996</v>
      </c>
      <c r="K53" s="1">
        <v>0.37126647123587297</v>
      </c>
      <c r="L53" s="1">
        <v>0.56612435603252098</v>
      </c>
      <c r="M53" s="1">
        <v>0.383879515498946</v>
      </c>
      <c r="N53" s="1">
        <v>0.52984938745167298</v>
      </c>
      <c r="O53" s="1">
        <v>0.57570051991983395</v>
      </c>
      <c r="P53" s="1">
        <v>1</v>
      </c>
      <c r="Q53" s="1">
        <v>0.29173005736594299</v>
      </c>
      <c r="R53" s="1">
        <v>0.55737673197539905</v>
      </c>
      <c r="S53" s="1">
        <v>0.51668522645211701</v>
      </c>
      <c r="T53" s="1">
        <f t="shared" si="6"/>
        <v>0.58821850097254624</v>
      </c>
    </row>
    <row r="54" spans="1:20" ht="30" customHeight="1">
      <c r="A54" t="str">
        <f t="shared" si="5"/>
        <v>icelandic</v>
      </c>
      <c r="B54">
        <f>_xlfn.LET(_xlpm.c,_xlfn.SINGLE(Table1[condition]),IF(RIGHT(_xlpm.c,2)="1g",1,0))</f>
        <v>0</v>
      </c>
      <c r="C54">
        <f>_xlfn.LET(_xlpm.c,_xlfn.SINGLE(Table1[condition]),_xlpm.k,CONCATENATE("*","-xsk","*"),IF(COUNTIF(_xlpm.c,_xlpm.k)&gt;0,1,0))</f>
        <v>0</v>
      </c>
      <c r="D54">
        <f>_xlfn.LET(_xlpm.c,_xlfn.SINGLE(Table1[condition]),_xlpm.k,CONCATENATE("*","-sk","*"),IF(COUNTIF(_xlpm.c,_xlpm.k)&gt;0,1,0))</f>
        <v>1</v>
      </c>
      <c r="E54">
        <f>IF(AND(Table1[[#This Row],[xsk]]=1,Table1[[#This Row],[sk]]=1),0,1)</f>
        <v>1</v>
      </c>
      <c r="F54" t="s">
        <v>84</v>
      </c>
      <c r="G54" s="1">
        <v>0.76839601246162703</v>
      </c>
      <c r="H54" s="1">
        <v>0.84718844137919302</v>
      </c>
      <c r="I54" s="1">
        <v>0.55281177231143097</v>
      </c>
      <c r="J54" s="1">
        <v>0.74500840046716699</v>
      </c>
      <c r="K54" s="1">
        <v>0.74875538744417303</v>
      </c>
      <c r="L54" s="1">
        <v>0.60293255672456902</v>
      </c>
      <c r="M54" s="1">
        <v>0.80539949569855396</v>
      </c>
      <c r="N54" s="1">
        <v>0.25472375155689297</v>
      </c>
      <c r="O54" s="1">
        <v>0.78077939628263904</v>
      </c>
      <c r="P54" s="1">
        <v>0.488274946657828</v>
      </c>
      <c r="Q54" s="1">
        <v>0.752357023060228</v>
      </c>
      <c r="R54" s="1">
        <v>0.55979747803595503</v>
      </c>
      <c r="S54" s="1">
        <v>0.86100174808611996</v>
      </c>
      <c r="T54" s="1">
        <f t="shared" si="6"/>
        <v>0.67441741616664441</v>
      </c>
    </row>
    <row r="55" spans="1:20" ht="30" customHeight="1">
      <c r="A55" t="str">
        <f t="shared" si="5"/>
        <v>icelandic</v>
      </c>
      <c r="B55">
        <f>_xlfn.LET(_xlpm.c,_xlfn.SINGLE(Table1[condition]),IF(RIGHT(_xlpm.c,2)="1g",1,0))</f>
        <v>0</v>
      </c>
      <c r="C55">
        <f>_xlfn.LET(_xlpm.c,_xlfn.SINGLE(Table1[condition]),_xlpm.k,CONCATENATE("*","-xsk","*"),IF(COUNTIF(_xlpm.c,_xlpm.k)&gt;0,1,0))</f>
        <v>0</v>
      </c>
      <c r="D55">
        <f>_xlfn.LET(_xlpm.c,_xlfn.SINGLE(Table1[condition]),_xlpm.k,CONCATENATE("*","-sk","*"),IF(COUNTIF(_xlpm.c,_xlpm.k)&gt;0,1,0))</f>
        <v>1</v>
      </c>
      <c r="E55">
        <f>IF(AND(Table1[[#This Row],[xsk]]=1,Table1[[#This Row],[sk]]=1),0,1)</f>
        <v>1</v>
      </c>
      <c r="F55" t="s">
        <v>85</v>
      </c>
      <c r="G55" s="1">
        <v>0.731687801438205</v>
      </c>
      <c r="H55" s="1">
        <v>0.68659363181264499</v>
      </c>
      <c r="I55" s="1">
        <v>1</v>
      </c>
      <c r="J55" s="1">
        <v>0.82842712474618996</v>
      </c>
      <c r="K55" s="1">
        <v>0.61205695520362202</v>
      </c>
      <c r="L55" s="1">
        <v>0.55092996145409001</v>
      </c>
      <c r="M55" s="1">
        <v>0.74818660076722399</v>
      </c>
      <c r="N55" s="1">
        <v>0.752357023060228</v>
      </c>
      <c r="O55" s="1">
        <v>0.43186011981677103</v>
      </c>
      <c r="P55" s="1">
        <v>0.70994475887499597</v>
      </c>
      <c r="Q55" s="1">
        <v>0.75542709911179895</v>
      </c>
      <c r="R55" s="1">
        <v>0.74340916403065105</v>
      </c>
      <c r="S55" s="1">
        <v>0.53081839321972801</v>
      </c>
      <c r="T55" s="1">
        <f t="shared" si="6"/>
        <v>0.69859220257970378</v>
      </c>
    </row>
    <row r="56" spans="1:20" ht="30" customHeight="1">
      <c r="A56" t="str">
        <f t="shared" si="5"/>
        <v>icelandic</v>
      </c>
      <c r="B56">
        <f>_xlfn.LET(_xlpm.c,_xlfn.SINGLE(Table1[condition]),IF(RIGHT(_xlpm.c,2)="1g",1,0))</f>
        <v>0</v>
      </c>
      <c r="C56">
        <f>_xlfn.LET(_xlpm.c,_xlfn.SINGLE(Table1[condition]),_xlpm.k,CONCATENATE("*","-xsk","*"),IF(COUNTIF(_xlpm.c,_xlpm.k)&gt;0,1,0))</f>
        <v>1</v>
      </c>
      <c r="D56">
        <f>_xlfn.LET(_xlpm.c,_xlfn.SINGLE(Table1[condition]),_xlpm.k,CONCATENATE("*","-sk","*"),IF(COUNTIF(_xlpm.c,_xlpm.k)&gt;0,1,0))</f>
        <v>0</v>
      </c>
      <c r="E56">
        <f>IF(AND(Table1[[#This Row],[xsk]]=1,Table1[[#This Row],[sk]]=1),0,1)</f>
        <v>1</v>
      </c>
      <c r="F56" t="s">
        <v>86</v>
      </c>
      <c r="G56" s="1">
        <v>0.79165519343867397</v>
      </c>
      <c r="H56" s="1">
        <v>0.69656651347964504</v>
      </c>
      <c r="I56" s="1">
        <v>0.74632891367619303</v>
      </c>
      <c r="J56" s="1">
        <v>0.89448201855152398</v>
      </c>
      <c r="K56" s="1">
        <v>0.65385423338338</v>
      </c>
      <c r="L56" s="1">
        <v>0.35738236389496397</v>
      </c>
      <c r="M56" s="1">
        <v>0.60621993250666995</v>
      </c>
      <c r="N56" s="1">
        <v>0.49358868961792701</v>
      </c>
      <c r="O56" s="1">
        <v>0.37588786852805001</v>
      </c>
      <c r="P56" s="1">
        <v>0.63236792184698998</v>
      </c>
      <c r="Q56" s="1">
        <v>0.75959179422654199</v>
      </c>
      <c r="R56" s="1">
        <v>0.54441313470050801</v>
      </c>
      <c r="S56" s="1">
        <v>0.95445115010332204</v>
      </c>
      <c r="T56" s="1">
        <f t="shared" si="6"/>
        <v>0.65436844061187616</v>
      </c>
    </row>
    <row r="57" spans="1:20" ht="30" customHeight="1">
      <c r="A57" t="str">
        <f t="shared" si="5"/>
        <v>icelandic</v>
      </c>
      <c r="B57">
        <f>_xlfn.LET(_xlpm.c,_xlfn.SINGLE(Table1[condition]),IF(RIGHT(_xlpm.c,2)="1g",1,0))</f>
        <v>0</v>
      </c>
      <c r="C57">
        <f>_xlfn.LET(_xlpm.c,_xlfn.SINGLE(Table1[condition]),_xlpm.k,CONCATENATE("*","-xsk","*"),IF(COUNTIF(_xlpm.c,_xlpm.k)&gt;0,1,0))</f>
        <v>1</v>
      </c>
      <c r="D57">
        <f>_xlfn.LET(_xlpm.c,_xlfn.SINGLE(Table1[condition]),_xlpm.k,CONCATENATE("*","-sk","*"),IF(COUNTIF(_xlpm.c,_xlpm.k)&gt;0,1,0))</f>
        <v>0</v>
      </c>
      <c r="E57">
        <f>IF(AND(Table1[[#This Row],[xsk]]=1,Table1[[#This Row],[sk]]=1),0,1)</f>
        <v>1</v>
      </c>
      <c r="F57" t="s">
        <v>87</v>
      </c>
      <c r="G57" s="1">
        <v>0.88498666804888404</v>
      </c>
      <c r="H57" s="1">
        <v>0.95303421499060303</v>
      </c>
      <c r="I57" s="1">
        <v>1</v>
      </c>
      <c r="J57" s="1">
        <v>0.90234774677400098</v>
      </c>
      <c r="K57" s="1">
        <v>0.98176986424476997</v>
      </c>
      <c r="L57" s="1">
        <v>0.88498666804888404</v>
      </c>
      <c r="M57" s="1">
        <v>0.74536453424765003</v>
      </c>
      <c r="N57" s="1">
        <v>1</v>
      </c>
      <c r="O57" s="1">
        <v>0.79128784747791903</v>
      </c>
      <c r="P57" s="1">
        <v>1</v>
      </c>
      <c r="Q57" s="1">
        <v>1</v>
      </c>
      <c r="R57" s="1">
        <v>0.35991968962169801</v>
      </c>
      <c r="S57" s="1">
        <v>0.79128784747791903</v>
      </c>
      <c r="T57" s="1">
        <f t="shared" si="6"/>
        <v>0.86884500622556382</v>
      </c>
    </row>
    <row r="58" spans="1:20" ht="30" customHeight="1">
      <c r="A58" t="str">
        <f t="shared" si="5"/>
        <v>russian</v>
      </c>
      <c r="B58">
        <f>_xlfn.LET(_xlpm.c,_xlfn.SINGLE(Table1[condition]),IF(RIGHT(_xlpm.c,2)="1g",1,0))</f>
        <v>1</v>
      </c>
      <c r="C58">
        <f>_xlfn.LET(_xlpm.c,_xlfn.SINGLE(Table1[condition]),_xlpm.k,CONCATENATE("*","-xsk","*"),IF(COUNTIF(_xlpm.c,_xlpm.k)&gt;0,1,0))</f>
        <v>0</v>
      </c>
      <c r="D58">
        <f>_xlfn.LET(_xlpm.c,_xlfn.SINGLE(Table1[condition]),_xlpm.k,CONCATENATE("*","-sk","*"),IF(COUNTIF(_xlpm.c,_xlpm.k)&gt;0,1,0))</f>
        <v>0</v>
      </c>
      <c r="E58">
        <f>IF(AND(Table1[[#This Row],[xsk]]=1,Table1[[#This Row],[sk]]=1),0,1)</f>
        <v>1</v>
      </c>
      <c r="F58" t="s">
        <v>31</v>
      </c>
      <c r="G58" s="1">
        <v>1</v>
      </c>
      <c r="H58" s="1">
        <v>1</v>
      </c>
      <c r="I58" s="1">
        <v>1</v>
      </c>
      <c r="J58" s="1">
        <v>1</v>
      </c>
      <c r="K58" s="1">
        <v>1</v>
      </c>
      <c r="L58" s="1">
        <v>1</v>
      </c>
      <c r="M58" s="1">
        <v>1</v>
      </c>
      <c r="N58" s="1">
        <v>1</v>
      </c>
      <c r="O58" s="1">
        <v>1</v>
      </c>
      <c r="P58" s="1">
        <v>1</v>
      </c>
      <c r="Q58" s="1">
        <v>1</v>
      </c>
      <c r="R58" s="1">
        <v>1</v>
      </c>
      <c r="S58" s="1">
        <v>1</v>
      </c>
      <c r="T58" s="1">
        <f t="shared" si="6"/>
        <v>1</v>
      </c>
    </row>
    <row r="59" spans="1:20" ht="30" customHeight="1">
      <c r="A59" t="str">
        <f t="shared" si="5"/>
        <v>russian</v>
      </c>
      <c r="B59">
        <f>_xlfn.LET(_xlpm.c,_xlfn.SINGLE(Table1[condition]),IF(RIGHT(_xlpm.c,2)="1g",1,0))</f>
        <v>0</v>
      </c>
      <c r="C59">
        <f>_xlfn.LET(_xlpm.c,_xlfn.SINGLE(Table1[condition]),_xlpm.k,CONCATENATE("*","-xsk","*"),IF(COUNTIF(_xlpm.c,_xlpm.k)&gt;0,1,0))</f>
        <v>0</v>
      </c>
      <c r="D59">
        <f>_xlfn.LET(_xlpm.c,_xlfn.SINGLE(Table1[condition]),_xlpm.k,CONCATENATE("*","-sk","*"),IF(COUNTIF(_xlpm.c,_xlpm.k)&gt;0,1,0))</f>
        <v>0</v>
      </c>
      <c r="E59">
        <f>IF(AND(Table1[[#This Row],[xsk]]=1,Table1[[#This Row],[sk]]=1),0,1)</f>
        <v>1</v>
      </c>
      <c r="F59" t="s">
        <v>32</v>
      </c>
      <c r="G59" s="1">
        <v>1</v>
      </c>
      <c r="H59" s="1">
        <v>1</v>
      </c>
      <c r="I59" s="1">
        <v>1</v>
      </c>
      <c r="J59" s="1">
        <v>1</v>
      </c>
      <c r="K59" s="1">
        <v>1</v>
      </c>
      <c r="L59" s="1">
        <v>1</v>
      </c>
      <c r="M59" s="1">
        <v>1</v>
      </c>
      <c r="N59" s="1">
        <v>1</v>
      </c>
      <c r="O59" s="1">
        <v>1</v>
      </c>
      <c r="P59" s="1">
        <v>1</v>
      </c>
      <c r="Q59" s="1">
        <v>1</v>
      </c>
      <c r="R59" s="1">
        <v>1</v>
      </c>
      <c r="S59" s="1">
        <v>1</v>
      </c>
      <c r="T59" s="1">
        <f t="shared" si="6"/>
        <v>1</v>
      </c>
    </row>
    <row r="60" spans="1:20" ht="30" customHeight="1">
      <c r="A60" t="str">
        <f t="shared" si="5"/>
        <v>russian</v>
      </c>
      <c r="B60">
        <f>_xlfn.LET(_xlpm.c,_xlfn.SINGLE(Table1[condition]),IF(RIGHT(_xlpm.c,2)="1g",1,0))</f>
        <v>0</v>
      </c>
      <c r="C60">
        <f>_xlfn.LET(_xlpm.c,_xlfn.SINGLE(Table1[condition]),_xlpm.k,CONCATENATE("*","-xsk","*"),IF(COUNTIF(_xlpm.c,_xlpm.k)&gt;0,1,0))</f>
        <v>0</v>
      </c>
      <c r="D60">
        <f>_xlfn.LET(_xlpm.c,_xlfn.SINGLE(Table1[condition]),_xlpm.k,CONCATENATE("*","-sk","*"),IF(COUNTIF(_xlpm.c,_xlpm.k)&gt;0,1,0))</f>
        <v>0</v>
      </c>
      <c r="E60">
        <f>IF(AND(Table1[[#This Row],[xsk]]=1,Table1[[#This Row],[sk]]=1),0,1)</f>
        <v>1</v>
      </c>
      <c r="F60" t="s">
        <v>33</v>
      </c>
      <c r="G60" s="1">
        <v>1</v>
      </c>
      <c r="H60" s="1">
        <v>1</v>
      </c>
      <c r="I60" s="1">
        <v>1</v>
      </c>
      <c r="J60" s="1">
        <v>1</v>
      </c>
      <c r="K60" s="1">
        <v>1</v>
      </c>
      <c r="L60" s="1">
        <v>1</v>
      </c>
      <c r="M60" s="1">
        <v>1</v>
      </c>
      <c r="N60" s="1">
        <v>1</v>
      </c>
      <c r="O60" s="1">
        <v>1</v>
      </c>
      <c r="P60" s="1">
        <v>1</v>
      </c>
      <c r="Q60" s="1">
        <v>1</v>
      </c>
      <c r="R60" s="1">
        <v>1</v>
      </c>
      <c r="S60" s="1">
        <v>1</v>
      </c>
      <c r="T60" s="1">
        <f t="shared" si="6"/>
        <v>1</v>
      </c>
    </row>
    <row r="61" spans="1:20" ht="30" customHeight="1">
      <c r="A61" t="str">
        <f t="shared" si="5"/>
        <v>russian</v>
      </c>
      <c r="B61">
        <f>_xlfn.LET(_xlpm.c,_xlfn.SINGLE(Table1[condition]),IF(RIGHT(_xlpm.c,2)="1g",1,0))</f>
        <v>0</v>
      </c>
      <c r="C61">
        <f>_xlfn.LET(_xlpm.c,_xlfn.SINGLE(Table1[condition]),_xlpm.k,CONCATENATE("*","-xsk","*"),IF(COUNTIF(_xlpm.c,_xlpm.k)&gt;0,1,0))</f>
        <v>0</v>
      </c>
      <c r="D61">
        <f>_xlfn.LET(_xlpm.c,_xlfn.SINGLE(Table1[condition]),_xlpm.k,CONCATENATE("*","-sk","*"),IF(COUNTIF(_xlpm.c,_xlpm.k)&gt;0,1,0))</f>
        <v>1</v>
      </c>
      <c r="E61">
        <f>IF(AND(Table1[[#This Row],[xsk]]=1,Table1[[#This Row],[sk]]=1),0,1)</f>
        <v>1</v>
      </c>
      <c r="F61" t="s">
        <v>34</v>
      </c>
      <c r="G61" s="1">
        <v>1</v>
      </c>
      <c r="H61" s="1">
        <v>1</v>
      </c>
      <c r="I61" s="1">
        <v>1</v>
      </c>
      <c r="J61" s="1">
        <v>0.99682488477197095</v>
      </c>
      <c r="K61" s="1">
        <v>0.99692284384579699</v>
      </c>
      <c r="L61" s="1">
        <v>1</v>
      </c>
      <c r="M61" s="1">
        <v>0.93938592049006497</v>
      </c>
      <c r="N61" s="1">
        <v>1</v>
      </c>
      <c r="O61" s="1">
        <v>0.99220400379932205</v>
      </c>
      <c r="P61" s="1">
        <v>0.97499649644120301</v>
      </c>
      <c r="Q61" s="1">
        <v>1</v>
      </c>
      <c r="R61" s="1">
        <v>1</v>
      </c>
      <c r="S61" s="1">
        <v>0.98850574712643602</v>
      </c>
      <c r="T61" s="1">
        <f t="shared" si="6"/>
        <v>0.99144922280575343</v>
      </c>
    </row>
    <row r="62" spans="1:20" ht="30" customHeight="1">
      <c r="A62" t="str">
        <f t="shared" si="5"/>
        <v>russian</v>
      </c>
      <c r="B62">
        <f>_xlfn.LET(_xlpm.c,_xlfn.SINGLE(Table1[condition]),IF(RIGHT(_xlpm.c,2)="1g",1,0))</f>
        <v>0</v>
      </c>
      <c r="C62">
        <f>_xlfn.LET(_xlpm.c,_xlfn.SINGLE(Table1[condition]),_xlpm.k,CONCATENATE("*","-xsk","*"),IF(COUNTIF(_xlpm.c,_xlpm.k)&gt;0,1,0))</f>
        <v>0</v>
      </c>
      <c r="D62">
        <f>_xlfn.LET(_xlpm.c,_xlfn.SINGLE(Table1[condition]),_xlpm.k,CONCATENATE("*","-sk","*"),IF(COUNTIF(_xlpm.c,_xlpm.k)&gt;0,1,0))</f>
        <v>1</v>
      </c>
      <c r="E62">
        <f>IF(AND(Table1[[#This Row],[xsk]]=1,Table1[[#This Row],[sk]]=1),0,1)</f>
        <v>1</v>
      </c>
      <c r="F62" t="s">
        <v>35</v>
      </c>
      <c r="G62" s="1">
        <v>0.97945417228212805</v>
      </c>
      <c r="H62" s="1">
        <v>1</v>
      </c>
      <c r="I62" s="1">
        <v>1</v>
      </c>
      <c r="J62" s="1">
        <v>0.97747961421861695</v>
      </c>
      <c r="K62" s="1">
        <v>0.92850840438668403</v>
      </c>
      <c r="L62" s="1">
        <v>0.98331012584636401</v>
      </c>
      <c r="M62" s="1">
        <v>0.99340429886818005</v>
      </c>
      <c r="N62" s="1">
        <v>0.99218511447452795</v>
      </c>
      <c r="O62" s="1">
        <v>0.94031654317519797</v>
      </c>
      <c r="P62" s="1">
        <v>0.90900999192033205</v>
      </c>
      <c r="Q62" s="1">
        <v>0.96603099192383002</v>
      </c>
      <c r="R62" s="1">
        <v>0.89527499970453905</v>
      </c>
      <c r="S62" s="1">
        <v>0.90597724831451398</v>
      </c>
      <c r="T62" s="1">
        <f t="shared" si="6"/>
        <v>0.95930396193191636</v>
      </c>
    </row>
    <row r="63" spans="1:20" ht="30" customHeight="1">
      <c r="A63" t="str">
        <f t="shared" si="5"/>
        <v>russian</v>
      </c>
      <c r="B63">
        <f>_xlfn.LET(_xlpm.c,_xlfn.SINGLE(Table1[condition]),IF(RIGHT(_xlpm.c,2)="1g",1,0))</f>
        <v>0</v>
      </c>
      <c r="C63">
        <f>_xlfn.LET(_xlpm.c,_xlfn.SINGLE(Table1[condition]),_xlpm.k,CONCATENATE("*","-xsk","*"),IF(COUNTIF(_xlpm.c,_xlpm.k)&gt;0,1,0))</f>
        <v>1</v>
      </c>
      <c r="D63">
        <f>_xlfn.LET(_xlpm.c,_xlfn.SINGLE(Table1[condition]),_xlpm.k,CONCATENATE("*","-sk","*"),IF(COUNTIF(_xlpm.c,_xlpm.k)&gt;0,1,0))</f>
        <v>0</v>
      </c>
      <c r="E63">
        <f>IF(AND(Table1[[#This Row],[xsk]]=1,Table1[[#This Row],[sk]]=1),0,1)</f>
        <v>1</v>
      </c>
      <c r="F63" t="s">
        <v>88</v>
      </c>
      <c r="G63" s="1">
        <v>0.97379822110978498</v>
      </c>
      <c r="H63" s="1">
        <v>0.97525090307405005</v>
      </c>
      <c r="I63" s="1">
        <v>0.93143552040177802</v>
      </c>
      <c r="J63" s="1">
        <v>0.96878568952329702</v>
      </c>
      <c r="K63" s="1">
        <v>0.94485803092618703</v>
      </c>
      <c r="L63" s="1">
        <v>0.94558109713002902</v>
      </c>
      <c r="M63" s="1">
        <v>0.91702601263193495</v>
      </c>
      <c r="N63" s="1">
        <v>0.98051208222845898</v>
      </c>
      <c r="O63" s="1">
        <v>0.92216782400472097</v>
      </c>
      <c r="P63" s="1">
        <v>0.91255591416462001</v>
      </c>
      <c r="Q63" s="1">
        <v>0.91937800629261901</v>
      </c>
      <c r="R63" s="1">
        <v>0.98809073575015904</v>
      </c>
      <c r="S63" s="1">
        <v>1</v>
      </c>
      <c r="T63" s="1">
        <f t="shared" si="6"/>
        <v>0.95226461824904929</v>
      </c>
    </row>
    <row r="64" spans="1:20" ht="30" customHeight="1">
      <c r="A64" t="str">
        <f t="shared" si="5"/>
        <v>russian</v>
      </c>
      <c r="B64">
        <f>_xlfn.LET(_xlpm.c,_xlfn.SINGLE(Table1[condition]),IF(RIGHT(_xlpm.c,2)="1g",1,0))</f>
        <v>0</v>
      </c>
      <c r="C64">
        <f>_xlfn.LET(_xlpm.c,_xlfn.SINGLE(Table1[condition]),_xlpm.k,CONCATENATE("*","-xsk","*"),IF(COUNTIF(_xlpm.c,_xlpm.k)&gt;0,1,0))</f>
        <v>1</v>
      </c>
      <c r="D64">
        <f>_xlfn.LET(_xlpm.c,_xlfn.SINGLE(Table1[condition]),_xlpm.k,CONCATENATE("*","-sk","*"),IF(COUNTIF(_xlpm.c,_xlpm.k)&gt;0,1,0))</f>
        <v>0</v>
      </c>
      <c r="E64">
        <f>IF(AND(Table1[[#This Row],[xsk]]=1,Table1[[#This Row],[sk]]=1),0,1)</f>
        <v>1</v>
      </c>
      <c r="F64" t="s">
        <v>89</v>
      </c>
      <c r="G64" s="1">
        <v>0.98388707533244002</v>
      </c>
      <c r="H64" s="1">
        <v>0.958529413193145</v>
      </c>
      <c r="I64" s="1">
        <v>0.96349498445823301</v>
      </c>
      <c r="J64" s="1">
        <v>0.96416345635016498</v>
      </c>
      <c r="K64" s="1">
        <v>0.92133451964439494</v>
      </c>
      <c r="L64" s="1">
        <v>0.842798940719098</v>
      </c>
      <c r="M64" s="1">
        <v>0.93079607723847202</v>
      </c>
      <c r="N64" s="1">
        <v>0.58201665699940197</v>
      </c>
      <c r="O64" s="1">
        <v>0.88503086372376505</v>
      </c>
      <c r="P64" s="1">
        <v>0.93870101838470199</v>
      </c>
      <c r="Q64" s="1">
        <v>0.94202687722655498</v>
      </c>
      <c r="R64" s="1">
        <v>0.91627372832820597</v>
      </c>
      <c r="S64" s="1">
        <v>0.85971497600153601</v>
      </c>
      <c r="T64" s="1">
        <f t="shared" si="6"/>
        <v>0.89913604520000867</v>
      </c>
    </row>
    <row r="65" spans="1:20" ht="30" customHeight="1">
      <c r="A65" t="str">
        <f t="shared" si="1"/>
        <v>spanish</v>
      </c>
      <c r="B65">
        <f>_xlfn.LET(_xlpm.c,_xlfn.SINGLE(Table1[condition]),IF(RIGHT(_xlpm.c,2)="1g",1,0))</f>
        <v>1</v>
      </c>
      <c r="C65">
        <f>_xlfn.LET(_xlpm.c,_xlfn.SINGLE(Table1[condition]),_xlpm.k,CONCATENATE("*","-xsk","*"),IF(COUNTIF(_xlpm.c,_xlpm.k)&gt;0,1,0))</f>
        <v>0</v>
      </c>
      <c r="D65">
        <f>_xlfn.LET(_xlpm.c,_xlfn.SINGLE(Table1[condition]),_xlpm.k,CONCATENATE("*","-sk","*"),IF(COUNTIF(_xlpm.c,_xlpm.k)&gt;0,1,0))</f>
        <v>0</v>
      </c>
      <c r="E65">
        <f>IF(AND(Table1[[#This Row],[xsk]]=1,Table1[[#This Row],[sk]]=1),0,1)</f>
        <v>1</v>
      </c>
      <c r="F65" t="s">
        <v>104</v>
      </c>
      <c r="G65" s="1">
        <v>0.81988337006485001</v>
      </c>
      <c r="H65" s="1">
        <v>0.63227783424607298</v>
      </c>
      <c r="I65" s="1">
        <v>0.64495099207236894</v>
      </c>
      <c r="J65" s="1">
        <v>0.49327351642387002</v>
      </c>
      <c r="K65" s="1">
        <v>0.21155169503794899</v>
      </c>
      <c r="L65" s="1">
        <v>0.39187843939788197</v>
      </c>
      <c r="M65" s="1">
        <v>0.54973958690494495</v>
      </c>
      <c r="N65" s="1">
        <v>0.31826752373169698</v>
      </c>
      <c r="O65" s="1">
        <v>0.42169414573833602</v>
      </c>
      <c r="P65" s="1">
        <v>0.70325740954881399</v>
      </c>
      <c r="Q65" s="1">
        <v>0.65984614474175296</v>
      </c>
      <c r="R65" s="1">
        <v>0.38982592017231199</v>
      </c>
      <c r="S65" s="1">
        <v>0.50472511022530697</v>
      </c>
      <c r="T65" s="1">
        <f t="shared" si="2"/>
        <v>0.51855166833124278</v>
      </c>
    </row>
    <row r="66" spans="1:20" ht="30" customHeight="1">
      <c r="A66" t="str">
        <f t="shared" si="1"/>
        <v>spanish</v>
      </c>
      <c r="B66">
        <f>_xlfn.LET(_xlpm.c,_xlfn.SINGLE(Table1[condition]),IF(RIGHT(_xlpm.c,2)="1g",1,0))</f>
        <v>0</v>
      </c>
      <c r="C66">
        <f>_xlfn.LET(_xlpm.c,_xlfn.SINGLE(Table1[condition]),_xlpm.k,CONCATENATE("*","-xsk","*"),IF(COUNTIF(_xlpm.c,_xlpm.k)&gt;0,1,0))</f>
        <v>0</v>
      </c>
      <c r="D66">
        <f>_xlfn.LET(_xlpm.c,_xlfn.SINGLE(Table1[condition]),_xlpm.k,CONCATENATE("*","-sk","*"),IF(COUNTIF(_xlpm.c,_xlpm.k)&gt;0,1,0))</f>
        <v>0</v>
      </c>
      <c r="E66">
        <f>IF(AND(Table1[[#This Row],[xsk]]=1,Table1[[#This Row],[sk]]=1),0,1)</f>
        <v>1</v>
      </c>
      <c r="F66" t="s">
        <v>105</v>
      </c>
      <c r="G66" s="1">
        <v>0.44342755814833301</v>
      </c>
      <c r="H66" s="1">
        <v>0.333699533343845</v>
      </c>
      <c r="I66" s="1">
        <v>0.374282500073501</v>
      </c>
      <c r="J66" s="1">
        <v>0.41343526716685502</v>
      </c>
      <c r="K66" s="1">
        <v>0.40331905897608999</v>
      </c>
      <c r="L66" s="1">
        <v>0.54836148410657004</v>
      </c>
      <c r="M66" s="1">
        <v>0.769642081419737</v>
      </c>
      <c r="N66" s="1">
        <v>0</v>
      </c>
      <c r="O66" s="1">
        <v>0</v>
      </c>
      <c r="P66" s="1">
        <v>0.44346093878454401</v>
      </c>
      <c r="Q66" s="1">
        <v>0.373545369999912</v>
      </c>
      <c r="R66" s="1">
        <v>0</v>
      </c>
      <c r="S66" s="1">
        <v>0</v>
      </c>
      <c r="T66" s="1">
        <f t="shared" si="2"/>
        <v>0.31562875323226053</v>
      </c>
    </row>
    <row r="67" spans="1:20" ht="30" customHeight="1">
      <c r="A67" t="str">
        <f t="shared" si="1"/>
        <v>spanish</v>
      </c>
      <c r="B67">
        <f>_xlfn.LET(_xlpm.c,_xlfn.SINGLE(Table1[condition]),IF(RIGHT(_xlpm.c,2)="1g",1,0))</f>
        <v>0</v>
      </c>
      <c r="C67">
        <f>_xlfn.LET(_xlpm.c,_xlfn.SINGLE(Table1[condition]),_xlpm.k,CONCATENATE("*","-xsk","*"),IF(COUNTIF(_xlpm.c,_xlpm.k)&gt;0,1,0))</f>
        <v>0</v>
      </c>
      <c r="D67">
        <f>_xlfn.LET(_xlpm.c,_xlfn.SINGLE(Table1[condition]),_xlpm.k,CONCATENATE("*","-sk","*"),IF(COUNTIF(_xlpm.c,_xlpm.k)&gt;0,1,0))</f>
        <v>0</v>
      </c>
      <c r="E67">
        <f>IF(AND(Table1[[#This Row],[xsk]]=1,Table1[[#This Row],[sk]]=1),0,1)</f>
        <v>1</v>
      </c>
      <c r="F67" t="s">
        <v>106</v>
      </c>
      <c r="G67" s="1">
        <v>0.44191299465330502</v>
      </c>
      <c r="H67" s="1">
        <v>0.419201308545611</v>
      </c>
      <c r="I67" s="1">
        <v>0.50185411937968905</v>
      </c>
      <c r="J67" s="1">
        <v>0.57060345693266601</v>
      </c>
      <c r="K67" s="1">
        <v>0.37726659265023899</v>
      </c>
      <c r="L67" s="1">
        <v>0.44716948897764403</v>
      </c>
      <c r="M67" s="1">
        <v>0.535672158220725</v>
      </c>
      <c r="N67" s="1">
        <v>0.52345135116473995</v>
      </c>
      <c r="O67" s="1">
        <v>0.38962796769283597</v>
      </c>
      <c r="P67" s="1">
        <v>0.42604849813392798</v>
      </c>
      <c r="Q67" s="1"/>
      <c r="R67" s="1">
        <v>0.30272136571807601</v>
      </c>
      <c r="S67" s="1">
        <v>0.43741500780624498</v>
      </c>
      <c r="T67" s="1">
        <f t="shared" si="2"/>
        <v>0.4477453591563087</v>
      </c>
    </row>
    <row r="68" spans="1:20" ht="30" customHeight="1">
      <c r="A68" t="str">
        <f t="shared" si="1"/>
        <v>spanish</v>
      </c>
      <c r="B68">
        <f>_xlfn.LET(_xlpm.c,_xlfn.SINGLE(Table1[condition]),IF(RIGHT(_xlpm.c,2)="1g",1,0))</f>
        <v>0</v>
      </c>
      <c r="C68">
        <f>_xlfn.LET(_xlpm.c,_xlfn.SINGLE(Table1[condition]),_xlpm.k,CONCATENATE("*","-xsk","*"),IF(COUNTIF(_xlpm.c,_xlpm.k)&gt;0,1,0))</f>
        <v>0</v>
      </c>
      <c r="D68">
        <f>_xlfn.LET(_xlpm.c,_xlfn.SINGLE(Table1[condition]),_xlpm.k,CONCATENATE("*","-sk","*"),IF(COUNTIF(_xlpm.c,_xlpm.k)&gt;0,1,0))</f>
        <v>1</v>
      </c>
      <c r="E68">
        <f>IF(AND(Table1[[#This Row],[xsk]]=1,Table1[[#This Row],[sk]]=1),0,1)</f>
        <v>1</v>
      </c>
      <c r="F68" t="s">
        <v>107</v>
      </c>
      <c r="G68" s="1">
        <v>0.59857316226527302</v>
      </c>
      <c r="H68" s="1">
        <v>0.705493951348374</v>
      </c>
      <c r="I68" s="1">
        <v>0.75333100564084798</v>
      </c>
      <c r="J68" s="1">
        <v>0.569741667391929</v>
      </c>
      <c r="K68" s="1">
        <v>0.477264852075656</v>
      </c>
      <c r="L68" s="1">
        <v>0.68907861237138701</v>
      </c>
      <c r="M68" s="1">
        <v>0.59647669577547202</v>
      </c>
      <c r="N68" s="1">
        <v>1</v>
      </c>
      <c r="O68" s="1">
        <v>0.68562116744445301</v>
      </c>
      <c r="P68" s="1">
        <v>0.55910753613125896</v>
      </c>
      <c r="Q68" s="1">
        <v>0.27779928091307499</v>
      </c>
      <c r="R68" s="1">
        <v>0.48074069840785999</v>
      </c>
      <c r="S68" s="1">
        <v>0.34718814132944598</v>
      </c>
      <c r="T68" s="1">
        <f t="shared" si="2"/>
        <v>0.5954166746996179</v>
      </c>
    </row>
    <row r="69" spans="1:20" ht="30" customHeight="1">
      <c r="A69" t="str">
        <f t="shared" si="1"/>
        <v>spanish</v>
      </c>
      <c r="B69">
        <f>_xlfn.LET(_xlpm.c,_xlfn.SINGLE(Table1[condition]),IF(RIGHT(_xlpm.c,2)="1g",1,0))</f>
        <v>0</v>
      </c>
      <c r="C69">
        <f>_xlfn.LET(_xlpm.c,_xlfn.SINGLE(Table1[condition]),_xlpm.k,CONCATENATE("*","-xsk","*"),IF(COUNTIF(_xlpm.c,_xlpm.k)&gt;0,1,0))</f>
        <v>0</v>
      </c>
      <c r="D69">
        <f>_xlfn.LET(_xlpm.c,_xlfn.SINGLE(Table1[condition]),_xlpm.k,CONCATENATE("*","-sk","*"),IF(COUNTIF(_xlpm.c,_xlpm.k)&gt;0,1,0))</f>
        <v>1</v>
      </c>
      <c r="E69">
        <f>IF(AND(Table1[[#This Row],[xsk]]=1,Table1[[#This Row],[sk]]=1),0,1)</f>
        <v>1</v>
      </c>
      <c r="F69" t="s">
        <v>108</v>
      </c>
      <c r="G69" s="1">
        <v>0.68022810890777397</v>
      </c>
      <c r="H69" s="1">
        <v>0.47771648371801501</v>
      </c>
      <c r="I69" s="1">
        <v>0.59445777466699201</v>
      </c>
      <c r="J69" s="1">
        <v>0.55471528528878</v>
      </c>
      <c r="K69" s="1">
        <v>0.36607251852107497</v>
      </c>
      <c r="L69" s="1">
        <v>0.58091819190815697</v>
      </c>
      <c r="M69" s="1">
        <v>0.50742738116804997</v>
      </c>
      <c r="N69" s="1">
        <v>0.5240279644043</v>
      </c>
      <c r="O69" s="1">
        <v>0.752357023060228</v>
      </c>
      <c r="P69" s="1">
        <v>0.36198565168443803</v>
      </c>
      <c r="Q69" s="1">
        <v>0.384167919992907</v>
      </c>
      <c r="R69" s="1">
        <v>0.29046142323176799</v>
      </c>
      <c r="S69" s="1">
        <v>0.43627892873889401</v>
      </c>
      <c r="T69" s="1">
        <f t="shared" si="2"/>
        <v>0.50083189656087534</v>
      </c>
    </row>
    <row r="70" spans="1:20" ht="30" customHeight="1">
      <c r="A70" t="str">
        <f t="shared" si="1"/>
        <v>spanish</v>
      </c>
      <c r="B70">
        <f>_xlfn.LET(_xlpm.c,_xlfn.SINGLE(Table1[condition]),IF(RIGHT(_xlpm.c,2)="1g",1,0))</f>
        <v>0</v>
      </c>
      <c r="C70">
        <f>_xlfn.LET(_xlpm.c,_xlfn.SINGLE(Table1[condition]),_xlpm.k,CONCATENATE("*","-xsk","*"),IF(COUNTIF(_xlpm.c,_xlpm.k)&gt;0,1,0))</f>
        <v>1</v>
      </c>
      <c r="D70">
        <f>_xlfn.LET(_xlpm.c,_xlfn.SINGLE(Table1[condition]),_xlpm.k,CONCATENATE("*","-sk","*"),IF(COUNTIF(_xlpm.c,_xlpm.k)&gt;0,1,0))</f>
        <v>0</v>
      </c>
      <c r="E70">
        <f>IF(AND(Table1[[#This Row],[xsk]]=1,Table1[[#This Row],[sk]]=1),0,1)</f>
        <v>1</v>
      </c>
      <c r="F70" t="s">
        <v>109</v>
      </c>
      <c r="G70" s="1">
        <v>0.760828697368648</v>
      </c>
      <c r="H70" s="1">
        <v>0.79563987691958704</v>
      </c>
      <c r="I70" s="1">
        <v>0.96434762295407706</v>
      </c>
      <c r="J70" s="1">
        <v>0.73004215332386202</v>
      </c>
      <c r="K70" s="1">
        <v>0.64779403982032402</v>
      </c>
      <c r="L70" s="1">
        <v>0.50531975105853799</v>
      </c>
      <c r="M70" s="1">
        <v>0.75959179422654199</v>
      </c>
      <c r="N70" s="1">
        <v>0.932525163640893</v>
      </c>
      <c r="O70" s="1">
        <v>0.58234701444732595</v>
      </c>
      <c r="P70" s="1">
        <v>0.38224885690000798</v>
      </c>
      <c r="Q70" s="1">
        <v>0.38113828840320002</v>
      </c>
      <c r="R70" s="1">
        <v>0.50637272393356203</v>
      </c>
      <c r="S70" s="1">
        <v>0.51087470692394199</v>
      </c>
      <c r="T70" s="1">
        <f t="shared" si="2"/>
        <v>0.65069774537850067</v>
      </c>
    </row>
    <row r="71" spans="1:20" ht="30" customHeight="1">
      <c r="A71" t="str">
        <f t="shared" ref="A71:A85" si="7">_xlfn.LET(_xlpm.c,$F71,_xlfn.TEXTBEFORE(_xlpm.c,"-"))</f>
        <v>spanish</v>
      </c>
      <c r="B71">
        <f>_xlfn.LET(_xlpm.c,_xlfn.SINGLE(Table1[condition]),IF(RIGHT(_xlpm.c,2)="1g",1,0))</f>
        <v>0</v>
      </c>
      <c r="C71">
        <f>_xlfn.LET(_xlpm.c,_xlfn.SINGLE(Table1[condition]),_xlpm.k,CONCATENATE("*","-xsk","*"),IF(COUNTIF(_xlpm.c,_xlpm.k)&gt;0,1,0))</f>
        <v>1</v>
      </c>
      <c r="D71">
        <f>_xlfn.LET(_xlpm.c,_xlfn.SINGLE(Table1[condition]),_xlpm.k,CONCATENATE("*","-sk","*"),IF(COUNTIF(_xlpm.c,_xlpm.k)&gt;0,1,0))</f>
        <v>0</v>
      </c>
      <c r="E71">
        <f>IF(AND(Table1[[#This Row],[xsk]]=1,Table1[[#This Row],[sk]]=1),0,1)</f>
        <v>1</v>
      </c>
      <c r="F71" t="s">
        <v>110</v>
      </c>
      <c r="G71" s="1">
        <v>0.90176070713796497</v>
      </c>
      <c r="H71" s="1">
        <v>0.74043476753588799</v>
      </c>
      <c r="I71" s="1">
        <v>0.82154803291565903</v>
      </c>
      <c r="J71" s="1">
        <v>0.51668522645211701</v>
      </c>
      <c r="K71" s="1">
        <v>0.37964850849884102</v>
      </c>
      <c r="L71" s="1">
        <v>0.73205080756887697</v>
      </c>
      <c r="M71" s="1">
        <v>1</v>
      </c>
      <c r="N71" s="1">
        <v>0.51416229645136402</v>
      </c>
      <c r="O71" s="1">
        <v>0.52456898382019101</v>
      </c>
      <c r="P71" s="1">
        <v>0.36147418871822001</v>
      </c>
      <c r="Q71" s="1">
        <v>1</v>
      </c>
      <c r="R71" s="1">
        <v>0.36522757890389401</v>
      </c>
      <c r="S71" s="1">
        <v>0.36440885932061301</v>
      </c>
      <c r="T71" s="1">
        <f t="shared" si="0"/>
        <v>0.63245922748643291</v>
      </c>
    </row>
    <row r="72" spans="1:20" ht="30" customHeight="1">
      <c r="A72" t="str">
        <f t="shared" si="7"/>
        <v>swahili</v>
      </c>
      <c r="B72">
        <f>_xlfn.LET(_xlpm.c,_xlfn.SINGLE(Table1[condition]),IF(RIGHT(_xlpm.c,2)="1g",1,0))</f>
        <v>1</v>
      </c>
      <c r="C72">
        <f>_xlfn.LET(_xlpm.c,_xlfn.SINGLE(Table1[condition]),_xlpm.k,CONCATENATE("*","-xsk","*"),IF(COUNTIF(_xlpm.c,_xlpm.k)&gt;0,1,0))</f>
        <v>0</v>
      </c>
      <c r="D72">
        <f>_xlfn.LET(_xlpm.c,_xlfn.SINGLE(Table1[condition]),_xlpm.k,CONCATENATE("*","-sk","*"),IF(COUNTIF(_xlpm.c,_xlpm.k)&gt;0,1,0))</f>
        <v>0</v>
      </c>
      <c r="E72">
        <f>IF(AND(Table1[[#This Row],[xsk]]=1,Table1[[#This Row],[sk]]=1),0,1)</f>
        <v>1</v>
      </c>
      <c r="F72" t="s">
        <v>111</v>
      </c>
      <c r="G72" s="1">
        <v>0.69701476811858498</v>
      </c>
      <c r="H72" s="1">
        <v>0.87145588562354503</v>
      </c>
      <c r="I72" s="1">
        <v>1</v>
      </c>
      <c r="J72" s="1">
        <v>0.49946729067884099</v>
      </c>
      <c r="K72" s="1">
        <v>0.58178904524260999</v>
      </c>
      <c r="L72" s="1">
        <v>0.72825842644618799</v>
      </c>
      <c r="M72" s="1">
        <v>0.35771412027161098</v>
      </c>
      <c r="N72" s="1">
        <v>0.55225277631021896</v>
      </c>
      <c r="O72" s="1">
        <v>0.74939544349331699</v>
      </c>
      <c r="P72" s="1">
        <v>0.53775793107352199</v>
      </c>
      <c r="Q72" s="1">
        <v>0.492407669522608</v>
      </c>
      <c r="R72" s="1">
        <v>0.43477518125020298</v>
      </c>
      <c r="S72" s="1">
        <v>0.26595019003348402</v>
      </c>
      <c r="T72" s="1">
        <f t="shared" si="0"/>
        <v>0.59755682523574882</v>
      </c>
    </row>
    <row r="73" spans="1:20" ht="30" customHeight="1">
      <c r="A73" t="str">
        <f t="shared" si="7"/>
        <v>swahili</v>
      </c>
      <c r="B73">
        <f>_xlfn.LET(_xlpm.c,_xlfn.SINGLE(Table1[condition]),IF(RIGHT(_xlpm.c,2)="1g",1,0))</f>
        <v>0</v>
      </c>
      <c r="C73">
        <f>_xlfn.LET(_xlpm.c,_xlfn.SINGLE(Table1[condition]),_xlpm.k,CONCATENATE("*","-xsk","*"),IF(COUNTIF(_xlpm.c,_xlpm.k)&gt;0,1,0))</f>
        <v>0</v>
      </c>
      <c r="D73">
        <f>_xlfn.LET(_xlpm.c,_xlfn.SINGLE(Table1[condition]),_xlpm.k,CONCATENATE("*","-sk","*"),IF(COUNTIF(_xlpm.c,_xlpm.k)&gt;0,1,0))</f>
        <v>0</v>
      </c>
      <c r="E73">
        <f>IF(AND(Table1[[#This Row],[xsk]]=1,Table1[[#This Row],[sk]]=1),0,1)</f>
        <v>1</v>
      </c>
      <c r="F73" t="s">
        <v>112</v>
      </c>
      <c r="G73" s="1">
        <v>0.72495248830377401</v>
      </c>
      <c r="H73" s="1">
        <v>0.60522949395162695</v>
      </c>
      <c r="I73" s="1">
        <v>0.505655030469505</v>
      </c>
      <c r="J73" s="1">
        <v>0.58164934396998103</v>
      </c>
      <c r="K73" s="1">
        <v>0.37717443474066997</v>
      </c>
      <c r="L73" s="1">
        <v>0.59146832516496595</v>
      </c>
      <c r="M73" s="1">
        <v>0</v>
      </c>
      <c r="N73" s="1">
        <v>0.44817966656803798</v>
      </c>
      <c r="O73" s="1">
        <v>0.43511977982928501</v>
      </c>
      <c r="P73" s="1">
        <v>0.273284984157254</v>
      </c>
      <c r="Q73" s="1">
        <v>0.54204073790921403</v>
      </c>
      <c r="R73" s="1">
        <v>0</v>
      </c>
      <c r="S73" s="1">
        <v>0.75959179422654199</v>
      </c>
      <c r="T73" s="1">
        <f t="shared" si="0"/>
        <v>0.44956508302237352</v>
      </c>
    </row>
    <row r="74" spans="1:20" ht="30" customHeight="1">
      <c r="A74" t="str">
        <f t="shared" si="7"/>
        <v>swahili</v>
      </c>
      <c r="B74">
        <f>_xlfn.LET(_xlpm.c,_xlfn.SINGLE(Table1[condition]),IF(RIGHT(_xlpm.c,2)="1g",1,0))</f>
        <v>0</v>
      </c>
      <c r="C74">
        <f>_xlfn.LET(_xlpm.c,_xlfn.SINGLE(Table1[condition]),_xlpm.k,CONCATENATE("*","-xsk","*"),IF(COUNTIF(_xlpm.c,_xlpm.k)&gt;0,1,0))</f>
        <v>0</v>
      </c>
      <c r="D74">
        <f>_xlfn.LET(_xlpm.c,_xlfn.SINGLE(Table1[condition]),_xlpm.k,CONCATENATE("*","-sk","*"),IF(COUNTIF(_xlpm.c,_xlpm.k)&gt;0,1,0))</f>
        <v>0</v>
      </c>
      <c r="E74">
        <f>IF(AND(Table1[[#This Row],[xsk]]=1,Table1[[#This Row],[sk]]=1),0,1)</f>
        <v>1</v>
      </c>
      <c r="F74" t="s">
        <v>113</v>
      </c>
      <c r="G74" s="1">
        <v>0.68863413882522295</v>
      </c>
      <c r="H74" s="1">
        <v>0.69206988182868101</v>
      </c>
      <c r="I74" s="1">
        <v>0.69279189784954398</v>
      </c>
      <c r="J74" s="1">
        <v>0.62951408110919604</v>
      </c>
      <c r="K74" s="1">
        <v>0.64543296040116505</v>
      </c>
      <c r="L74" s="1">
        <v>0.46198244155025397</v>
      </c>
      <c r="M74" s="1">
        <v>0.62713510093195102</v>
      </c>
      <c r="N74" s="1">
        <v>0.24132421078018501</v>
      </c>
      <c r="O74" s="1">
        <v>0.43919657318460797</v>
      </c>
      <c r="P74" s="1">
        <v>0.57259881460904904</v>
      </c>
      <c r="Q74" s="1">
        <v>0.6</v>
      </c>
      <c r="R74" s="1">
        <v>0</v>
      </c>
      <c r="S74" s="1">
        <v>0.44548655388848801</v>
      </c>
      <c r="T74" s="1">
        <f t="shared" si="0"/>
        <v>0.51816666576602644</v>
      </c>
    </row>
    <row r="75" spans="1:20" ht="30" customHeight="1">
      <c r="A75" t="str">
        <f t="shared" si="7"/>
        <v>swahili</v>
      </c>
      <c r="B75">
        <f>_xlfn.LET(_xlpm.c,_xlfn.SINGLE(Table1[condition]),IF(RIGHT(_xlpm.c,2)="1g",1,0))</f>
        <v>0</v>
      </c>
      <c r="C75">
        <f>_xlfn.LET(_xlpm.c,_xlfn.SINGLE(Table1[condition]),_xlpm.k,CONCATENATE("*","-xsk","*"),IF(COUNTIF(_xlpm.c,_xlpm.k)&gt;0,1,0))</f>
        <v>0</v>
      </c>
      <c r="D75">
        <f>_xlfn.LET(_xlpm.c,_xlfn.SINGLE(Table1[condition]),_xlpm.k,CONCATENATE("*","-sk","*"),IF(COUNTIF(_xlpm.c,_xlpm.k)&gt;0,1,0))</f>
        <v>1</v>
      </c>
      <c r="E75">
        <f>IF(AND(Table1[[#This Row],[xsk]]=1,Table1[[#This Row],[sk]]=1),0,1)</f>
        <v>1</v>
      </c>
      <c r="F75" t="s">
        <v>114</v>
      </c>
      <c r="G75" s="1">
        <v>0.58620034456727299</v>
      </c>
      <c r="H75" s="1">
        <v>0.62776537934384702</v>
      </c>
      <c r="I75" s="1">
        <v>0.55131964227417696</v>
      </c>
      <c r="J75" s="1">
        <v>0.51205351619720796</v>
      </c>
      <c r="K75" s="1">
        <v>0.75369444223888504</v>
      </c>
      <c r="L75" s="1">
        <v>0.49182827748084301</v>
      </c>
      <c r="M75" s="1">
        <v>0.52796809719510096</v>
      </c>
      <c r="N75" s="1">
        <v>0.36551318667174298</v>
      </c>
      <c r="O75" s="1">
        <v>0.56450996864148895</v>
      </c>
      <c r="P75" s="1">
        <v>0.80522566782190197</v>
      </c>
      <c r="Q75" s="1">
        <v>0.30247930663589101</v>
      </c>
      <c r="R75" s="1">
        <v>0.52985295264208498</v>
      </c>
      <c r="S75" s="1">
        <v>0.66794075751363902</v>
      </c>
      <c r="T75" s="1">
        <f t="shared" si="0"/>
        <v>0.56048857994031409</v>
      </c>
    </row>
    <row r="76" spans="1:20" ht="30" customHeight="1">
      <c r="A76" t="str">
        <f t="shared" si="7"/>
        <v>swahili</v>
      </c>
      <c r="B76">
        <f>_xlfn.LET(_xlpm.c,_xlfn.SINGLE(Table1[condition]),IF(RIGHT(_xlpm.c,2)="1g",1,0))</f>
        <v>0</v>
      </c>
      <c r="C76">
        <f>_xlfn.LET(_xlpm.c,_xlfn.SINGLE(Table1[condition]),_xlpm.k,CONCATENATE("*","-xsk","*"),IF(COUNTIF(_xlpm.c,_xlpm.k)&gt;0,1,0))</f>
        <v>0</v>
      </c>
      <c r="D76">
        <f>_xlfn.LET(_xlpm.c,_xlfn.SINGLE(Table1[condition]),_xlpm.k,CONCATENATE("*","-sk","*"),IF(COUNTIF(_xlpm.c,_xlpm.k)&gt;0,1,0))</f>
        <v>1</v>
      </c>
      <c r="E76">
        <f>IF(AND(Table1[[#This Row],[xsk]]=1,Table1[[#This Row],[sk]]=1),0,1)</f>
        <v>1</v>
      </c>
      <c r="F76" t="s">
        <v>115</v>
      </c>
      <c r="G76" s="1">
        <v>0.812997469852202</v>
      </c>
      <c r="H76" s="1">
        <v>0.70255955804908399</v>
      </c>
      <c r="I76" s="1">
        <v>0.58111302182977298</v>
      </c>
      <c r="J76" s="1">
        <v>0.58894200926889795</v>
      </c>
      <c r="K76" s="1">
        <v>0.664073294787072</v>
      </c>
      <c r="L76" s="1">
        <v>0.75515197701633197</v>
      </c>
      <c r="M76" s="1">
        <v>0.433777213650196</v>
      </c>
      <c r="N76" s="1">
        <v>0.46005266290102997</v>
      </c>
      <c r="O76" s="1">
        <v>0.38899905524800699</v>
      </c>
      <c r="P76" s="1">
        <v>0.466109907506218</v>
      </c>
      <c r="Q76" s="1">
        <v>0.37038645538242698</v>
      </c>
      <c r="R76" s="1">
        <v>0.53511508728267099</v>
      </c>
      <c r="S76" s="1">
        <v>0.43083380015835299</v>
      </c>
      <c r="T76" s="1">
        <f t="shared" si="0"/>
        <v>0.55308550099478948</v>
      </c>
    </row>
    <row r="77" spans="1:20" ht="30" customHeight="1">
      <c r="A77" t="str">
        <f t="shared" si="7"/>
        <v>swahili</v>
      </c>
      <c r="B77">
        <f>_xlfn.LET(_xlpm.c,_xlfn.SINGLE(Table1[condition]),IF(RIGHT(_xlpm.c,2)="1g",1,0))</f>
        <v>0</v>
      </c>
      <c r="C77">
        <f>_xlfn.LET(_xlpm.c,_xlfn.SINGLE(Table1[condition]),_xlpm.k,CONCATENATE("*","-xsk","*"),IF(COUNTIF(_xlpm.c,_xlpm.k)&gt;0,1,0))</f>
        <v>1</v>
      </c>
      <c r="D77">
        <f>_xlfn.LET(_xlpm.c,_xlfn.SINGLE(Table1[condition]),_xlpm.k,CONCATENATE("*","-sk","*"),IF(COUNTIF(_xlpm.c,_xlpm.k)&gt;0,1,0))</f>
        <v>0</v>
      </c>
      <c r="E77">
        <f>IF(AND(Table1[[#This Row],[xsk]]=1,Table1[[#This Row],[sk]]=1),0,1)</f>
        <v>1</v>
      </c>
      <c r="F77" t="s">
        <v>116</v>
      </c>
      <c r="G77" s="1">
        <v>0.82188584602778803</v>
      </c>
      <c r="H77" s="1">
        <v>0.54998544857614795</v>
      </c>
      <c r="I77" s="1">
        <v>0.66912508221911704</v>
      </c>
      <c r="J77" s="1">
        <v>0.68664073126564595</v>
      </c>
      <c r="K77" s="1">
        <v>0.63085605193497396</v>
      </c>
      <c r="L77" s="1">
        <v>0.71817794088545805</v>
      </c>
      <c r="M77" s="1">
        <v>0.58464041673962097</v>
      </c>
      <c r="N77" s="1">
        <v>0.51450358284947295</v>
      </c>
      <c r="O77" s="1">
        <v>0.49194896033809699</v>
      </c>
      <c r="P77" s="1">
        <v>0.80253936440550699</v>
      </c>
      <c r="Q77" s="1">
        <v>0.75751789089800903</v>
      </c>
      <c r="R77" s="1">
        <v>0.36487575974424902</v>
      </c>
      <c r="S77" s="1">
        <v>0.58857384219522602</v>
      </c>
      <c r="T77" s="1">
        <f t="shared" si="0"/>
        <v>0.62932853215994722</v>
      </c>
    </row>
    <row r="78" spans="1:20" ht="30" customHeight="1">
      <c r="A78" t="str">
        <f t="shared" si="7"/>
        <v>swahili</v>
      </c>
      <c r="B78">
        <f>_xlfn.LET(_xlpm.c,_xlfn.SINGLE(Table1[condition]),IF(RIGHT(_xlpm.c,2)="1g",1,0))</f>
        <v>0</v>
      </c>
      <c r="C78">
        <f>_xlfn.LET(_xlpm.c,_xlfn.SINGLE(Table1[condition]),_xlpm.k,CONCATENATE("*","-xsk","*"),IF(COUNTIF(_xlpm.c,_xlpm.k)&gt;0,1,0))</f>
        <v>1</v>
      </c>
      <c r="D78">
        <f>_xlfn.LET(_xlpm.c,_xlfn.SINGLE(Table1[condition]),_xlpm.k,CONCATENATE("*","-sk","*"),IF(COUNTIF(_xlpm.c,_xlpm.k)&gt;0,1,0))</f>
        <v>0</v>
      </c>
      <c r="E78">
        <f>IF(AND(Table1[[#This Row],[xsk]]=1,Table1[[#This Row],[sk]]=1),0,1)</f>
        <v>1</v>
      </c>
      <c r="F78" t="s">
        <v>117</v>
      </c>
      <c r="G78" s="1">
        <v>0.64571722806312604</v>
      </c>
      <c r="H78" s="1">
        <v>0.63164682587987997</v>
      </c>
      <c r="I78" s="1">
        <v>0.66508207758332105</v>
      </c>
      <c r="J78" s="1">
        <v>0.59254106730123901</v>
      </c>
      <c r="K78" s="1">
        <v>0.53440186036024095</v>
      </c>
      <c r="L78" s="1">
        <v>0.56157626105041203</v>
      </c>
      <c r="M78" s="1">
        <v>0.58925595670806497</v>
      </c>
      <c r="N78" s="1">
        <v>0.74249815482930503</v>
      </c>
      <c r="O78" s="1">
        <v>0.53028023399789403</v>
      </c>
      <c r="P78" s="1">
        <v>0.51182587219718201</v>
      </c>
      <c r="Q78" s="1">
        <v>0.70492873411786405</v>
      </c>
      <c r="R78" s="1">
        <v>0.28070027235280798</v>
      </c>
      <c r="S78" s="1">
        <v>0.49173264981006198</v>
      </c>
      <c r="T78" s="1">
        <f t="shared" si="0"/>
        <v>0.57555286109626147</v>
      </c>
    </row>
    <row r="79" spans="1:20" ht="30" customHeight="1">
      <c r="A79" t="str">
        <f t="shared" si="7"/>
        <v>turkish</v>
      </c>
      <c r="B79">
        <f>_xlfn.LET(_xlpm.c,_xlfn.SINGLE(Table1[condition]),IF(RIGHT(_xlpm.c,2)="1g",1,0))</f>
        <v>1</v>
      </c>
      <c r="C79">
        <f>_xlfn.LET(_xlpm.c,_xlfn.SINGLE(Table1[condition]),_xlpm.k,CONCATENATE("*","-xsk","*"),IF(COUNTIF(_xlpm.c,_xlpm.k)&gt;0,1,0))</f>
        <v>0</v>
      </c>
      <c r="D79">
        <f>_xlfn.LET(_xlpm.c,_xlfn.SINGLE(Table1[condition]),_xlpm.k,CONCATENATE("*","-sk","*"),IF(COUNTIF(_xlpm.c,_xlpm.k)&gt;0,1,0))</f>
        <v>0</v>
      </c>
      <c r="E79">
        <f>IF(AND(Table1[[#This Row],[xsk]]=1,Table1[[#This Row],[sk]]=1),0,1)</f>
        <v>1</v>
      </c>
      <c r="F79" t="s">
        <v>90</v>
      </c>
      <c r="G79" s="1">
        <v>0.93877484543825096</v>
      </c>
      <c r="H79" s="1">
        <v>0.57620736054572796</v>
      </c>
      <c r="I79" s="1">
        <v>0.62382433610186505</v>
      </c>
      <c r="J79" s="1">
        <v>0.64909699608158</v>
      </c>
      <c r="K79" s="1">
        <v>1</v>
      </c>
      <c r="L79" s="1">
        <v>0.84846110915585105</v>
      </c>
      <c r="M79" s="1">
        <v>0.355824945453035</v>
      </c>
      <c r="N79" s="1">
        <v>0.68952572609698903</v>
      </c>
      <c r="O79" s="1">
        <v>1</v>
      </c>
      <c r="P79" s="1">
        <v>0.50320492760397095</v>
      </c>
      <c r="Q79" s="1">
        <v>0.50688203749835203</v>
      </c>
      <c r="R79" s="1">
        <v>0.28230391434688601</v>
      </c>
      <c r="S79" s="1">
        <v>1</v>
      </c>
      <c r="T79" s="1">
        <f t="shared" si="0"/>
        <v>0.6903158614094238</v>
      </c>
    </row>
    <row r="80" spans="1:20" ht="30" customHeight="1">
      <c r="A80" t="str">
        <f t="shared" si="7"/>
        <v>turkish</v>
      </c>
      <c r="B80">
        <f>_xlfn.LET(_xlpm.c,_xlfn.SINGLE(Table1[condition]),IF(RIGHT(_xlpm.c,2)="1g",1,0))</f>
        <v>0</v>
      </c>
      <c r="C80">
        <f>_xlfn.LET(_xlpm.c,_xlfn.SINGLE(Table1[condition]),_xlpm.k,CONCATENATE("*","-xsk","*"),IF(COUNTIF(_xlpm.c,_xlpm.k)&gt;0,1,0))</f>
        <v>0</v>
      </c>
      <c r="D80">
        <f>_xlfn.LET(_xlpm.c,_xlfn.SINGLE(Table1[condition]),_xlpm.k,CONCATENATE("*","-sk","*"),IF(COUNTIF(_xlpm.c,_xlpm.k)&gt;0,1,0))</f>
        <v>0</v>
      </c>
      <c r="E80">
        <f>IF(AND(Table1[[#This Row],[xsk]]=1,Table1[[#This Row],[sk]]=1),0,1)</f>
        <v>1</v>
      </c>
      <c r="F80" t="s">
        <v>91</v>
      </c>
      <c r="G80" s="1">
        <v>0.55801054827626695</v>
      </c>
      <c r="H80" s="1">
        <v>0.67077405974348003</v>
      </c>
      <c r="I80" s="1">
        <v>0.48506759433081598</v>
      </c>
      <c r="J80" s="1">
        <v>0.55471528528878</v>
      </c>
      <c r="K80" s="1">
        <v>0.546387972266975</v>
      </c>
      <c r="L80" s="1">
        <v>0.552616534994544</v>
      </c>
      <c r="M80" s="1">
        <v>0.83333333333333304</v>
      </c>
      <c r="N80" s="1">
        <v>1</v>
      </c>
      <c r="O80" s="1">
        <v>1</v>
      </c>
      <c r="P80" s="1">
        <v>0.65797962369437502</v>
      </c>
      <c r="Q80" s="1">
        <v>0.37691675124493101</v>
      </c>
      <c r="R80" s="1">
        <v>1</v>
      </c>
      <c r="S80" s="1">
        <v>0.53105823175168498</v>
      </c>
      <c r="T80" s="1">
        <f t="shared" si="0"/>
        <v>0.67437384114809107</v>
      </c>
    </row>
    <row r="81" spans="1:20" ht="30" customHeight="1">
      <c r="A81" t="str">
        <f t="shared" si="7"/>
        <v>turkish</v>
      </c>
      <c r="B81">
        <f>_xlfn.LET(_xlpm.c,_xlfn.SINGLE(Table1[condition]),IF(RIGHT(_xlpm.c,2)="1g",1,0))</f>
        <v>0</v>
      </c>
      <c r="C81">
        <f>_xlfn.LET(_xlpm.c,_xlfn.SINGLE(Table1[condition]),_xlpm.k,CONCATENATE("*","-xsk","*"),IF(COUNTIF(_xlpm.c,_xlpm.k)&gt;0,1,0))</f>
        <v>0</v>
      </c>
      <c r="D81">
        <f>_xlfn.LET(_xlpm.c,_xlfn.SINGLE(Table1[condition]),_xlpm.k,CONCATENATE("*","-sk","*"),IF(COUNTIF(_xlpm.c,_xlpm.k)&gt;0,1,0))</f>
        <v>0</v>
      </c>
      <c r="E81">
        <f>IF(AND(Table1[[#This Row],[xsk]]=1,Table1[[#This Row],[sk]]=1),0,1)</f>
        <v>1</v>
      </c>
      <c r="F81" t="s">
        <v>92</v>
      </c>
      <c r="G81" s="1">
        <v>0.69323669094756901</v>
      </c>
      <c r="H81" s="1">
        <v>0.52148302869124497</v>
      </c>
      <c r="I81" s="1">
        <v>0.77970138510709697</v>
      </c>
      <c r="J81" s="1">
        <v>0.49150728389570503</v>
      </c>
      <c r="K81" s="1">
        <v>0.53146235040456902</v>
      </c>
      <c r="L81" s="1">
        <v>0.53598565233939</v>
      </c>
      <c r="M81" s="1">
        <v>0.55703035870961004</v>
      </c>
      <c r="N81" s="1">
        <v>0.301665486368075</v>
      </c>
      <c r="O81" s="1">
        <v>0.44099399182687099</v>
      </c>
      <c r="P81" s="1">
        <v>1</v>
      </c>
      <c r="Q81" s="1">
        <v>0.58108108108108103</v>
      </c>
      <c r="R81" s="1">
        <v>1</v>
      </c>
      <c r="S81" s="1">
        <v>0.48528137423856998</v>
      </c>
      <c r="T81" s="1">
        <f t="shared" si="0"/>
        <v>0.60918682181613704</v>
      </c>
    </row>
    <row r="82" spans="1:20" ht="30" customHeight="1">
      <c r="A82" t="str">
        <f t="shared" si="7"/>
        <v>turkish</v>
      </c>
      <c r="B82">
        <f>_xlfn.LET(_xlpm.c,_xlfn.SINGLE(Table1[condition]),IF(RIGHT(_xlpm.c,2)="1g",1,0))</f>
        <v>0</v>
      </c>
      <c r="C82">
        <f>_xlfn.LET(_xlpm.c,_xlfn.SINGLE(Table1[condition]),_xlpm.k,CONCATENATE("*","-xsk","*"),IF(COUNTIF(_xlpm.c,_xlpm.k)&gt;0,1,0))</f>
        <v>0</v>
      </c>
      <c r="D82">
        <f>_xlfn.LET(_xlpm.c,_xlfn.SINGLE(Table1[condition]),_xlpm.k,CONCATENATE("*","-sk","*"),IF(COUNTIF(_xlpm.c,_xlpm.k)&gt;0,1,0))</f>
        <v>1</v>
      </c>
      <c r="E82">
        <f>IF(AND(Table1[[#This Row],[xsk]]=1,Table1[[#This Row],[sk]]=1),0,1)</f>
        <v>1</v>
      </c>
      <c r="F82" t="s">
        <v>93</v>
      </c>
      <c r="G82" s="1">
        <v>0.58079416205837098</v>
      </c>
      <c r="H82" s="1">
        <v>0.62181530766031801</v>
      </c>
      <c r="I82" s="1">
        <v>0.57843198239303395</v>
      </c>
      <c r="J82" s="1">
        <v>0.54204073790921403</v>
      </c>
      <c r="K82" s="1">
        <v>0.570699864719174</v>
      </c>
      <c r="L82" s="1">
        <v>0.47911621123453801</v>
      </c>
      <c r="M82" s="1">
        <v>0.54728026894429205</v>
      </c>
      <c r="N82" s="1">
        <v>0.53377325690102295</v>
      </c>
      <c r="O82" s="1">
        <v>0.784561912118524</v>
      </c>
      <c r="P82" s="1">
        <v>0.36131725602158798</v>
      </c>
      <c r="Q82" s="1">
        <v>0.67234104078182499</v>
      </c>
      <c r="R82" s="1">
        <v>0.29436850805874598</v>
      </c>
      <c r="S82" s="1">
        <v>0.53081839321972801</v>
      </c>
      <c r="T82" s="1">
        <f t="shared" si="0"/>
        <v>0.545950684770798</v>
      </c>
    </row>
    <row r="83" spans="1:20" ht="30" customHeight="1">
      <c r="A83" t="str">
        <f t="shared" si="7"/>
        <v>turkish</v>
      </c>
      <c r="B83">
        <f>_xlfn.LET(_xlpm.c,_xlfn.SINGLE(Table1[condition]),IF(RIGHT(_xlpm.c,2)="1g",1,0))</f>
        <v>0</v>
      </c>
      <c r="C83">
        <f>_xlfn.LET(_xlpm.c,_xlfn.SINGLE(Table1[condition]),_xlpm.k,CONCATENATE("*","-xsk","*"),IF(COUNTIF(_xlpm.c,_xlpm.k)&gt;0,1,0))</f>
        <v>0</v>
      </c>
      <c r="D83">
        <f>_xlfn.LET(_xlpm.c,_xlfn.SINGLE(Table1[condition]),_xlpm.k,CONCATENATE("*","-sk","*"),IF(COUNTIF(_xlpm.c,_xlpm.k)&gt;0,1,0))</f>
        <v>1</v>
      </c>
      <c r="E83">
        <f>IF(AND(Table1[[#This Row],[xsk]]=1,Table1[[#This Row],[sk]]=1),0,1)</f>
        <v>1</v>
      </c>
      <c r="F83" t="s">
        <v>94</v>
      </c>
      <c r="G83" s="1">
        <v>0.607398711206807</v>
      </c>
      <c r="H83" s="1">
        <v>0.60169365221267701</v>
      </c>
      <c r="I83" s="1">
        <v>0.73205080756887697</v>
      </c>
      <c r="J83" s="1">
        <v>0.661415493048366</v>
      </c>
      <c r="K83" s="1">
        <v>0.54204073790921403</v>
      </c>
      <c r="L83" s="1">
        <v>0.58216734329762498</v>
      </c>
      <c r="M83" s="1">
        <v>0.89897948556635598</v>
      </c>
      <c r="N83" s="1">
        <v>0.55728136254800598</v>
      </c>
      <c r="O83" s="1">
        <v>0.50316468373700196</v>
      </c>
      <c r="P83" s="1">
        <v>1</v>
      </c>
      <c r="Q83" s="1">
        <v>0.52122461732037195</v>
      </c>
      <c r="R83" s="1">
        <v>0.51316701949486199</v>
      </c>
      <c r="S83" s="1">
        <v>1</v>
      </c>
      <c r="T83" s="1">
        <f t="shared" si="0"/>
        <v>0.67081414722385868</v>
      </c>
    </row>
    <row r="84" spans="1:20" ht="30" customHeight="1">
      <c r="A84" t="str">
        <f t="shared" si="7"/>
        <v>turkish</v>
      </c>
      <c r="B84">
        <f>_xlfn.LET(_xlpm.c,_xlfn.SINGLE(Table1[condition]),IF(RIGHT(_xlpm.c,2)="1g",1,0))</f>
        <v>0</v>
      </c>
      <c r="C84">
        <f>_xlfn.LET(_xlpm.c,_xlfn.SINGLE(Table1[condition]),_xlpm.k,CONCATENATE("*","-xsk","*"),IF(COUNTIF(_xlpm.c,_xlpm.k)&gt;0,1,0))</f>
        <v>1</v>
      </c>
      <c r="D84">
        <f>_xlfn.LET(_xlpm.c,_xlfn.SINGLE(Table1[condition]),_xlpm.k,CONCATENATE("*","-sk","*"),IF(COUNTIF(_xlpm.c,_xlpm.k)&gt;0,1,0))</f>
        <v>0</v>
      </c>
      <c r="E84">
        <f>IF(AND(Table1[[#This Row],[xsk]]=1,Table1[[#This Row],[sk]]=1),0,1)</f>
        <v>1</v>
      </c>
      <c r="F84" t="s">
        <v>95</v>
      </c>
      <c r="G84" s="1">
        <v>0.68853526167659795</v>
      </c>
      <c r="H84" s="1">
        <v>0.85971497600153601</v>
      </c>
      <c r="I84" s="1">
        <v>0.66078628042465404</v>
      </c>
      <c r="J84" s="1">
        <v>0.64616694431574795</v>
      </c>
      <c r="K84" s="1">
        <v>0.64507956189298399</v>
      </c>
      <c r="L84" s="1">
        <v>0.61053639220374201</v>
      </c>
      <c r="M84" s="1">
        <v>0.493901531919196</v>
      </c>
      <c r="N84" s="1">
        <v>0.35019018665274498</v>
      </c>
      <c r="O84" s="1">
        <v>0.55471528528878</v>
      </c>
      <c r="P84" s="1">
        <v>0.35187008638659101</v>
      </c>
      <c r="Q84" s="1">
        <v>0.51658507243830198</v>
      </c>
      <c r="R84" s="1">
        <v>0.33987599491620202</v>
      </c>
      <c r="S84" s="1">
        <v>1</v>
      </c>
      <c r="T84" s="1">
        <f t="shared" si="0"/>
        <v>0.59368904416285218</v>
      </c>
    </row>
    <row r="85" spans="1:20" ht="30" customHeight="1">
      <c r="A85" t="str">
        <f t="shared" si="7"/>
        <v>turkish</v>
      </c>
      <c r="B85">
        <f>_xlfn.LET(_xlpm.c,_xlfn.SINGLE(Table1[condition]),IF(RIGHT(_xlpm.c,2)="1g",1,0))</f>
        <v>0</v>
      </c>
      <c r="C85">
        <f>_xlfn.LET(_xlpm.c,_xlfn.SINGLE(Table1[condition]),_xlpm.k,CONCATENATE("*","-xsk","*"),IF(COUNTIF(_xlpm.c,_xlpm.k)&gt;0,1,0))</f>
        <v>1</v>
      </c>
      <c r="D85">
        <f>_xlfn.LET(_xlpm.c,_xlfn.SINGLE(Table1[condition]),_xlpm.k,CONCATENATE("*","-sk","*"),IF(COUNTIF(_xlpm.c,_xlpm.k)&gt;0,1,0))</f>
        <v>0</v>
      </c>
      <c r="E85">
        <f>IF(AND(Table1[[#This Row],[xsk]]=1,Table1[[#This Row],[sk]]=1),0,1)</f>
        <v>1</v>
      </c>
      <c r="F85" t="s">
        <v>96</v>
      </c>
      <c r="G85" s="1">
        <v>0.89100117365879095</v>
      </c>
      <c r="H85" s="1">
        <v>0.73273447409498604</v>
      </c>
      <c r="I85" s="1">
        <v>0.75002143114325504</v>
      </c>
      <c r="J85" s="1">
        <v>0.24746487219850999</v>
      </c>
      <c r="K85" s="1">
        <v>0.61455059592626204</v>
      </c>
      <c r="L85" s="1">
        <v>0.51772907112310096</v>
      </c>
      <c r="M85" s="1">
        <v>0.54728026894429205</v>
      </c>
      <c r="N85" s="1">
        <v>1</v>
      </c>
      <c r="O85" s="1">
        <v>0.51668522645211701</v>
      </c>
      <c r="P85" s="1">
        <v>1</v>
      </c>
      <c r="Q85" s="1">
        <v>0.36588408440866599</v>
      </c>
      <c r="R85" s="1">
        <v>0.51416229645136402</v>
      </c>
      <c r="S85" s="1">
        <v>1</v>
      </c>
      <c r="T85" s="1">
        <f t="shared" si="0"/>
        <v>0.66903949956933428</v>
      </c>
    </row>
    <row r="87" spans="1:20" ht="30" customHeight="1">
      <c r="F87" t="s">
        <v>118</v>
      </c>
    </row>
    <row r="88" spans="1:20" ht="30" customHeight="1">
      <c r="F88" t="s">
        <v>37</v>
      </c>
      <c r="G88" s="2">
        <f>_xlfn.LET(_xlpm.d,G$2:G$85,AVERAGE(_xlpm.d))</f>
        <v>0.78745991609960087</v>
      </c>
      <c r="H88" s="2">
        <f t="shared" ref="H88:T88" si="8">_xlfn.LET(_xlpm.d,H$2:H$85,AVERAGE(_xlpm.d))</f>
        <v>0.74900434417725903</v>
      </c>
      <c r="I88" s="2">
        <f t="shared" si="8"/>
        <v>0.74311192085076228</v>
      </c>
      <c r="J88" s="2">
        <f t="shared" si="8"/>
        <v>0.7028529698375916</v>
      </c>
      <c r="K88" s="2">
        <f t="shared" si="8"/>
        <v>0.69168003251544874</v>
      </c>
      <c r="L88" s="2">
        <f t="shared" si="8"/>
        <v>0.67945797567403621</v>
      </c>
      <c r="M88" s="2">
        <f t="shared" si="8"/>
        <v>0.6666611340015387</v>
      </c>
      <c r="N88" s="2">
        <f t="shared" si="8"/>
        <v>0.66143346754453292</v>
      </c>
      <c r="O88" s="2">
        <f t="shared" si="8"/>
        <v>0.67164695352733417</v>
      </c>
      <c r="P88" s="2">
        <f t="shared" si="8"/>
        <v>0.68730366010252653</v>
      </c>
      <c r="Q88" s="2">
        <f t="shared" si="8"/>
        <v>0.65631504101831473</v>
      </c>
      <c r="R88" s="2">
        <f t="shared" si="8"/>
        <v>0.64461332044425146</v>
      </c>
      <c r="S88" s="2">
        <f t="shared" si="8"/>
        <v>0.63765418470098356</v>
      </c>
      <c r="T88" s="2">
        <f t="shared" si="8"/>
        <v>0.69021534772674076</v>
      </c>
    </row>
    <row r="89" spans="1:20" ht="30" customHeight="1">
      <c r="F89" t="s">
        <v>38</v>
      </c>
      <c r="G89" s="2" cm="1">
        <f t="array" ref="G89">_xlfn.LET(_xlpm.d,G$2:G$85,_xlpm.f,$A$2:$A$85,_xlpm.k,$F89,AVERAGE(_xlfn._xlws.FILTER(_xlpm.d,_xlpm.f=_xlpm.k)))</f>
        <v>0.99779184204591154</v>
      </c>
      <c r="H89" s="2" cm="1">
        <f t="array" ref="H89">_xlfn.LET(_xlpm.d,H$2:H$85,_xlpm.f,$A$2:$A$85,_xlpm.k,$F89,AVERAGE(_xlfn._xlws.FILTER(_xlpm.d,_xlpm.f=_xlpm.k)))</f>
        <v>0.9940329291051706</v>
      </c>
      <c r="I89" s="2" cm="1">
        <f t="array" ref="I89">_xlfn.LET(_xlpm.d,I$2:I$85,_xlpm.f,$A$2:$A$85,_xlpm.k,$F89,AVERAGE(_xlfn._xlws.FILTER(_xlpm.d,_xlpm.f=_xlpm.k)))</f>
        <v>0.99365447252075489</v>
      </c>
      <c r="J89" s="2" cm="1">
        <f t="array" ref="J89">_xlfn.LET(_xlpm.d,J$2:J$85,_xlpm.f,$A$2:$A$85,_xlpm.k,$F89,AVERAGE(_xlfn._xlws.FILTER(_xlpm.d,_xlpm.f=_xlpm.k)))</f>
        <v>0.99880930327438955</v>
      </c>
      <c r="K89" s="2" cm="1">
        <f t="array" ref="K89">_xlfn.LET(_xlpm.d,K$2:K$85,_xlpm.f,$A$2:$A$85,_xlpm.k,$F89,AVERAGE(_xlfn._xlws.FILTER(_xlpm.d,_xlpm.f=_xlpm.k)))</f>
        <v>0.99634154265593478</v>
      </c>
      <c r="L89" s="2" cm="1">
        <f t="array" ref="L89">_xlfn.LET(_xlpm.d,L$2:L$85,_xlpm.f,$A$2:$A$85,_xlpm.k,$F89,AVERAGE(_xlfn._xlws.FILTER(_xlpm.d,_xlpm.f=_xlpm.k)))</f>
        <v>0.98594033723546903</v>
      </c>
      <c r="M89" s="2" cm="1">
        <f t="array" ref="M89">_xlfn.LET(_xlpm.d,M$2:M$85,_xlpm.f,$A$2:$A$85,_xlpm.k,$F89,AVERAGE(_xlfn._xlws.FILTER(_xlpm.d,_xlpm.f=_xlpm.k)))</f>
        <v>0.99760574620909814</v>
      </c>
      <c r="N89" s="2" cm="1">
        <f t="array" ref="N89">_xlfn.LET(_xlpm.d,N$2:N$85,_xlpm.f,$A$2:$A$85,_xlpm.k,$F89,AVERAGE(_xlfn._xlws.FILTER(_xlpm.d,_xlpm.f=_xlpm.k)))</f>
        <v>0.9991126885536824</v>
      </c>
      <c r="O89" s="2" cm="1">
        <f t="array" ref="O89">_xlfn.LET(_xlpm.d,O$2:O$85,_xlpm.f,$A$2:$A$85,_xlpm.k,$F89,AVERAGE(_xlfn._xlws.FILTER(_xlpm.d,_xlpm.f=_xlpm.k)))</f>
        <v>0.99711399711399706</v>
      </c>
      <c r="P89" s="2" cm="1">
        <f t="array" ref="P89">_xlfn.LET(_xlpm.d,P$2:P$85,_xlpm.f,$A$2:$A$85,_xlpm.k,$F89,AVERAGE(_xlfn._xlws.FILTER(_xlpm.d,_xlpm.f=_xlpm.k)))</f>
        <v>0.98648038803673188</v>
      </c>
      <c r="Q89" s="2" cm="1">
        <f t="array" ref="Q89">_xlfn.LET(_xlpm.d,Q$2:Q$85,_xlpm.f,$A$2:$A$85,_xlpm.k,$F89,AVERAGE(_xlfn._xlws.FILTER(_xlpm.d,_xlpm.f=_xlpm.k)))</f>
        <v>0.99899391388505598</v>
      </c>
      <c r="R89" s="2" cm="1">
        <f t="array" ref="R89">_xlfn.LET(_xlpm.d,R$2:R$85,_xlpm.f,$A$2:$A$85,_xlpm.k,$F89,AVERAGE(_xlfn._xlws.FILTER(_xlpm.d,_xlpm.f=_xlpm.k)))</f>
        <v>0.98020764487672041</v>
      </c>
      <c r="S89" s="2" cm="1">
        <f t="array" ref="S89">_xlfn.LET(_xlpm.d,S$2:S$85,_xlpm.f,$A$2:$A$85,_xlpm.k,$F89,AVERAGE(_xlfn._xlws.FILTER(_xlpm.d,_xlpm.f=_xlpm.k)))</f>
        <v>1</v>
      </c>
      <c r="T89" s="2" cm="1">
        <f t="array" ref="T89">_xlfn.LET(_xlpm.d,T$2:T$85,_xlpm.f,$A$2:$A$85,_xlpm.k,$F89,AVERAGE(_xlfn._xlws.FILTER(_xlpm.d,_xlpm.f=_xlpm.k)))</f>
        <v>0.99431421580868595</v>
      </c>
    </row>
    <row r="90" spans="1:20" ht="30" customHeight="1">
      <c r="F90" t="s">
        <v>40</v>
      </c>
      <c r="G90" s="2" cm="1">
        <f t="array" ref="G90">_xlfn.LET(_xlpm.d,G$2:G$85,_xlpm.f,$A$2:$A$85,_xlpm.k,$F90,AVERAGE(_xlfn._xlws.FILTER(_xlpm.d,_xlpm.f=_xlpm.k)))</f>
        <v>0.59699198508067397</v>
      </c>
      <c r="H90" s="2" cm="1">
        <f t="array" ref="H90">_xlfn.LET(_xlpm.d,H$2:H$85,_xlpm.f,$A$2:$A$85,_xlpm.k,$F90,AVERAGE(_xlfn._xlws.FILTER(_xlpm.d,_xlpm.f=_xlpm.k)))</f>
        <v>0.49559657484450731</v>
      </c>
      <c r="I90" s="2" cm="1">
        <f t="array" ref="I90">_xlfn.LET(_xlpm.d,I$2:I$85,_xlpm.f,$A$2:$A$85,_xlpm.k,$F90,AVERAGE(_xlfn._xlws.FILTER(_xlpm.d,_xlpm.f=_xlpm.k)))</f>
        <v>0.5401602333649701</v>
      </c>
      <c r="J90" s="2" cm="1">
        <f t="array" ref="J90">_xlfn.LET(_xlpm.d,J$2:J$85,_xlpm.f,$A$2:$A$85,_xlpm.k,$F90,AVERAGE(_xlfn._xlws.FILTER(_xlpm.d,_xlpm.f=_xlpm.k)))</f>
        <v>0.42953724322803882</v>
      </c>
      <c r="K90" s="2" cm="1">
        <f t="array" ref="K90">_xlfn.LET(_xlpm.d,K$2:K$85,_xlpm.f,$A$2:$A$85,_xlpm.k,$F90,AVERAGE(_xlfn._xlws.FILTER(_xlpm.d,_xlpm.f=_xlpm.k)))</f>
        <v>0.43664231884269589</v>
      </c>
      <c r="L90" s="2" cm="1">
        <f t="array" ref="L90">_xlfn.LET(_xlpm.d,L$2:L$85,_xlpm.f,$A$2:$A$85,_xlpm.k,$F90,AVERAGE(_xlfn._xlws.FILTER(_xlpm.d,_xlpm.f=_xlpm.k)))</f>
        <v>0.45295501374679553</v>
      </c>
      <c r="M90" s="2" cm="1">
        <f t="array" ref="M90">_xlfn.LET(_xlpm.d,M$2:M$85,_xlpm.f,$A$2:$A$85,_xlpm.k,$F90,AVERAGE(_xlfn._xlws.FILTER(_xlpm.d,_xlpm.f=_xlpm.k)))</f>
        <v>0.44299368477515044</v>
      </c>
      <c r="N90" s="2" cm="1">
        <f t="array" ref="N90">_xlfn.LET(_xlpm.d,N$2:N$85,_xlpm.f,$A$2:$A$85,_xlpm.k,$F90,AVERAGE(_xlfn._xlws.FILTER(_xlpm.d,_xlpm.f=_xlpm.k)))</f>
        <v>0.37032499327244878</v>
      </c>
      <c r="O90" s="2" cm="1">
        <f t="array" ref="O90">_xlfn.LET(_xlpm.d,O$2:O$85,_xlpm.f,$A$2:$A$85,_xlpm.k,$F90,AVERAGE(_xlfn._xlws.FILTER(_xlpm.d,_xlpm.f=_xlpm.k)))</f>
        <v>0.32379786736468347</v>
      </c>
      <c r="P90" s="2" cm="1">
        <f t="array" ref="P90">_xlfn.LET(_xlpm.d,P$2:P$85,_xlpm.f,$A$2:$A$85,_xlpm.k,$F90,AVERAGE(_xlfn._xlws.FILTER(_xlpm.d,_xlpm.f=_xlpm.k)))</f>
        <v>0.3004251049176439</v>
      </c>
      <c r="Q90" s="2" cm="1">
        <f t="array" ref="Q90">_xlfn.LET(_xlpm.d,Q$2:Q$85,_xlpm.f,$A$2:$A$85,_xlpm.k,$F90,AVERAGE(_xlfn._xlws.FILTER(_xlpm.d,_xlpm.f=_xlpm.k)))</f>
        <v>0.19758345295605131</v>
      </c>
      <c r="R90" s="2" cm="1">
        <f t="array" ref="R90">_xlfn.LET(_xlpm.d,R$2:R$85,_xlpm.f,$A$2:$A$85,_xlpm.k,$F90,AVERAGE(_xlfn._xlws.FILTER(_xlpm.d,_xlpm.f=_xlpm.k)))</f>
        <v>0.34433947470031245</v>
      </c>
      <c r="S90" s="2" cm="1">
        <f t="array" ref="S90">_xlfn.LET(_xlpm.d,S$2:S$85,_xlpm.f,$A$2:$A$85,_xlpm.k,$F90,AVERAGE(_xlfn._xlws.FILTER(_xlpm.d,_xlpm.f=_xlpm.k)))</f>
        <v>0.22676049761191572</v>
      </c>
      <c r="T90" s="2" cm="1">
        <f t="array" ref="T90">_xlfn.LET(_xlpm.d,T$2:T$85,_xlpm.f,$A$2:$A$85,_xlpm.k,$F90,AVERAGE(_xlfn._xlws.FILTER(_xlpm.d,_xlpm.f=_xlpm.k)))</f>
        <v>0.39677757266968366</v>
      </c>
    </row>
    <row r="91" spans="1:20" ht="30" customHeight="1">
      <c r="F91" t="s">
        <v>41</v>
      </c>
      <c r="G91" s="2" cm="1">
        <f t="array" ref="G91">_xlfn.LET(_xlpm.d,G$2:G$85,_xlpm.f,$A$2:$A$85,_xlpm.k,$F91,AVERAGE(_xlfn._xlws.FILTER(_xlpm.d,_xlpm.f=_xlpm.k)))</f>
        <v>0.57474436544852137</v>
      </c>
      <c r="H91" s="2" cm="1">
        <f t="array" ref="H91">_xlfn.LET(_xlpm.d,H$2:H$85,_xlpm.f,$A$2:$A$85,_xlpm.k,$F91,AVERAGE(_xlfn._xlws.FILTER(_xlpm.d,_xlpm.f=_xlpm.k)))</f>
        <v>0.53616908529738416</v>
      </c>
      <c r="I91" s="2" cm="1">
        <f t="array" ref="I91">_xlfn.LET(_xlpm.d,I$2:I$85,_xlpm.f,$A$2:$A$85,_xlpm.k,$F91,AVERAGE(_xlfn._xlws.FILTER(_xlpm.d,_xlpm.f=_xlpm.k)))</f>
        <v>0.51439097953202428</v>
      </c>
      <c r="J91" s="2" cm="1">
        <f t="array" ref="J91">_xlfn.LET(_xlpm.d,J$2:J$85,_xlpm.f,$A$2:$A$85,_xlpm.k,$F91,AVERAGE(_xlfn._xlws.FILTER(_xlpm.d,_xlpm.f=_xlpm.k)))</f>
        <v>0.48041615756364653</v>
      </c>
      <c r="K91" s="2" cm="1">
        <f t="array" ref="K91">_xlfn.LET(_xlpm.d,K$2:K$85,_xlpm.f,$A$2:$A$85,_xlpm.k,$F91,AVERAGE(_xlfn._xlws.FILTER(_xlpm.d,_xlpm.f=_xlpm.k)))</f>
        <v>0.42289783998369834</v>
      </c>
      <c r="L91" s="2" cm="1">
        <f t="array" ref="L91">_xlfn.LET(_xlpm.d,L$2:L$85,_xlpm.f,$A$2:$A$85,_xlpm.k,$F91,AVERAGE(_xlfn._xlws.FILTER(_xlpm.d,_xlpm.f=_xlpm.k)))</f>
        <v>0.48620406949218958</v>
      </c>
      <c r="M91" s="2" cm="1">
        <f t="array" ref="M91">_xlfn.LET(_xlpm.d,M$2:M$85,_xlpm.f,$A$2:$A$85,_xlpm.k,$F91,AVERAGE(_xlfn._xlws.FILTER(_xlpm.d,_xlpm.f=_xlpm.k)))</f>
        <v>0.39778816305086284</v>
      </c>
      <c r="N91" s="2" cm="1">
        <f t="array" ref="N91">_xlfn.LET(_xlpm.d,N$2:N$85,_xlpm.f,$A$2:$A$85,_xlpm.k,$F91,AVERAGE(_xlfn._xlws.FILTER(_xlpm.d,_xlpm.f=_xlpm.k)))</f>
        <v>0.37435922163093943</v>
      </c>
      <c r="O91" s="2" cm="1">
        <f t="array" ref="O91">_xlfn.LET(_xlpm.d,O$2:O$85,_xlpm.f,$A$2:$A$85,_xlpm.k,$F91,AVERAGE(_xlfn._xlws.FILTER(_xlpm.d,_xlpm.f=_xlpm.k)))</f>
        <v>0.4005918054633133</v>
      </c>
      <c r="P91" s="2" cm="1">
        <f t="array" ref="P91">_xlfn.LET(_xlpm.d,P$2:P$85,_xlpm.f,$A$2:$A$85,_xlpm.k,$F91,AVERAGE(_xlfn._xlws.FILTER(_xlpm.d,_xlpm.f=_xlpm.k)))</f>
        <v>0.38367070503698514</v>
      </c>
      <c r="Q91" s="2" cm="1">
        <f t="array" ref="Q91">_xlfn.LET(_xlpm.d,Q$2:Q$85,_xlpm.f,$A$2:$A$85,_xlpm.k,$F91,AVERAGE(_xlfn._xlws.FILTER(_xlpm.d,_xlpm.f=_xlpm.k)))</f>
        <v>0.26100491078467558</v>
      </c>
      <c r="R91" s="2" cm="1">
        <f t="array" ref="R91">_xlfn.LET(_xlpm.d,R$2:R$85,_xlpm.f,$A$2:$A$85,_xlpm.k,$F91,AVERAGE(_xlfn._xlws.FILTER(_xlpm.d,_xlpm.f=_xlpm.k)))</f>
        <v>0.39979422552882177</v>
      </c>
      <c r="S91" s="2" cm="1">
        <f t="array" ref="S91">_xlfn.LET(_xlpm.d,S$2:S$85,_xlpm.f,$A$2:$A$85,_xlpm.k,$F91,AVERAGE(_xlfn._xlws.FILTER(_xlpm.d,_xlpm.f=_xlpm.k)))</f>
        <v>0.32376363135398822</v>
      </c>
      <c r="T91" s="2" cm="1">
        <f t="array" ref="T91">_xlfn.LET(_xlpm.d,T$2:T$85,_xlpm.f,$A$2:$A$85,_xlpm.k,$F91,AVERAGE(_xlfn._xlws.FILTER(_xlpm.d,_xlpm.f=_xlpm.k)))</f>
        <v>0.42751435511396058</v>
      </c>
    </row>
    <row r="92" spans="1:20" ht="30" customHeight="1">
      <c r="F92" t="s">
        <v>97</v>
      </c>
      <c r="G92" s="2" cm="1">
        <f t="array" ref="G92">_xlfn.LET(_xlpm.d,G$2:G$85,_xlpm.f,$A$2:$A$85,_xlpm.k,$F92,AVERAGE(_xlfn._xlws.FILTER(_xlpm.d,_xlpm.f=_xlpm.k)))</f>
        <v>0.6723629705380697</v>
      </c>
      <c r="H92" s="2" cm="1">
        <f t="array" ref="H92">_xlfn.LET(_xlpm.d,H$2:H$85,_xlpm.f,$A$2:$A$85,_xlpm.k,$F92,AVERAGE(_xlfn._xlws.FILTER(_xlpm.d,_xlpm.f=_xlpm.k)))</f>
        <v>0.66976049404729565</v>
      </c>
      <c r="I92" s="2" cm="1">
        <f t="array" ref="I92">_xlfn.LET(_xlpm.d,I$2:I$85,_xlpm.f,$A$2:$A$85,_xlpm.k,$F92,AVERAGE(_xlfn._xlws.FILTER(_xlpm.d,_xlpm.f=_xlpm.k)))</f>
        <v>0.6360298405736613</v>
      </c>
      <c r="J92" s="2" cm="1">
        <f t="array" ref="J92">_xlfn.LET(_xlpm.d,J$2:J$85,_xlpm.f,$A$2:$A$85,_xlpm.k,$F92,AVERAGE(_xlfn._xlws.FILTER(_xlpm.d,_xlpm.f=_xlpm.k)))</f>
        <v>0.61505409033860159</v>
      </c>
      <c r="K92" s="2" cm="1">
        <f t="array" ref="K92">_xlfn.LET(_xlpm.d,K$2:K$85,_xlpm.f,$A$2:$A$85,_xlpm.k,$F92,AVERAGE(_xlfn._xlws.FILTER(_xlpm.d,_xlpm.f=_xlpm.k)))</f>
        <v>0.60083291373561187</v>
      </c>
      <c r="L92" s="2" cm="1">
        <f t="array" ref="L92">_xlfn.LET(_xlpm.d,L$2:L$85,_xlpm.f,$A$2:$A$85,_xlpm.k,$F92,AVERAGE(_xlfn._xlws.FILTER(_xlpm.d,_xlpm.f=_xlpm.k)))</f>
        <v>0.51250267287214635</v>
      </c>
      <c r="M92" s="2" cm="1">
        <f t="array" ref="M92">_xlfn.LET(_xlpm.d,M$2:M$85,_xlpm.f,$A$2:$A$85,_xlpm.k,$F92,AVERAGE(_xlfn._xlws.FILTER(_xlpm.d,_xlpm.f=_xlpm.k)))</f>
        <v>0.45747649639892601</v>
      </c>
      <c r="N92" s="2" cm="1">
        <f t="array" ref="N92">_xlfn.LET(_xlpm.d,N$2:N$85,_xlpm.f,$A$2:$A$85,_xlpm.k,$F92,AVERAGE(_xlfn._xlws.FILTER(_xlpm.d,_xlpm.f=_xlpm.k)))</f>
        <v>0.53623143857510269</v>
      </c>
      <c r="O92" s="2" cm="1">
        <f t="array" ref="O92">_xlfn.LET(_xlpm.d,O$2:O$85,_xlpm.f,$A$2:$A$85,_xlpm.k,$F92,AVERAGE(_xlfn._xlws.FILTER(_xlpm.d,_xlpm.f=_xlpm.k)))</f>
        <v>0.62185875432004778</v>
      </c>
      <c r="P92" s="2" cm="1">
        <f t="array" ref="P92">_xlfn.LET(_xlpm.d,P$2:P$85,_xlpm.f,$A$2:$A$85,_xlpm.k,$F92,AVERAGE(_xlfn._xlws.FILTER(_xlpm.d,_xlpm.f=_xlpm.k)))</f>
        <v>0.54771646088891812</v>
      </c>
      <c r="Q92" s="2" cm="1">
        <f t="array" ref="Q92">_xlfn.LET(_xlpm.d,Q$2:Q$85,_xlpm.f,$A$2:$A$85,_xlpm.k,$F92,AVERAGE(_xlfn._xlws.FILTER(_xlpm.d,_xlpm.f=_xlpm.k)))</f>
        <v>0.59916983283363112</v>
      </c>
      <c r="R92" s="2" cm="1">
        <f t="array" ref="R92">_xlfn.LET(_xlpm.d,R$2:R$85,_xlpm.f,$A$2:$A$85,_xlpm.k,$F92,AVERAGE(_xlfn._xlws.FILTER(_xlpm.d,_xlpm.f=_xlpm.k)))</f>
        <v>0.59023339199076141</v>
      </c>
      <c r="S92" s="2" cm="1">
        <f t="array" ref="S92">_xlfn.LET(_xlpm.d,S$2:S$85,_xlpm.f,$A$2:$A$85,_xlpm.k,$F92,AVERAGE(_xlfn._xlws.FILTER(_xlpm.d,_xlpm.f=_xlpm.k)))</f>
        <v>0.50129834980436361</v>
      </c>
      <c r="T92" s="2" cm="1">
        <f t="array" ref="T92">_xlfn.LET(_xlpm.d,T$2:T$85,_xlpm.f,$A$2:$A$85,_xlpm.k,$F92,AVERAGE(_xlfn._xlws.FILTER(_xlpm.d,_xlpm.f=_xlpm.k)))</f>
        <v>0.58157905437824131</v>
      </c>
    </row>
    <row r="93" spans="1:20" ht="30" customHeight="1">
      <c r="F93" t="s">
        <v>39</v>
      </c>
      <c r="G93" s="2" cm="1">
        <f t="array" ref="G93">_xlfn.LET(_xlpm.d,G$2:G$85,_xlpm.f,$A$2:$A$85,_xlpm.k,$F93,AVERAGE(_xlfn._xlws.FILTER(_xlpm.d,_xlpm.f=_xlpm.k)))</f>
        <v>0.7051275419862566</v>
      </c>
      <c r="H93" s="2" cm="1">
        <f t="array" ref="H93">_xlfn.LET(_xlpm.d,H$2:H$85,_xlpm.f,$A$2:$A$85,_xlpm.k,$F93,AVERAGE(_xlfn._xlws.FILTER(_xlpm.d,_xlpm.f=_xlpm.k)))</f>
        <v>0.6822009850156624</v>
      </c>
      <c r="I93" s="2" cm="1">
        <f t="array" ref="I93">_xlfn.LET(_xlpm.d,I$2:I$85,_xlpm.f,$A$2:$A$85,_xlpm.k,$F93,AVERAGE(_xlfn._xlws.FILTER(_xlpm.d,_xlpm.f=_xlpm.k)))</f>
        <v>0.52880712813377306</v>
      </c>
      <c r="J93" s="2" cm="1">
        <f t="array" ref="J93">_xlfn.LET(_xlpm.d,J$2:J$85,_xlpm.f,$A$2:$A$85,_xlpm.k,$F93,AVERAGE(_xlfn._xlws.FILTER(_xlpm.d,_xlpm.f=_xlpm.k)))</f>
        <v>0.53116286009099312</v>
      </c>
      <c r="K93" s="2" cm="1">
        <f t="array" ref="K93">_xlfn.LET(_xlpm.d,K$2:K$85,_xlpm.f,$A$2:$A$85,_xlpm.k,$F93,AVERAGE(_xlfn._xlws.FILTER(_xlpm.d,_xlpm.f=_xlpm.k)))</f>
        <v>0.58256502595502302</v>
      </c>
      <c r="L93" s="2" cm="1">
        <f t="array" ref="L93">_xlfn.LET(_xlpm.d,L$2:L$85,_xlpm.f,$A$2:$A$85,_xlpm.k,$F93,AVERAGE(_xlfn._xlws.FILTER(_xlpm.d,_xlpm.f=_xlpm.k)))</f>
        <v>0.51917880755692125</v>
      </c>
      <c r="M93" s="2" cm="1">
        <f t="array" ref="M93">_xlfn.LET(_xlpm.d,M$2:M$85,_xlpm.f,$A$2:$A$85,_xlpm.k,$F93,AVERAGE(_xlfn._xlws.FILTER(_xlpm.d,_xlpm.f=_xlpm.k)))</f>
        <v>0.41206652442024827</v>
      </c>
      <c r="N93" s="2" cm="1">
        <f t="array" ref="N93">_xlfn.LET(_xlpm.d,N$2:N$85,_xlpm.f,$A$2:$A$85,_xlpm.k,$F93,AVERAGE(_xlfn._xlws.FILTER(_xlpm.d,_xlpm.f=_xlpm.k)))</f>
        <v>0.53266972231489296</v>
      </c>
      <c r="O93" s="2" cm="1">
        <f t="array" ref="O93">_xlfn.LET(_xlpm.d,O$2:O$85,_xlpm.f,$A$2:$A$85,_xlpm.k,$F93,AVERAGE(_xlfn._xlws.FILTER(_xlpm.d,_xlpm.f=_xlpm.k)))</f>
        <v>0.5257804601156868</v>
      </c>
      <c r="P93" s="2" cm="1">
        <f t="array" ref="P93">_xlfn.LET(_xlpm.d,P$2:P$85,_xlpm.f,$A$2:$A$85,_xlpm.k,$F93,AVERAGE(_xlfn._xlws.FILTER(_xlpm.d,_xlpm.f=_xlpm.k)))</f>
        <v>0.590466743965817</v>
      </c>
      <c r="Q93" s="2" cm="1">
        <f t="array" ref="Q93">_xlfn.LET(_xlpm.d,Q$2:Q$85,_xlpm.f,$A$2:$A$85,_xlpm.k,$F93,AVERAGE(_xlfn._xlws.FILTER(_xlpm.d,_xlpm.f=_xlpm.k)))</f>
        <v>0.59665365443804619</v>
      </c>
      <c r="R93" s="2" cm="1">
        <f t="array" ref="R93">_xlfn.LET(_xlpm.d,R$2:R$85,_xlpm.f,$A$2:$A$85,_xlpm.k,$F93,AVERAGE(_xlfn._xlws.FILTER(_xlpm.d,_xlpm.f=_xlpm.k)))</f>
        <v>0.67796148786406107</v>
      </c>
      <c r="S93" s="2" cm="1">
        <f t="array" ref="S93">_xlfn.LET(_xlpm.d,S$2:S$85,_xlpm.f,$A$2:$A$85,_xlpm.k,$F93,AVERAGE(_xlfn._xlws.FILTER(_xlpm.d,_xlpm.f=_xlpm.k)))</f>
        <v>0.37091061917328755</v>
      </c>
      <c r="T93" s="2" cm="1">
        <f t="array" ref="T93">_xlfn.LET(_xlpm.d,T$2:T$85,_xlpm.f,$A$2:$A$85,_xlpm.k,$F93,AVERAGE(_xlfn._xlws.FILTER(_xlpm.d,_xlpm.f=_xlpm.k)))</f>
        <v>0.55668623888418589</v>
      </c>
    </row>
    <row r="94" spans="1:20" ht="30" customHeight="1">
      <c r="F94" t="s">
        <v>98</v>
      </c>
      <c r="G94" s="2" cm="1">
        <f t="array" ref="G94">_xlfn.LET(_xlpm.d,G$2:G$85,_xlpm.f,$A$2:$A$85,_xlpm.k,$F94,AVERAGE(_xlfn._xlws.FILTER(_xlpm.d,_xlpm.f=_xlpm.k)))</f>
        <v>0.99516582630035455</v>
      </c>
      <c r="H94" s="2" cm="1">
        <f t="array" ref="H94">_xlfn.LET(_xlpm.d,H$2:H$85,_xlpm.f,$A$2:$A$85,_xlpm.k,$F94,AVERAGE(_xlfn._xlws.FILTER(_xlpm.d,_xlpm.f=_xlpm.k)))</f>
        <v>1</v>
      </c>
      <c r="I94" s="2" cm="1">
        <f t="array" ref="I94">_xlfn.LET(_xlpm.d,I$2:I$85,_xlpm.f,$A$2:$A$85,_xlpm.k,$F94,AVERAGE(_xlfn._xlws.FILTER(_xlpm.d,_xlpm.f=_xlpm.k)))</f>
        <v>1</v>
      </c>
      <c r="J94" s="2" cm="1">
        <f t="array" ref="J94">_xlfn.LET(_xlpm.d,J$2:J$85,_xlpm.f,$A$2:$A$85,_xlpm.k,$F94,AVERAGE(_xlfn._xlws.FILTER(_xlpm.d,_xlpm.f=_xlpm.k)))</f>
        <v>0.97490250843416371</v>
      </c>
      <c r="K94" s="2" cm="1">
        <f t="array" ref="K94">_xlfn.LET(_xlpm.d,K$2:K$85,_xlpm.f,$A$2:$A$85,_xlpm.k,$F94,AVERAGE(_xlfn._xlws.FILTER(_xlpm.d,_xlpm.f=_xlpm.k)))</f>
        <v>1</v>
      </c>
      <c r="L94" s="2" cm="1">
        <f t="array" ref="L94">_xlfn.LET(_xlpm.d,L$2:L$85,_xlpm.f,$A$2:$A$85,_xlpm.k,$F94,AVERAGE(_xlfn._xlws.FILTER(_xlpm.d,_xlpm.f=_xlpm.k)))</f>
        <v>0.98436837676062638</v>
      </c>
      <c r="M94" s="2" cm="1">
        <f t="array" ref="M94">_xlfn.LET(_xlpm.d,M$2:M$85,_xlpm.f,$A$2:$A$85,_xlpm.k,$F94,AVERAGE(_xlfn._xlws.FILTER(_xlpm.d,_xlpm.f=_xlpm.k)))</f>
        <v>0.97769672538675978</v>
      </c>
      <c r="N94" s="2" cm="1">
        <f t="array" ref="N94">_xlfn.LET(_xlpm.d,N$2:N$85,_xlpm.f,$A$2:$A$85,_xlpm.k,$F94,AVERAGE(_xlfn._xlws.FILTER(_xlpm.d,_xlpm.f=_xlpm.k)))</f>
        <v>0.95958536557890939</v>
      </c>
      <c r="O94" s="2" cm="1">
        <f t="array" ref="O94">_xlfn.LET(_xlpm.d,O$2:O$85,_xlpm.f,$A$2:$A$85,_xlpm.k,$F94,AVERAGE(_xlfn._xlws.FILTER(_xlpm.d,_xlpm.f=_xlpm.k)))</f>
        <v>0.98778562919797763</v>
      </c>
      <c r="P94" s="2" cm="1">
        <f t="array" ref="P94">_xlfn.LET(_xlpm.d,P$2:P$85,_xlpm.f,$A$2:$A$85,_xlpm.k,$F94,AVERAGE(_xlfn._xlws.FILTER(_xlpm.d,_xlpm.f=_xlpm.k)))</f>
        <v>0.98961952732366754</v>
      </c>
      <c r="Q94" s="2" cm="1">
        <f t="array" ref="Q94">_xlfn.LET(_xlpm.d,Q$2:Q$85,_xlpm.f,$A$2:$A$85,_xlpm.k,$F94,AVERAGE(_xlfn._xlws.FILTER(_xlpm.d,_xlpm.f=_xlpm.k)))</f>
        <v>1</v>
      </c>
      <c r="R94" s="2" cm="1">
        <f t="array" ref="R94">_xlfn.LET(_xlpm.d,R$2:R$85,_xlpm.f,$A$2:$A$85,_xlpm.k,$F94,AVERAGE(_xlfn._xlws.FILTER(_xlpm.d,_xlpm.f=_xlpm.k)))</f>
        <v>0.97528788668302213</v>
      </c>
      <c r="S94" s="2" cm="1">
        <f t="array" ref="S94">_xlfn.LET(_xlpm.d,S$2:S$85,_xlpm.f,$A$2:$A$85,_xlpm.k,$F94,AVERAGE(_xlfn._xlws.FILTER(_xlpm.d,_xlpm.f=_xlpm.k)))</f>
        <v>0.91080223915633807</v>
      </c>
      <c r="T94" s="2" cm="1">
        <f t="array" ref="T94">_xlfn.LET(_xlpm.d,T$2:T$85,_xlpm.f,$A$2:$A$85,_xlpm.k,$F94,AVERAGE(_xlfn._xlws.FILTER(_xlpm.d,_xlpm.f=_xlpm.k)))</f>
        <v>0.98117031421706302</v>
      </c>
    </row>
    <row r="95" spans="1:20" ht="30" customHeight="1">
      <c r="F95" t="s">
        <v>99</v>
      </c>
      <c r="G95" s="2" cm="1">
        <f t="array" ref="G95">_xlfn.LET(_xlpm.d,G$2:G$85,_xlpm.f,$A$2:$A$85,_xlpm.k,$F95,AVERAGE(_xlfn._xlws.FILTER(_xlpm.d,_xlpm.f=_xlpm.k)))</f>
        <v>1</v>
      </c>
      <c r="H95" s="2" cm="1">
        <f t="array" ref="H95">_xlfn.LET(_xlpm.d,H$2:H$85,_xlpm.f,$A$2:$A$85,_xlpm.k,$F95,AVERAGE(_xlfn._xlws.FILTER(_xlpm.d,_xlpm.f=_xlpm.k)))</f>
        <v>1</v>
      </c>
      <c r="I95" s="2" cm="1">
        <f t="array" ref="I95">_xlfn.LET(_xlpm.d,I$2:I$85,_xlpm.f,$A$2:$A$85,_xlpm.k,$F95,AVERAGE(_xlfn._xlws.FILTER(_xlpm.d,_xlpm.f=_xlpm.k)))</f>
        <v>1</v>
      </c>
      <c r="J95" s="2" cm="1">
        <f t="array" ref="J95">_xlfn.LET(_xlpm.d,J$2:J$85,_xlpm.f,$A$2:$A$85,_xlpm.k,$F95,AVERAGE(_xlfn._xlws.FILTER(_xlpm.d,_xlpm.f=_xlpm.k)))</f>
        <v>1</v>
      </c>
      <c r="K95" s="2" cm="1">
        <f t="array" ref="K95">_xlfn.LET(_xlpm.d,K$2:K$85,_xlpm.f,$A$2:$A$85,_xlpm.k,$F95,AVERAGE(_xlfn._xlws.FILTER(_xlpm.d,_xlpm.f=_xlpm.k)))</f>
        <v>0.99504721746962033</v>
      </c>
      <c r="L95" s="2" cm="1">
        <f t="array" ref="L95">_xlfn.LET(_xlpm.d,L$2:L$85,_xlpm.f,$A$2:$A$85,_xlpm.k,$F95,AVERAGE(_xlfn._xlws.FILTER(_xlpm.d,_xlpm.f=_xlpm.k)))</f>
        <v>0.9959954275525128</v>
      </c>
      <c r="M95" s="2" cm="1">
        <f t="array" ref="M95">_xlfn.LET(_xlpm.d,M$2:M$85,_xlpm.f,$A$2:$A$85,_xlpm.k,$F95,AVERAGE(_xlfn._xlws.FILTER(_xlpm.d,_xlpm.f=_xlpm.k)))</f>
        <v>1</v>
      </c>
      <c r="N95" s="2" cm="1">
        <f t="array" ref="N95">_xlfn.LET(_xlpm.d,N$2:N$85,_xlpm.f,$A$2:$A$85,_xlpm.k,$F95,AVERAGE(_xlfn._xlws.FILTER(_xlpm.d,_xlpm.f=_xlpm.k)))</f>
        <v>1</v>
      </c>
      <c r="O95" s="2" cm="1">
        <f t="array" ref="O95">_xlfn.LET(_xlpm.d,O$2:O$85,_xlpm.f,$A$2:$A$85,_xlpm.k,$F95,AVERAGE(_xlfn._xlws.FILTER(_xlpm.d,_xlpm.f=_xlpm.k)))</f>
        <v>1</v>
      </c>
      <c r="P95" s="2" cm="1">
        <f t="array" ref="P95">_xlfn.LET(_xlpm.d,P$2:P$85,_xlpm.f,$A$2:$A$85,_xlpm.k,$F95,AVERAGE(_xlfn._xlws.FILTER(_xlpm.d,_xlpm.f=_xlpm.k)))</f>
        <v>1</v>
      </c>
      <c r="Q95" s="2" cm="1">
        <f t="array" ref="Q95">_xlfn.LET(_xlpm.d,Q$2:Q$85,_xlpm.f,$A$2:$A$85,_xlpm.k,$F95,AVERAGE(_xlfn._xlws.FILTER(_xlpm.d,_xlpm.f=_xlpm.k)))</f>
        <v>0.99315567088855716</v>
      </c>
      <c r="R95" s="2" cm="1">
        <f t="array" ref="R95">_xlfn.LET(_xlpm.d,R$2:R$85,_xlpm.f,$A$2:$A$85,_xlpm.k,$F95,AVERAGE(_xlfn._xlws.FILTER(_xlpm.d,_xlpm.f=_xlpm.k)))</f>
        <v>0.99107827178984131</v>
      </c>
      <c r="S95" s="2" cm="1">
        <f t="array" ref="S95">_xlfn.LET(_xlpm.d,S$2:S$85,_xlpm.f,$A$2:$A$85,_xlpm.k,$F95,AVERAGE(_xlfn._xlws.FILTER(_xlpm.d,_xlpm.f=_xlpm.k)))</f>
        <v>0.99289660615627462</v>
      </c>
      <c r="T95" s="2" cm="1">
        <f t="array" ref="T95">_xlfn.LET(_xlpm.d,T$2:T$85,_xlpm.f,$A$2:$A$85,_xlpm.k,$F95,AVERAGE(_xlfn._xlws.FILTER(_xlpm.d,_xlpm.f=_xlpm.k)))</f>
        <v>0.9975517841428313</v>
      </c>
    </row>
    <row r="96" spans="1:20" ht="30" customHeight="1">
      <c r="F96" t="s">
        <v>100</v>
      </c>
      <c r="G96" s="2" cm="1">
        <f t="array" ref="G96">_xlfn.LET(_xlpm.d,G$2:G$85,_xlpm.f,$A$2:$A$85,_xlpm.k,$F96,AVERAGE(_xlfn._xlws.FILTER(_xlpm.d,_xlpm.f=_xlpm.k)))</f>
        <v>0.83320478403954734</v>
      </c>
      <c r="H96" s="2" cm="1">
        <f t="array" ref="H96">_xlfn.LET(_xlpm.d,H$2:H$85,_xlpm.f,$A$2:$A$85,_xlpm.k,$F96,AVERAGE(_xlfn._xlws.FILTER(_xlpm.d,_xlpm.f=_xlpm.k)))</f>
        <v>0.70980928979889324</v>
      </c>
      <c r="I96" s="2" cm="1">
        <f t="array" ref="I96">_xlfn.LET(_xlpm.d,I$2:I$85,_xlpm.f,$A$2:$A$85,_xlpm.k,$F96,AVERAGE(_xlfn._xlws.FILTER(_xlpm.d,_xlpm.f=_xlpm.k)))</f>
        <v>0.72934709296136957</v>
      </c>
      <c r="J96" s="2" cm="1">
        <f t="array" ref="J96">_xlfn.LET(_xlpm.d,J$2:J$85,_xlpm.f,$A$2:$A$85,_xlpm.k,$F96,AVERAGE(_xlfn._xlws.FILTER(_xlpm.d,_xlpm.f=_xlpm.k)))</f>
        <v>0.74164406506797587</v>
      </c>
      <c r="K96" s="2" cm="1">
        <f t="array" ref="K96">_xlfn.LET(_xlpm.d,K$2:K$85,_xlpm.f,$A$2:$A$85,_xlpm.k,$F96,AVERAGE(_xlfn._xlws.FILTER(_xlpm.d,_xlpm.f=_xlpm.k)))</f>
        <v>0.6526643547987987</v>
      </c>
      <c r="L96" s="2" cm="1">
        <f t="array" ref="L96">_xlfn.LET(_xlpm.d,L$2:L$85,_xlpm.f,$A$2:$A$85,_xlpm.k,$F96,AVERAGE(_xlfn._xlws.FILTER(_xlpm.d,_xlpm.f=_xlpm.k)))</f>
        <v>0.48756201672494609</v>
      </c>
      <c r="M96" s="2" cm="1">
        <f t="array" ref="M96">_xlfn.LET(_xlpm.d,M$2:M$85,_xlpm.f,$A$2:$A$85,_xlpm.k,$F96,AVERAGE(_xlfn._xlws.FILTER(_xlpm.d,_xlpm.f=_xlpm.k)))</f>
        <v>0.62098010987587493</v>
      </c>
      <c r="N96" s="2" cm="1">
        <f t="array" ref="N96">_xlfn.LET(_xlpm.d,N$2:N$85,_xlpm.f,$A$2:$A$85,_xlpm.k,$F96,AVERAGE(_xlfn._xlws.FILTER(_xlpm.d,_xlpm.f=_xlpm.k)))</f>
        <v>0.57578840738381731</v>
      </c>
      <c r="O96" s="2" cm="1">
        <f t="array" ref="O96">_xlfn.LET(_xlpm.d,O$2:O$85,_xlpm.f,$A$2:$A$85,_xlpm.k,$F96,AVERAGE(_xlfn._xlws.FILTER(_xlpm.d,_xlpm.f=_xlpm.k)))</f>
        <v>0.56061969288624947</v>
      </c>
      <c r="P96" s="2" cm="1">
        <f t="array" ref="P96">_xlfn.LET(_xlpm.d,P$2:P$85,_xlpm.f,$A$2:$A$85,_xlpm.k,$F96,AVERAGE(_xlfn._xlws.FILTER(_xlpm.d,_xlpm.f=_xlpm.k)))</f>
        <v>0.76118485730495189</v>
      </c>
      <c r="Q96" s="2" cm="1">
        <f t="array" ref="Q96">_xlfn.LET(_xlpm.d,Q$2:Q$85,_xlpm.f,$A$2:$A$85,_xlpm.k,$F96,AVERAGE(_xlfn._xlws.FILTER(_xlpm.d,_xlpm.f=_xlpm.k)))</f>
        <v>0.67622999932637406</v>
      </c>
      <c r="R96" s="2" cm="1">
        <f t="array" ref="R96">_xlfn.LET(_xlpm.d,R$2:R$85,_xlpm.f,$A$2:$A$85,_xlpm.k,$F96,AVERAGE(_xlfn._xlws.FILTER(_xlpm.d,_xlpm.f=_xlpm.k)))</f>
        <v>0.57136359215660915</v>
      </c>
      <c r="S96" s="2" cm="1">
        <f t="array" ref="S96">_xlfn.LET(_xlpm.d,S$2:S$85,_xlpm.f,$A$2:$A$85,_xlpm.k,$F96,AVERAGE(_xlfn._xlws.FILTER(_xlpm.d,_xlpm.f=_xlpm.k)))</f>
        <v>0.67508165703810497</v>
      </c>
      <c r="T96" s="2" cm="1">
        <f t="array" ref="T96">_xlfn.LET(_xlpm.d,T$2:T$85,_xlpm.f,$A$2:$A$85,_xlpm.k,$F96,AVERAGE(_xlfn._xlws.FILTER(_xlpm.d,_xlpm.f=_xlpm.k)))</f>
        <v>0.66119076302796265</v>
      </c>
    </row>
    <row r="97" spans="6:20" ht="30" customHeight="1">
      <c r="F97" t="s">
        <v>42</v>
      </c>
      <c r="G97" s="2" cm="1">
        <f t="array" ref="G97">_xlfn.LET(_xlpm.d,G$2:G$85,_xlpm.f,$A$2:$A$85,_xlpm.k,$F97,AVERAGE(_xlfn._xlws.FILTER(_xlpm.d,_xlpm.f=_xlpm.k)))</f>
        <v>0.99101992410347894</v>
      </c>
      <c r="H97" s="2" cm="1">
        <f t="array" ref="H97">_xlfn.LET(_xlpm.d,H$2:H$85,_xlpm.f,$A$2:$A$85,_xlpm.k,$F97,AVERAGE(_xlfn._xlws.FILTER(_xlpm.d,_xlpm.f=_xlpm.k)))</f>
        <v>0.9905400451810279</v>
      </c>
      <c r="I97" s="2" cm="1">
        <f t="array" ref="I97">_xlfn.LET(_xlpm.d,I$2:I$85,_xlpm.f,$A$2:$A$85,_xlpm.k,$F97,AVERAGE(_xlfn._xlws.FILTER(_xlpm.d,_xlpm.f=_xlpm.k)))</f>
        <v>0.98499007212285872</v>
      </c>
      <c r="J97" s="2" cm="1">
        <f t="array" ref="J97">_xlfn.LET(_xlpm.d,J$2:J$85,_xlpm.f,$A$2:$A$85,_xlpm.k,$F97,AVERAGE(_xlfn._xlws.FILTER(_xlpm.d,_xlpm.f=_xlpm.k)))</f>
        <v>0.98675052069486413</v>
      </c>
      <c r="K97" s="2" cm="1">
        <f t="array" ref="K97">_xlfn.LET(_xlpm.d,K$2:K$85,_xlpm.f,$A$2:$A$85,_xlpm.k,$F97,AVERAGE(_xlfn._xlws.FILTER(_xlpm.d,_xlpm.f=_xlpm.k)))</f>
        <v>0.97023197125758043</v>
      </c>
      <c r="L97" s="2" cm="1">
        <f t="array" ref="L97">_xlfn.LET(_xlpm.d,L$2:L$85,_xlpm.f,$A$2:$A$85,_xlpm.k,$F97,AVERAGE(_xlfn._xlws.FILTER(_xlpm.d,_xlpm.f=_xlpm.k)))</f>
        <v>0.96738430909935591</v>
      </c>
      <c r="M97" s="2" cm="1">
        <f t="array" ref="M97">_xlfn.LET(_xlpm.d,M$2:M$85,_xlpm.f,$A$2:$A$85,_xlpm.k,$F97,AVERAGE(_xlfn._xlws.FILTER(_xlpm.d,_xlpm.f=_xlpm.k)))</f>
        <v>0.96865890131837895</v>
      </c>
      <c r="N97" s="2" cm="1">
        <f t="array" ref="N97">_xlfn.LET(_xlpm.d,N$2:N$85,_xlpm.f,$A$2:$A$85,_xlpm.k,$F97,AVERAGE(_xlfn._xlws.FILTER(_xlpm.d,_xlpm.f=_xlpm.k)))</f>
        <v>0.93638769338605543</v>
      </c>
      <c r="O97" s="2" cm="1">
        <f t="array" ref="O97">_xlfn.LET(_xlpm.d,O$2:O$85,_xlpm.f,$A$2:$A$85,_xlpm.k,$F97,AVERAGE(_xlfn._xlws.FILTER(_xlpm.d,_xlpm.f=_xlpm.k)))</f>
        <v>0.96281703352900094</v>
      </c>
      <c r="P97" s="2" cm="1">
        <f t="array" ref="P97">_xlfn.LET(_xlpm.d,P$2:P$85,_xlpm.f,$A$2:$A$85,_xlpm.k,$F97,AVERAGE(_xlfn._xlws.FILTER(_xlpm.d,_xlpm.f=_xlpm.k)))</f>
        <v>0.96218048870155093</v>
      </c>
      <c r="Q97" s="2" cm="1">
        <f t="array" ref="Q97">_xlfn.LET(_xlpm.d,Q$2:Q$85,_xlpm.f,$A$2:$A$85,_xlpm.k,$F97,AVERAGE(_xlfn._xlws.FILTER(_xlpm.d,_xlpm.f=_xlpm.k)))</f>
        <v>0.97534798220614338</v>
      </c>
      <c r="R97" s="2" cm="1">
        <f t="array" ref="R97">_xlfn.LET(_xlpm.d,R$2:R$85,_xlpm.f,$A$2:$A$85,_xlpm.k,$F97,AVERAGE(_xlfn._xlws.FILTER(_xlpm.d,_xlpm.f=_xlpm.k)))</f>
        <v>0.97137706625470066</v>
      </c>
      <c r="S97" s="2" cm="1">
        <f t="array" ref="S97">_xlfn.LET(_xlpm.d,S$2:S$85,_xlpm.f,$A$2:$A$85,_xlpm.k,$F97,AVERAGE(_xlfn._xlws.FILTER(_xlpm.d,_xlpm.f=_xlpm.k)))</f>
        <v>0.96488542449178372</v>
      </c>
      <c r="T97" s="2" cm="1">
        <f t="array" ref="T97">_xlfn.LET(_xlpm.d,T$2:T$85,_xlpm.f,$A$2:$A$85,_xlpm.k,$F97,AVERAGE(_xlfn._xlws.FILTER(_xlpm.d,_xlpm.f=_xlpm.k)))</f>
        <v>0.97173626402667534</v>
      </c>
    </row>
    <row r="98" spans="6:20" ht="30" customHeight="1">
      <c r="F98" t="s">
        <v>102</v>
      </c>
      <c r="G98" s="2" cm="1">
        <f t="array" ref="G98">_xlfn.LET(_xlpm.d,G$2:G$85,_xlpm.f,$A$2:$A$85,_xlpm.k,$F98,AVERAGE(_xlfn._xlws.FILTER(_xlpm.d,_xlpm.f=_xlpm.k)))</f>
        <v>0.66380208550659248</v>
      </c>
      <c r="H98" s="2" cm="1">
        <f t="array" ref="H98">_xlfn.LET(_xlpm.d,H$2:H$85,_xlpm.f,$A$2:$A$85,_xlpm.k,$F98,AVERAGE(_xlfn._xlws.FILTER(_xlpm.d,_xlpm.f=_xlpm.k)))</f>
        <v>0.58635196509391319</v>
      </c>
      <c r="I98" s="2" cm="1">
        <f t="array" ref="I98">_xlfn.LET(_xlpm.d,I$2:I$85,_xlpm.f,$A$2:$A$85,_xlpm.k,$F98,AVERAGE(_xlfn._xlws.FILTER(_xlpm.d,_xlpm.f=_xlpm.k)))</f>
        <v>0.66496743538616221</v>
      </c>
      <c r="J98" s="2" cm="1">
        <f t="array" ref="J98">_xlfn.LET(_xlpm.d,J$2:J$85,_xlpm.f,$A$2:$A$85,_xlpm.k,$F98,AVERAGE(_xlfn._xlws.FILTER(_xlpm.d,_xlpm.f=_xlpm.k)))</f>
        <v>0.54978522471143987</v>
      </c>
      <c r="K98" s="2" cm="1">
        <f t="array" ref="K98">_xlfn.LET(_xlpm.d,K$2:K$85,_xlpm.f,$A$2:$A$85,_xlpm.k,$F98,AVERAGE(_xlfn._xlws.FILTER(_xlpm.d,_xlpm.f=_xlpm.k)))</f>
        <v>0.40898818079716776</v>
      </c>
      <c r="L98" s="2" cm="1">
        <f t="array" ref="L98">_xlfn.LET(_xlpm.d,L$2:L$85,_xlpm.f,$A$2:$A$85,_xlpm.k,$F98,AVERAGE(_xlfn._xlws.FILTER(_xlpm.d,_xlpm.f=_xlpm.k)))</f>
        <v>0.55639668219843652</v>
      </c>
      <c r="M98" s="2" cm="1">
        <f t="array" ref="M98">_xlfn.LET(_xlpm.d,M$2:M$85,_xlpm.f,$A$2:$A$85,_xlpm.k,$F98,AVERAGE(_xlfn._xlws.FILTER(_xlpm.d,_xlpm.f=_xlpm.k)))</f>
        <v>0.6740785282450672</v>
      </c>
      <c r="N98" s="2" cm="1">
        <f t="array" ref="N98">_xlfn.LET(_xlpm.d,N$2:N$85,_xlpm.f,$A$2:$A$85,_xlpm.k,$F98,AVERAGE(_xlfn._xlws.FILTER(_xlpm.d,_xlpm.f=_xlpm.k)))</f>
        <v>0.54463347134185625</v>
      </c>
      <c r="O98" s="2" cm="1">
        <f t="array" ref="O98">_xlfn.LET(_xlpm.d,O$2:O$85,_xlpm.f,$A$2:$A$85,_xlpm.k,$F98,AVERAGE(_xlfn._xlws.FILTER(_xlpm.d,_xlpm.f=_xlpm.k)))</f>
        <v>0.47945947174333853</v>
      </c>
      <c r="P98" s="2" cm="1">
        <f t="array" ref="P98">_xlfn.LET(_xlpm.d,P$2:P$85,_xlpm.f,$A$2:$A$85,_xlpm.k,$F98,AVERAGE(_xlfn._xlws.FILTER(_xlpm.d,_xlpm.f=_xlpm.k)))</f>
        <v>0.46251186855731591</v>
      </c>
      <c r="Q98" s="2" cm="1">
        <f t="array" ref="Q98">_xlfn.LET(_xlpm.d,Q$2:Q$85,_xlpm.f,$A$2:$A$85,_xlpm.k,$F98,AVERAGE(_xlfn._xlws.FILTER(_xlpm.d,_xlpm.f=_xlpm.k)))</f>
        <v>0.51274950067514113</v>
      </c>
      <c r="R98" s="2" cm="1">
        <f t="array" ref="R98">_xlfn.LET(_xlpm.d,R$2:R$85,_xlpm.f,$A$2:$A$85,_xlpm.k,$F98,AVERAGE(_xlfn._xlws.FILTER(_xlpm.d,_xlpm.f=_xlpm.k)))</f>
        <v>0.33362138719535311</v>
      </c>
      <c r="S98" s="2" cm="1">
        <f t="array" ref="S98">_xlfn.LET(_xlpm.d,S$2:S$85,_xlpm.f,$A$2:$A$85,_xlpm.k,$F98,AVERAGE(_xlfn._xlws.FILTER(_xlpm.d,_xlpm.f=_xlpm.k)))</f>
        <v>0.37155582204920667</v>
      </c>
      <c r="T98" s="2" cm="1">
        <f t="array" ref="T98">_xlfn.LET(_xlpm.d,T$2:T$85,_xlpm.f,$A$2:$A$85,_xlpm.k,$F98,AVERAGE(_xlfn._xlws.FILTER(_xlpm.d,_xlpm.f=_xlpm.k)))</f>
        <v>0.5230473321207485</v>
      </c>
    </row>
    <row r="99" spans="6:20" ht="30" customHeight="1">
      <c r="F99" t="s">
        <v>103</v>
      </c>
      <c r="G99" s="2" cm="1">
        <f t="array" ref="G99">_xlfn.LET(_xlpm.d,G$2:G$85,_xlpm.f,$A$2:$A$85,_xlpm.k,$F99,AVERAGE(_xlfn._xlws.FILTER(_xlpm.d,_xlpm.f=_xlpm.k)))</f>
        <v>0.71105746910828149</v>
      </c>
      <c r="H99" s="2" cm="1">
        <f t="array" ref="H99">_xlfn.LET(_xlpm.d,H$2:H$85,_xlpm.f,$A$2:$A$85,_xlpm.k,$F99,AVERAGE(_xlfn._xlws.FILTER(_xlpm.d,_xlpm.f=_xlpm.k)))</f>
        <v>0.66867321046468753</v>
      </c>
      <c r="I99" s="2" cm="1">
        <f t="array" ref="I99">_xlfn.LET(_xlpm.d,I$2:I$85,_xlpm.f,$A$2:$A$85,_xlpm.k,$F99,AVERAGE(_xlfn._xlws.FILTER(_xlpm.d,_xlpm.f=_xlpm.k)))</f>
        <v>0.66644096460363378</v>
      </c>
      <c r="J99" s="2" cm="1">
        <f t="array" ref="J99">_xlfn.LET(_xlpm.d,J$2:J$85,_xlpm.f,$A$2:$A$85,_xlpm.k,$F99,AVERAGE(_xlfn._xlws.FILTER(_xlpm.d,_xlpm.f=_xlpm.k)))</f>
        <v>0.58440114854157266</v>
      </c>
      <c r="K99" s="2" cm="1">
        <f t="array" ref="K99">_xlfn.LET(_xlpm.d,K$2:K$85,_xlpm.f,$A$2:$A$85,_xlpm.k,$F99,AVERAGE(_xlfn._xlws.FILTER(_xlpm.d,_xlpm.f=_xlpm.k)))</f>
        <v>0.59820315567223104</v>
      </c>
      <c r="L99" s="2" cm="1">
        <f t="array" ref="L99">_xlfn.LET(_xlpm.d,L$2:L$85,_xlpm.f,$A$2:$A$85,_xlpm.k,$F99,AVERAGE(_xlfn._xlws.FILTER(_xlpm.d,_xlpm.f=_xlpm.k)))</f>
        <v>0.6154919499420648</v>
      </c>
      <c r="M99" s="2" cm="1">
        <f t="array" ref="M99">_xlfn.LET(_xlpm.d,M$2:M$85,_xlpm.f,$A$2:$A$85,_xlpm.k,$F99,AVERAGE(_xlfn._xlws.FILTER(_xlpm.d,_xlpm.f=_xlpm.k)))</f>
        <v>0.44578441507093503</v>
      </c>
      <c r="N99" s="2" cm="1">
        <f t="array" ref="N99">_xlfn.LET(_xlpm.d,N$2:N$85,_xlpm.f,$A$2:$A$85,_xlpm.k,$F99,AVERAGE(_xlfn._xlws.FILTER(_xlpm.d,_xlpm.f=_xlpm.k)))</f>
        <v>0.47490346298714187</v>
      </c>
      <c r="O99" s="2" cm="1">
        <f t="array" ref="O99">_xlfn.LET(_xlpm.d,O$2:O$85,_xlpm.f,$A$2:$A$85,_xlpm.k,$F99,AVERAGE(_xlfn._xlws.FILTER(_xlpm.d,_xlpm.f=_xlpm.k)))</f>
        <v>0.51420714496181386</v>
      </c>
      <c r="P99" s="2" cm="1">
        <f t="array" ref="P99">_xlfn.LET(_xlpm.d,P$2:P$85,_xlpm.f,$A$2:$A$85,_xlpm.k,$F99,AVERAGE(_xlfn._xlws.FILTER(_xlpm.d,_xlpm.f=_xlpm.k)))</f>
        <v>0.56704893453866201</v>
      </c>
      <c r="Q99" s="2" cm="1">
        <f t="array" ref="Q99">_xlfn.LET(_xlpm.d,Q$2:Q$85,_xlpm.f,$A$2:$A$85,_xlpm.k,$F99,AVERAGE(_xlfn._xlws.FILTER(_xlpm.d,_xlpm.f=_xlpm.k)))</f>
        <v>0.53853725635228755</v>
      </c>
      <c r="R99" s="2" cm="1">
        <f t="array" ref="R99">_xlfn.LET(_xlpm.d,R$2:R$85,_xlpm.f,$A$2:$A$85,_xlpm.k,$F99,AVERAGE(_xlfn._xlws.FILTER(_xlpm.d,_xlpm.f=_xlpm.k)))</f>
        <v>0.30647417903885937</v>
      </c>
      <c r="S99" s="2" cm="1">
        <f t="array" ref="S99">_xlfn.LET(_xlpm.d,S$2:S$85,_xlpm.f,$A$2:$A$85,_xlpm.k,$F99,AVERAGE(_xlfn._xlws.FILTER(_xlpm.d,_xlpm.f=_xlpm.k)))</f>
        <v>0.52144422683225633</v>
      </c>
      <c r="T99" s="2" cm="1">
        <f t="array" ref="T99">_xlfn.LET(_xlpm.d,T$2:T$85,_xlpm.f,$A$2:$A$85,_xlpm.k,$F99,AVERAGE(_xlfn._xlws.FILTER(_xlpm.d,_xlpm.f=_xlpm.k)))</f>
        <v>0.55482057831649445</v>
      </c>
    </row>
    <row r="100" spans="6:20" ht="30" customHeight="1">
      <c r="F100" t="s">
        <v>101</v>
      </c>
      <c r="G100" s="2" cm="1">
        <f t="array" ref="G100">_xlfn.LET(_xlpm.d,G$2:G$85,_xlpm.f,$A$2:$A$85,_xlpm.k,$F100,AVERAGE(_xlfn._xlws.FILTER(_xlpm.d,_xlpm.f=_xlpm.k)))</f>
        <v>0.70825019903752195</v>
      </c>
      <c r="H100" s="2" cm="1">
        <f t="array" ref="H100">_xlfn.LET(_xlpm.d,H$2:H$85,_xlpm.f,$A$2:$A$85,_xlpm.k,$F100,AVERAGE(_xlfn._xlws.FILTER(_xlpm.d,_xlpm.f=_xlpm.k)))</f>
        <v>0.6549175512785671</v>
      </c>
      <c r="I100" s="2" cm="1">
        <f t="array" ref="I100">_xlfn.LET(_xlpm.d,I$2:I$85,_xlpm.f,$A$2:$A$85,_xlpm.k,$F100,AVERAGE(_xlfn._xlws.FILTER(_xlpm.d,_xlpm.f=_xlpm.k)))</f>
        <v>0.6585548310099425</v>
      </c>
      <c r="J100" s="2" cm="1">
        <f t="array" ref="J100">_xlfn.LET(_xlpm.d,J$2:J$85,_xlpm.f,$A$2:$A$85,_xlpm.k,$F100,AVERAGE(_xlfn._xlws.FILTER(_xlpm.d,_xlpm.f=_xlpm.k)))</f>
        <v>0.54177251610541466</v>
      </c>
      <c r="K100" s="2" cm="1">
        <f t="array" ref="K100">_xlfn.LET(_xlpm.d,K$2:K$85,_xlpm.f,$A$2:$A$85,_xlpm.k,$F100,AVERAGE(_xlfn._xlws.FILTER(_xlpm.d,_xlpm.f=_xlpm.k)))</f>
        <v>0.63574586901702546</v>
      </c>
      <c r="L100" s="2" cm="1">
        <f t="array" ref="L100">_xlfn.LET(_xlpm.d,L$2:L$85,_xlpm.f,$A$2:$A$85,_xlpm.k,$F100,AVERAGE(_xlfn._xlws.FILTER(_xlpm.d,_xlpm.f=_xlpm.k)))</f>
        <v>0.58951604490697018</v>
      </c>
      <c r="M100" s="2" cm="1">
        <f t="array" ref="M100">_xlfn.LET(_xlpm.d,M$2:M$85,_xlpm.f,$A$2:$A$85,_xlpm.k,$F100,AVERAGE(_xlfn._xlws.FILTER(_xlpm.d,_xlpm.f=_xlpm.k)))</f>
        <v>0.60480431326715922</v>
      </c>
      <c r="N100" s="2" cm="1">
        <f t="array" ref="N100">_xlfn.LET(_xlpm.d,N$2:N$85,_xlpm.f,$A$2:$A$85,_xlpm.k,$F100,AVERAGE(_xlfn._xlws.FILTER(_xlpm.d,_xlpm.f=_xlpm.k)))</f>
        <v>0.63320514550954832</v>
      </c>
      <c r="O100" s="2" cm="1">
        <f t="array" ref="O100">_xlfn.LET(_xlpm.d,O$2:O$85,_xlpm.f,$A$2:$A$85,_xlpm.k,$F100,AVERAGE(_xlfn._xlws.FILTER(_xlpm.d,_xlpm.f=_xlpm.k)))</f>
        <v>0.68573158563189918</v>
      </c>
      <c r="P100" s="2" cm="1">
        <f t="array" ref="P100">_xlfn.LET(_xlpm.d,P$2:P$85,_xlpm.f,$A$2:$A$85,_xlpm.k,$F100,AVERAGE(_xlfn._xlws.FILTER(_xlpm.d,_xlpm.f=_xlpm.k)))</f>
        <v>0.69633884195807505</v>
      </c>
      <c r="Q100" s="2" cm="1">
        <f t="array" ref="Q100">_xlfn.LET(_xlpm.d,Q$2:Q$85,_xlpm.f,$A$2:$A$85,_xlpm.k,$F100,AVERAGE(_xlfn._xlws.FILTER(_xlpm.d,_xlpm.f=_xlpm.k)))</f>
        <v>0.50584495496764703</v>
      </c>
      <c r="R100" s="2" cm="1">
        <f t="array" ref="R100">_xlfn.LET(_xlpm.d,R$2:R$85,_xlpm.f,$A$2:$A$85,_xlpm.k,$F100,AVERAGE(_xlfn._xlws.FILTER(_xlpm.d,_xlpm.f=_xlpm.k)))</f>
        <v>0.56341110475258005</v>
      </c>
      <c r="S100" s="2" cm="1">
        <f t="array" ref="S100">_xlfn.LET(_xlpm.d,S$2:S$85,_xlpm.f,$A$2:$A$85,_xlpm.k,$F100,AVERAGE(_xlfn._xlws.FILTER(_xlpm.d,_xlpm.f=_xlpm.k)))</f>
        <v>0.79245114274428319</v>
      </c>
      <c r="T100" s="2" cm="1">
        <f t="array" ref="T100">_xlfn.LET(_xlpm.d,T$2:T$85,_xlpm.f,$A$2:$A$85,_xlpm.k,$F100,AVERAGE(_xlfn._xlws.FILTER(_xlpm.d,_xlpm.f=_xlpm.k)))</f>
        <v>0.63619570001435644</v>
      </c>
    </row>
    <row r="102" spans="6:20" ht="30" customHeight="1">
      <c r="F102" t="s">
        <v>44</v>
      </c>
    </row>
    <row r="103" spans="6:20" ht="30" customHeight="1">
      <c r="F103" t="s">
        <v>37</v>
      </c>
      <c r="G103" s="2" cm="1">
        <f t="array" ref="G103">_xlfn.LET(_xlpm.d,G$2:G$85,_xlpm.g,$B$2:$B$85,AVERAGE(_xlfn._xlws.FILTER(_xlpm.d,(_xlpm.g=0))))</f>
        <v>0.7749651993738228</v>
      </c>
      <c r="H103" s="2" cm="1">
        <f t="array" ref="H103">_xlfn.LET(_xlpm.d,H$2:H$85,_xlpm.g,$B$2:$B$85,AVERAGE(_xlfn._xlws.FILTER(_xlpm.d,(_xlpm.g=0))))</f>
        <v>0.74247696039504174</v>
      </c>
      <c r="I103" s="2" cm="1">
        <f t="array" ref="I103">_xlfn.LET(_xlpm.d,I$2:I$85,_xlpm.g,$B$2:$B$85,AVERAGE(_xlfn._xlws.FILTER(_xlpm.d,(_xlpm.g=0))))</f>
        <v>0.73856962694681705</v>
      </c>
      <c r="J103" s="2" cm="1">
        <f t="array" ref="J103">_xlfn.LET(_xlpm.d,J$2:J$85,_xlpm.g,$B$2:$B$85,AVERAGE(_xlfn._xlws.FILTER(_xlpm.d,(_xlpm.g=0))))</f>
        <v>0.70026797791846207</v>
      </c>
      <c r="K103" s="2" cm="1">
        <f t="array" ref="K103">_xlfn.LET(_xlpm.d,K$2:K$85,_xlpm.g,$B$2:$B$85,AVERAGE(_xlfn._xlws.FILTER(_xlpm.d,(_xlpm.g=0))))</f>
        <v>0.68936416709433779</v>
      </c>
      <c r="L103" s="2" cm="1">
        <f t="array" ref="L103">_xlfn.LET(_xlpm.d,L$2:L$85,_xlpm.g,$B$2:$B$85,AVERAGE(_xlfn._xlws.FILTER(_xlpm.d,(_xlpm.g=0))))</f>
        <v>0.68727161501232947</v>
      </c>
      <c r="M103" s="2" cm="1">
        <f t="array" ref="M103">_xlfn.LET(_xlpm.d,M$2:M$85,_xlpm.g,$B$2:$B$85,AVERAGE(_xlfn._xlws.FILTER(_xlpm.d,(_xlpm.g=0))))</f>
        <v>0.68070347692417932</v>
      </c>
      <c r="N103" s="2" cm="1">
        <f t="array" ref="N103">_xlfn.LET(_xlpm.d,N$2:N$85,_xlpm.g,$B$2:$B$85,AVERAGE(_xlfn._xlws.FILTER(_xlpm.d,(_xlpm.g=0))))</f>
        <v>0.65972169954622428</v>
      </c>
      <c r="O103" s="2" cm="1">
        <f t="array" ref="O103">_xlfn.LET(_xlpm.d,O$2:O$85,_xlpm.g,$B$2:$B$85,AVERAGE(_xlfn._xlws.FILTER(_xlpm.d,(_xlpm.g=0))))</f>
        <v>0.67121526453436908</v>
      </c>
      <c r="P103" s="2" cm="1">
        <f t="array" ref="P103">_xlfn.LET(_xlpm.d,P$2:P$85,_xlpm.g,$B$2:$B$85,AVERAGE(_xlfn._xlws.FILTER(_xlpm.d,(_xlpm.g=0))))</f>
        <v>0.69195614238481751</v>
      </c>
      <c r="Q103" s="2" cm="1">
        <f t="array" ref="Q103">_xlfn.LET(_xlpm.d,Q$2:Q$85,_xlpm.g,$B$2:$B$85,AVERAGE(_xlfn._xlws.FILTER(_xlpm.d,(_xlpm.g=0))))</f>
        <v>0.66130799649419136</v>
      </c>
      <c r="R103" s="2" cm="1">
        <f t="array" ref="R103">_xlfn.LET(_xlpm.d,R$2:R$85,_xlpm.g,$B$2:$B$85,AVERAGE(_xlfn._xlws.FILTER(_xlpm.d,(_xlpm.g=0))))</f>
        <v>0.64548737008416868</v>
      </c>
      <c r="S103" s="2" cm="1">
        <f t="array" ref="S103">_xlfn.LET(_xlpm.d,S$2:S$85,_xlpm.g,$B$2:$B$85,AVERAGE(_xlfn._xlws.FILTER(_xlpm.d,(_xlpm.g=0))))</f>
        <v>0.63886239402115974</v>
      </c>
      <c r="T103" s="2" cm="1">
        <f t="array" ref="T103">_xlfn.LET(_xlpm.d,T$2:T$85,_xlpm.g,$B$2:$B$85,AVERAGE(_xlfn._xlws.FILTER(_xlpm.d,(_xlpm.g=0))))</f>
        <v>0.6904596330607502</v>
      </c>
    </row>
    <row r="104" spans="6:20" ht="30" customHeight="1">
      <c r="F104" t="s">
        <v>38</v>
      </c>
      <c r="G104" s="2" cm="1">
        <f t="array" ref="G104">_xlfn.LET(_xlpm.d,G$2:G$85,_xlpm.f,$A$2:$A$85,_xlpm.g,$B$2:$B$85,_xlpm.k,$F104,AVERAGE(_xlfn._xlws.FILTER(_xlpm.d,(_xlpm.f=_xlpm.k)*(_xlpm.g=0))))</f>
        <v>0.99742381572023009</v>
      </c>
      <c r="H104" s="2" cm="1">
        <f t="array" ref="H104">_xlfn.LET(_xlpm.d,H$2:H$85,_xlpm.f,$A$2:$A$85,_xlpm.g,$B$2:$B$85,_xlpm.k,$F104,AVERAGE(_xlfn._xlws.FILTER(_xlpm.d,(_xlpm.f=_xlpm.k)*(_xlpm.g=0))))</f>
        <v>0.9930384172893657</v>
      </c>
      <c r="I104" s="2" cm="1">
        <f t="array" ref="I104">_xlfn.LET(_xlpm.d,I$2:I$85,_xlpm.f,$A$2:$A$85,_xlpm.g,$B$2:$B$85,_xlpm.k,$F104,AVERAGE(_xlfn._xlws.FILTER(_xlpm.d,(_xlpm.f=_xlpm.k)*(_xlpm.g=0))))</f>
        <v>0.99259688460754736</v>
      </c>
      <c r="J104" s="2" cm="1">
        <f t="array" ref="J104">_xlfn.LET(_xlpm.d,J$2:J$85,_xlpm.f,$A$2:$A$85,_xlpm.g,$B$2:$B$85,_xlpm.k,$F104,AVERAGE(_xlfn._xlws.FILTER(_xlpm.d,(_xlpm.f=_xlpm.k)*(_xlpm.g=0))))</f>
        <v>0.99861085382012116</v>
      </c>
      <c r="K104" s="2" cm="1">
        <f t="array" ref="K104">_xlfn.LET(_xlpm.d,K$2:K$85,_xlpm.f,$A$2:$A$85,_xlpm.g,$B$2:$B$85,_xlpm.k,$F104,AVERAGE(_xlfn._xlws.FILTER(_xlpm.d,(_xlpm.f=_xlpm.k)*(_xlpm.g=0))))</f>
        <v>0.99573179976525739</v>
      </c>
      <c r="L104" s="2" cm="1">
        <f t="array" ref="L104">_xlfn.LET(_xlpm.d,L$2:L$85,_xlpm.f,$A$2:$A$85,_xlpm.g,$B$2:$B$85,_xlpm.k,$F104,AVERAGE(_xlfn._xlws.FILTER(_xlpm.d,(_xlpm.f=_xlpm.k)*(_xlpm.g=0))))</f>
        <v>0.98359706010804715</v>
      </c>
      <c r="M104" s="2" cm="1">
        <f t="array" ref="M104">_xlfn.LET(_xlpm.d,M$2:M$85,_xlpm.f,$A$2:$A$85,_xlpm.g,$B$2:$B$85,_xlpm.k,$F104,AVERAGE(_xlfn._xlws.FILTER(_xlpm.d,(_xlpm.f=_xlpm.k)*(_xlpm.g=0))))</f>
        <v>0.9972067039106145</v>
      </c>
      <c r="N104" s="2" cm="1">
        <f t="array" ref="N104">_xlfn.LET(_xlpm.d,N$2:N$85,_xlpm.f,$A$2:$A$85,_xlpm.g,$B$2:$B$85,_xlpm.k,$F104,AVERAGE(_xlfn._xlws.FILTER(_xlpm.d,(_xlpm.f=_xlpm.k)*(_xlpm.g=0))))</f>
        <v>0.99896480331262938</v>
      </c>
      <c r="O104" s="2" cm="1">
        <f t="array" ref="O104">_xlfn.LET(_xlpm.d,O$2:O$85,_xlpm.f,$A$2:$A$85,_xlpm.g,$B$2:$B$85,_xlpm.k,$F104,AVERAGE(_xlfn._xlws.FILTER(_xlpm.d,(_xlpm.f=_xlpm.k)*(_xlpm.g=0))))</f>
        <v>0.99663299663299654</v>
      </c>
      <c r="P104" s="2" cm="1">
        <f t="array" ref="P104">_xlfn.LET(_xlpm.d,P$2:P$85,_xlpm.f,$A$2:$A$85,_xlpm.g,$B$2:$B$85,_xlpm.k,$F104,AVERAGE(_xlfn._xlws.FILTER(_xlpm.d,(_xlpm.f=_xlpm.k)*(_xlpm.g=0))))</f>
        <v>0.98422711937618723</v>
      </c>
      <c r="Q104" s="2" cm="1">
        <f t="array" ref="Q104">_xlfn.LET(_xlpm.d,Q$2:Q$85,_xlpm.f,$A$2:$A$85,_xlpm.g,$B$2:$B$85,_xlpm.k,$F104,AVERAGE(_xlfn._xlws.FILTER(_xlpm.d,(_xlpm.f=_xlpm.k)*(_xlpm.g=0))))</f>
        <v>0.99882623286589867</v>
      </c>
      <c r="R104" s="2" cm="1">
        <f t="array" ref="R104">_xlfn.LET(_xlpm.d,R$2:R$85,_xlpm.f,$A$2:$A$85,_xlpm.g,$B$2:$B$85,_xlpm.k,$F104,AVERAGE(_xlfn._xlws.FILTER(_xlpm.d,(_xlpm.f=_xlpm.k)*(_xlpm.g=0))))</f>
        <v>0.97690891902284049</v>
      </c>
      <c r="S104" s="2" cm="1">
        <f t="array" ref="S104">_xlfn.LET(_xlpm.d,S$2:S$85,_xlpm.f,$A$2:$A$85,_xlpm.g,$B$2:$B$85,_xlpm.k,$F104,AVERAGE(_xlfn._xlws.FILTER(_xlpm.d,(_xlpm.f=_xlpm.k)*(_xlpm.g=0))))</f>
        <v>1</v>
      </c>
      <c r="T104" s="2" cm="1">
        <f t="array" ref="T104">_xlfn.LET(_xlpm.d,T$2:T$85,_xlpm.f,$A$2:$A$85,_xlpm.g,$B$2:$B$85,_xlpm.k,$F104,AVERAGE(_xlfn._xlws.FILTER(_xlpm.d,(_xlpm.f=_xlpm.k)*(_xlpm.g=0))))</f>
        <v>0.99336658511013365</v>
      </c>
    </row>
    <row r="105" spans="6:20" ht="30" customHeight="1">
      <c r="F105" t="s">
        <v>40</v>
      </c>
      <c r="G105" s="2" cm="1">
        <f t="array" ref="G105">_xlfn.LET(_xlpm.d,G$2:G$85,_xlpm.f,$A$2:$A$85,_xlpm.g,$B$2:$B$85,_xlpm.k,$F105,AVERAGE(_xlfn._xlws.FILTER(_xlpm.d,(_xlpm.f=_xlpm.k)*(_xlpm.g=0))))</f>
        <v>0.5864946294776564</v>
      </c>
      <c r="H105" s="2" cm="1">
        <f t="array" ref="H105">_xlfn.LET(_xlpm.d,H$2:H$85,_xlpm.f,$A$2:$A$85,_xlpm.g,$B$2:$B$85,_xlpm.k,$F105,AVERAGE(_xlfn._xlws.FILTER(_xlpm.d,(_xlpm.f=_xlpm.k)*(_xlpm.g=0))))</f>
        <v>0.46096999311274733</v>
      </c>
      <c r="I105" s="2" cm="1">
        <f t="array" ref="I105">_xlfn.LET(_xlpm.d,I$2:I$85,_xlpm.f,$A$2:$A$85,_xlpm.g,$B$2:$B$85,_xlpm.k,$F105,AVERAGE(_xlfn._xlws.FILTER(_xlpm.d,(_xlpm.f=_xlpm.k)*(_xlpm.g=0))))</f>
        <v>0.55470291043416908</v>
      </c>
      <c r="J105" s="2" cm="1">
        <f t="array" ref="J105">_xlfn.LET(_xlpm.d,J$2:J$85,_xlpm.f,$A$2:$A$85,_xlpm.g,$B$2:$B$85,_xlpm.k,$F105,AVERAGE(_xlfn._xlws.FILTER(_xlpm.d,(_xlpm.f=_xlpm.k)*(_xlpm.g=0))))</f>
        <v>0.42411055686987248</v>
      </c>
      <c r="K105" s="2" cm="1">
        <f t="array" ref="K105">_xlfn.LET(_xlpm.d,K$2:K$85,_xlpm.f,$A$2:$A$85,_xlpm.g,$B$2:$B$85,_xlpm.k,$F105,AVERAGE(_xlfn._xlws.FILTER(_xlpm.d,(_xlpm.f=_xlpm.k)*(_xlpm.g=0))))</f>
        <v>0.45245446942592449</v>
      </c>
      <c r="L105" s="2" cm="1">
        <f t="array" ref="L105">_xlfn.LET(_xlpm.d,L$2:L$85,_xlpm.f,$A$2:$A$85,_xlpm.g,$B$2:$B$85,_xlpm.k,$F105,AVERAGE(_xlfn._xlws.FILTER(_xlpm.d,(_xlpm.f=_xlpm.k)*(_xlpm.g=0))))</f>
        <v>0.45566541024258528</v>
      </c>
      <c r="M105" s="2" cm="1">
        <f t="array" ref="M105">_xlfn.LET(_xlpm.d,M$2:M$85,_xlpm.f,$A$2:$A$85,_xlpm.g,$B$2:$B$85,_xlpm.k,$F105,AVERAGE(_xlfn._xlws.FILTER(_xlpm.d,(_xlpm.f=_xlpm.k)*(_xlpm.g=0))))</f>
        <v>0.47003024624261047</v>
      </c>
      <c r="N105" s="2" cm="1">
        <f t="array" ref="N105">_xlfn.LET(_xlpm.d,N$2:N$85,_xlpm.f,$A$2:$A$85,_xlpm.g,$B$2:$B$85,_xlpm.k,$F105,AVERAGE(_xlfn._xlws.FILTER(_xlpm.d,(_xlpm.f=_xlpm.k)*(_xlpm.g=0))))</f>
        <v>0.43204582548452358</v>
      </c>
      <c r="O105" s="2" cm="1">
        <f t="array" ref="O105">_xlfn.LET(_xlpm.d,O$2:O$85,_xlpm.f,$A$2:$A$85,_xlpm.g,$B$2:$B$85,_xlpm.k,$F105,AVERAGE(_xlfn._xlws.FILTER(_xlpm.d,(_xlpm.f=_xlpm.k)*(_xlpm.g=0))))</f>
        <v>0.37776417859213068</v>
      </c>
      <c r="P105" s="2" cm="1">
        <f t="array" ref="P105">_xlfn.LET(_xlpm.d,P$2:P$85,_xlpm.f,$A$2:$A$85,_xlpm.g,$B$2:$B$85,_xlpm.k,$F105,AVERAGE(_xlfn._xlws.FILTER(_xlpm.d,(_xlpm.f=_xlpm.k)*(_xlpm.g=0))))</f>
        <v>0.28992563435997887</v>
      </c>
      <c r="Q105" s="2" cm="1">
        <f t="array" ref="Q105">_xlfn.LET(_xlpm.d,Q$2:Q$85,_xlpm.f,$A$2:$A$85,_xlpm.g,$B$2:$B$85,_xlpm.k,$F105,AVERAGE(_xlfn._xlws.FILTER(_xlpm.d,(_xlpm.f=_xlpm.k)*(_xlpm.g=0))))</f>
        <v>0.23051402844872651</v>
      </c>
      <c r="R105" s="2" cm="1">
        <f t="array" ref="R105">_xlfn.LET(_xlpm.d,R$2:R$85,_xlpm.f,$A$2:$A$85,_xlpm.g,$B$2:$B$85,_xlpm.k,$F105,AVERAGE(_xlfn._xlws.FILTER(_xlpm.d,(_xlpm.f=_xlpm.k)*(_xlpm.g=0))))</f>
        <v>0.33212349699328347</v>
      </c>
      <c r="S105" s="2" cm="1">
        <f t="array" ref="S105">_xlfn.LET(_xlpm.d,S$2:S$85,_xlpm.f,$A$2:$A$85,_xlpm.g,$B$2:$B$85,_xlpm.k,$F105,AVERAGE(_xlfn._xlws.FILTER(_xlpm.d,(_xlpm.f=_xlpm.k)*(_xlpm.g=0))))</f>
        <v>0.26455391388056831</v>
      </c>
      <c r="T105" s="2" cm="1">
        <f t="array" ref="T105">_xlfn.LET(_xlpm.d,T$2:T$85,_xlpm.f,$A$2:$A$85,_xlpm.g,$B$2:$B$85,_xlpm.k,$F105,AVERAGE(_xlfn._xlws.FILTER(_xlpm.d,(_xlpm.f=_xlpm.k)*(_xlpm.g=0))))</f>
        <v>0.4101042533511367</v>
      </c>
    </row>
    <row r="106" spans="6:20" ht="30" customHeight="1">
      <c r="F106" t="s">
        <v>41</v>
      </c>
      <c r="G106" s="2" cm="1">
        <f t="array" ref="G106">_xlfn.LET(_xlpm.d,G$2:G$85,_xlpm.f,$A$2:$A$85,_xlpm.g,$B$2:$B$85,_xlpm.k,$F106,AVERAGE(_xlfn._xlws.FILTER(_xlpm.d,(_xlpm.f=_xlpm.k)*(_xlpm.g=0))))</f>
        <v>0.54733661555677682</v>
      </c>
      <c r="H106" s="2" cm="1">
        <f t="array" ref="H106">_xlfn.LET(_xlpm.d,H$2:H$85,_xlpm.f,$A$2:$A$85,_xlpm.g,$B$2:$B$85,_xlpm.k,$F106,AVERAGE(_xlfn._xlws.FILTER(_xlpm.d,(_xlpm.f=_xlpm.k)*(_xlpm.g=0))))</f>
        <v>0.49610165754964558</v>
      </c>
      <c r="I106" s="2" cm="1">
        <f t="array" ref="I106">_xlfn.LET(_xlpm.d,I$2:I$85,_xlpm.f,$A$2:$A$85,_xlpm.g,$B$2:$B$85,_xlpm.k,$F106,AVERAGE(_xlfn._xlws.FILTER(_xlpm.d,(_xlpm.f=_xlpm.k)*(_xlpm.g=0))))</f>
        <v>0.53595958473402183</v>
      </c>
      <c r="J106" s="2" cm="1">
        <f t="array" ref="J106">_xlfn.LET(_xlpm.d,J$2:J$85,_xlpm.f,$A$2:$A$85,_xlpm.g,$B$2:$B$85,_xlpm.k,$F106,AVERAGE(_xlfn._xlws.FILTER(_xlpm.d,(_xlpm.f=_xlpm.k)*(_xlpm.g=0))))</f>
        <v>0.44402863293939415</v>
      </c>
      <c r="K106" s="2" cm="1">
        <f t="array" ref="K106">_xlfn.LET(_xlpm.d,K$2:K$85,_xlpm.f,$A$2:$A$85,_xlpm.g,$B$2:$B$85,_xlpm.k,$F106,AVERAGE(_xlfn._xlws.FILTER(_xlpm.d,(_xlpm.f=_xlpm.k)*(_xlpm.g=0))))</f>
        <v>0.44373685546636205</v>
      </c>
      <c r="L106" s="2" cm="1">
        <f t="array" ref="L106">_xlfn.LET(_xlpm.d,L$2:L$85,_xlpm.f,$A$2:$A$85,_xlpm.g,$B$2:$B$85,_xlpm.k,$F106,AVERAGE(_xlfn._xlws.FILTER(_xlpm.d,(_xlpm.f=_xlpm.k)*(_xlpm.g=0))))</f>
        <v>0.47199998583612596</v>
      </c>
      <c r="M106" s="2" cm="1">
        <f t="array" ref="M106">_xlfn.LET(_xlpm.d,M$2:M$85,_xlpm.f,$A$2:$A$85,_xlpm.g,$B$2:$B$85,_xlpm.k,$F106,AVERAGE(_xlfn._xlws.FILTER(_xlpm.d,(_xlpm.f=_xlpm.k)*(_xlpm.g=0))))</f>
        <v>0.41227468388498062</v>
      </c>
      <c r="N106" s="2" cm="1">
        <f t="array" ref="N106">_xlfn.LET(_xlpm.d,N$2:N$85,_xlpm.f,$A$2:$A$85,_xlpm.g,$B$2:$B$85,_xlpm.k,$F106,AVERAGE(_xlfn._xlws.FILTER(_xlpm.d,(_xlpm.f=_xlpm.k)*(_xlpm.g=0))))</f>
        <v>0.38470018732762384</v>
      </c>
      <c r="O106" s="2" cm="1">
        <f t="array" ref="O106">_xlfn.LET(_xlpm.d,O$2:O$85,_xlpm.f,$A$2:$A$85,_xlpm.g,$B$2:$B$85,_xlpm.k,$F106,AVERAGE(_xlfn._xlws.FILTER(_xlpm.d,(_xlpm.f=_xlpm.k)*(_xlpm.g=0))))</f>
        <v>0.42213578007147151</v>
      </c>
      <c r="P106" s="2" cm="1">
        <f t="array" ref="P106">_xlfn.LET(_xlpm.d,P$2:P$85,_xlpm.f,$A$2:$A$85,_xlpm.g,$B$2:$B$85,_xlpm.k,$F106,AVERAGE(_xlfn._xlws.FILTER(_xlpm.d,(_xlpm.f=_xlpm.k)*(_xlpm.g=0))))</f>
        <v>0.36364203454074512</v>
      </c>
      <c r="Q106" s="2" cm="1">
        <f t="array" ref="Q106">_xlfn.LET(_xlpm.d,Q$2:Q$85,_xlpm.f,$A$2:$A$85,_xlpm.g,$B$2:$B$85,_xlpm.k,$F106,AVERAGE(_xlfn._xlws.FILTER(_xlpm.d,(_xlpm.f=_xlpm.k)*(_xlpm.g=0))))</f>
        <v>0.23808431320232268</v>
      </c>
      <c r="R106" s="2" cm="1">
        <f t="array" ref="R106">_xlfn.LET(_xlpm.d,R$2:R$85,_xlpm.f,$A$2:$A$85,_xlpm.g,$B$2:$B$85,_xlpm.k,$F106,AVERAGE(_xlfn._xlws.FILTER(_xlpm.d,(_xlpm.f=_xlpm.k)*(_xlpm.g=0))))</f>
        <v>0.33549510674149657</v>
      </c>
      <c r="S106" s="2" cm="1">
        <f t="array" ref="S106">_xlfn.LET(_xlpm.d,S$2:S$85,_xlpm.f,$A$2:$A$85,_xlpm.g,$B$2:$B$85,_xlpm.k,$F106,AVERAGE(_xlfn._xlws.FILTER(_xlpm.d,(_xlpm.f=_xlpm.k)*(_xlpm.g=0))))</f>
        <v>0.31555648828970634</v>
      </c>
      <c r="T106" s="2" cm="1">
        <f t="array" ref="T106">_xlfn.LET(_xlpm.d,T$2:T$85,_xlpm.f,$A$2:$A$85,_xlpm.g,$B$2:$B$85,_xlpm.k,$F106,AVERAGE(_xlfn._xlws.FILTER(_xlpm.d,(_xlpm.f=_xlpm.k)*(_xlpm.g=0))))</f>
        <v>0.41722885730554388</v>
      </c>
    </row>
    <row r="107" spans="6:20" ht="30" customHeight="1">
      <c r="F107" t="s">
        <v>97</v>
      </c>
      <c r="G107" s="2" cm="1">
        <f t="array" ref="G107">_xlfn.LET(_xlpm.d,G$2:G$85,_xlpm.f,$A$2:$A$85,_xlpm.g,$B$2:$B$85,_xlpm.k,$F107,AVERAGE(_xlfn._xlws.FILTER(_xlpm.d,(_xlpm.f=_xlpm.k)*(_xlpm.g=0))))</f>
        <v>0.64163912995282335</v>
      </c>
      <c r="H107" s="2" cm="1">
        <f t="array" ref="H107">_xlfn.LET(_xlpm.d,H$2:H$85,_xlpm.f,$A$2:$A$85,_xlpm.g,$B$2:$B$85,_xlpm.k,$F107,AVERAGE(_xlfn._xlws.FILTER(_xlpm.d,(_xlpm.f=_xlpm.k)*(_xlpm.g=0))))</f>
        <v>0.68949038990412193</v>
      </c>
      <c r="I107" s="2" cm="1">
        <f t="array" ref="I107">_xlfn.LET(_xlpm.d,I$2:I$85,_xlpm.f,$A$2:$A$85,_xlpm.g,$B$2:$B$85,_xlpm.k,$F107,AVERAGE(_xlfn._xlws.FILTER(_xlpm.d,(_xlpm.f=_xlpm.k)*(_xlpm.g=0))))</f>
        <v>0.64622709750561558</v>
      </c>
      <c r="J107" s="2" cm="1">
        <f t="array" ref="J107">_xlfn.LET(_xlpm.d,J$2:J$85,_xlpm.f,$A$2:$A$85,_xlpm.g,$B$2:$B$85,_xlpm.k,$F107,AVERAGE(_xlfn._xlws.FILTER(_xlpm.d,(_xlpm.f=_xlpm.k)*(_xlpm.g=0))))</f>
        <v>0.60320632845595068</v>
      </c>
      <c r="K107" s="2" cm="1">
        <f t="array" ref="K107">_xlfn.LET(_xlpm.d,K$2:K$85,_xlpm.f,$A$2:$A$85,_xlpm.g,$B$2:$B$85,_xlpm.k,$F107,AVERAGE(_xlfn._xlws.FILTER(_xlpm.d,(_xlpm.f=_xlpm.k)*(_xlpm.g=0))))</f>
        <v>0.60155946240062663</v>
      </c>
      <c r="L107" s="2" cm="1">
        <f t="array" ref="L107">_xlfn.LET(_xlpm.d,L$2:L$85,_xlpm.f,$A$2:$A$85,_xlpm.g,$B$2:$B$85,_xlpm.k,$F107,AVERAGE(_xlfn._xlws.FILTER(_xlpm.d,(_xlpm.f=_xlpm.k)*(_xlpm.g=0))))</f>
        <v>0.53754951482698055</v>
      </c>
      <c r="M107" s="2" cm="1">
        <f t="array" ref="M107">_xlfn.LET(_xlpm.d,M$2:M$85,_xlpm.f,$A$2:$A$85,_xlpm.g,$B$2:$B$85,_xlpm.k,$F107,AVERAGE(_xlfn._xlws.FILTER(_xlpm.d,(_xlpm.f=_xlpm.k)*(_xlpm.g=0))))</f>
        <v>0.44624869966089337</v>
      </c>
      <c r="N107" s="2" cm="1">
        <f t="array" ref="N107">_xlfn.LET(_xlpm.d,N$2:N$85,_xlpm.f,$A$2:$A$85,_xlpm.g,$B$2:$B$85,_xlpm.k,$F107,AVERAGE(_xlfn._xlws.FILTER(_xlpm.d,(_xlpm.f=_xlpm.k)*(_xlpm.g=0))))</f>
        <v>0.51956563751947948</v>
      </c>
      <c r="O107" s="2" cm="1">
        <f t="array" ref="O107">_xlfn.LET(_xlpm.d,O$2:O$85,_xlpm.f,$A$2:$A$85,_xlpm.g,$B$2:$B$85,_xlpm.k,$F107,AVERAGE(_xlfn._xlws.FILTER(_xlpm.d,(_xlpm.f=_xlpm.k)*(_xlpm.g=0))))</f>
        <v>0.64311235343704143</v>
      </c>
      <c r="P107" s="2" cm="1">
        <f t="array" ref="P107">_xlfn.LET(_xlpm.d,P$2:P$85,_xlpm.f,$A$2:$A$85,_xlpm.g,$B$2:$B$85,_xlpm.k,$F107,AVERAGE(_xlfn._xlws.FILTER(_xlpm.d,(_xlpm.f=_xlpm.k)*(_xlpm.g=0))))</f>
        <v>0.57038349504397468</v>
      </c>
      <c r="Q107" s="2" cm="1">
        <f t="array" ref="Q107">_xlfn.LET(_xlpm.d,Q$2:Q$85,_xlpm.f,$A$2:$A$85,_xlpm.g,$B$2:$B$85,_xlpm.k,$F107,AVERAGE(_xlfn._xlws.FILTER(_xlpm.d,(_xlpm.f=_xlpm.k)*(_xlpm.g=0))))</f>
        <v>0.60449261966357348</v>
      </c>
      <c r="R107" s="2" cm="1">
        <f t="array" ref="R107">_xlfn.LET(_xlpm.d,R$2:R$85,_xlpm.f,$A$2:$A$85,_xlpm.g,$B$2:$B$85,_xlpm.k,$F107,AVERAGE(_xlfn._xlws.FILTER(_xlpm.d,(_xlpm.f=_xlpm.k)*(_xlpm.g=0))))</f>
        <v>0.63850780722197442</v>
      </c>
      <c r="S107" s="2" cm="1">
        <f t="array" ref="S107">_xlfn.LET(_xlpm.d,S$2:S$85,_xlpm.f,$A$2:$A$85,_xlpm.g,$B$2:$B$85,_xlpm.k,$F107,AVERAGE(_xlfn._xlws.FILTER(_xlpm.d,(_xlpm.f=_xlpm.k)*(_xlpm.g=0))))</f>
        <v>0.49838309716818313</v>
      </c>
      <c r="T107" s="2" cm="1">
        <f t="array" ref="T107">_xlfn.LET(_xlpm.d,T$2:T$85,_xlpm.f,$A$2:$A$85,_xlpm.g,$B$2:$B$85,_xlpm.k,$F107,AVERAGE(_xlfn._xlws.FILTER(_xlpm.d,(_xlpm.f=_xlpm.k)*(_xlpm.g=0))))</f>
        <v>0.58772043328932611</v>
      </c>
    </row>
    <row r="108" spans="6:20" ht="30" customHeight="1">
      <c r="F108" t="s">
        <v>39</v>
      </c>
      <c r="G108" s="2" cm="1">
        <f t="array" ref="G108">_xlfn.LET(_xlpm.d,G$2:G$85,_xlpm.f,$A$2:$A$85,_xlpm.g,$B$2:$B$85,_xlpm.k,$F108,AVERAGE(_xlfn._xlws.FILTER(_xlpm.d,(_xlpm.f=_xlpm.k)*(_xlpm.g=0))))</f>
        <v>0.69946566894979023</v>
      </c>
      <c r="H108" s="2" cm="1">
        <f t="array" ref="H108">_xlfn.LET(_xlpm.d,H$2:H$85,_xlpm.f,$A$2:$A$85,_xlpm.g,$B$2:$B$85,_xlpm.k,$F108,AVERAGE(_xlfn._xlws.FILTER(_xlpm.d,(_xlpm.f=_xlpm.k)*(_xlpm.g=0))))</f>
        <v>0.66322464014171079</v>
      </c>
      <c r="I108" s="2" cm="1">
        <f t="array" ref="I108">_xlfn.LET(_xlpm.d,I$2:I$85,_xlpm.f,$A$2:$A$85,_xlpm.g,$B$2:$B$85,_xlpm.k,$F108,AVERAGE(_xlfn._xlws.FILTER(_xlpm.d,(_xlpm.f=_xlpm.k)*(_xlpm.g=0))))</f>
        <v>0.47243473685789672</v>
      </c>
      <c r="J108" s="2" cm="1">
        <f t="array" ref="J108">_xlfn.LET(_xlpm.d,J$2:J$85,_xlpm.f,$A$2:$A$85,_xlpm.g,$B$2:$B$85,_xlpm.k,$F108,AVERAGE(_xlfn._xlws.FILTER(_xlpm.d,(_xlpm.f=_xlpm.k)*(_xlpm.g=0))))</f>
        <v>0.5177759903971052</v>
      </c>
      <c r="K108" s="2" cm="1">
        <f t="array" ref="K108">_xlfn.LET(_xlpm.d,K$2:K$85,_xlpm.f,$A$2:$A$85,_xlpm.g,$B$2:$B$85,_xlpm.k,$F108,AVERAGE(_xlfn._xlws.FILTER(_xlpm.d,(_xlpm.f=_xlpm.k)*(_xlpm.g=0))))</f>
        <v>0.54257350597721599</v>
      </c>
      <c r="L108" s="2" cm="1">
        <f t="array" ref="L108">_xlfn.LET(_xlpm.d,L$2:L$85,_xlpm.f,$A$2:$A$85,_xlpm.g,$B$2:$B$85,_xlpm.k,$F108,AVERAGE(_xlfn._xlws.FILTER(_xlpm.d,(_xlpm.f=_xlpm.k)*(_xlpm.g=0))))</f>
        <v>0.56371312991847067</v>
      </c>
      <c r="M108" s="2" cm="1">
        <f t="array" ref="M108">_xlfn.LET(_xlpm.d,M$2:M$85,_xlpm.f,$A$2:$A$85,_xlpm.g,$B$2:$B$85,_xlpm.k,$F108,AVERAGE(_xlfn._xlws.FILTER(_xlpm.d,(_xlpm.f=_xlpm.k)*(_xlpm.g=0))))</f>
        <v>0.48074427849028961</v>
      </c>
      <c r="N108" s="2" cm="1">
        <f t="array" ref="N108">_xlfn.LET(_xlpm.d,N$2:N$85,_xlpm.f,$A$2:$A$85,_xlpm.g,$B$2:$B$85,_xlpm.k,$F108,AVERAGE(_xlfn._xlws.FILTER(_xlpm.d,(_xlpm.f=_xlpm.k)*(_xlpm.g=0))))</f>
        <v>0.52947080804837321</v>
      </c>
      <c r="O108" s="2" cm="1">
        <f t="array" ref="O108">_xlfn.LET(_xlpm.d,O$2:O$85,_xlpm.f,$A$2:$A$85,_xlpm.g,$B$2:$B$85,_xlpm.k,$F108,AVERAGE(_xlfn._xlws.FILTER(_xlpm.d,(_xlpm.f=_xlpm.k)*(_xlpm.g=0))))</f>
        <v>0.51851400658161384</v>
      </c>
      <c r="P108" s="2" cm="1">
        <f t="array" ref="P108">_xlfn.LET(_xlpm.d,P$2:P$85,_xlpm.f,$A$2:$A$85,_xlpm.g,$B$2:$B$85,_xlpm.k,$F108,AVERAGE(_xlfn._xlws.FILTER(_xlpm.d,(_xlpm.f=_xlpm.k)*(_xlpm.g=0))))</f>
        <v>0.62358459417885659</v>
      </c>
      <c r="Q108" s="2" cm="1">
        <f t="array" ref="Q108">_xlfn.LET(_xlpm.d,Q$2:Q$85,_xlpm.f,$A$2:$A$85,_xlpm.g,$B$2:$B$85,_xlpm.k,$F108,AVERAGE(_xlfn._xlws.FILTER(_xlpm.d,(_xlpm.f=_xlpm.k)*(_xlpm.g=0))))</f>
        <v>0.61056809359524356</v>
      </c>
      <c r="R108" s="2" cm="1">
        <f t="array" ref="R108">_xlfn.LET(_xlpm.d,R$2:R$85,_xlpm.f,$A$2:$A$85,_xlpm.g,$B$2:$B$85,_xlpm.k,$F108,AVERAGE(_xlfn._xlws.FILTER(_xlpm.d,(_xlpm.f=_xlpm.k)*(_xlpm.g=0))))</f>
        <v>0.67796148786406107</v>
      </c>
      <c r="S108" s="2" cm="1">
        <f t="array" ref="S108">_xlfn.LET(_xlpm.d,S$2:S$85,_xlpm.f,$A$2:$A$85,_xlpm.g,$B$2:$B$85,_xlpm.k,$F108,AVERAGE(_xlfn._xlws.FILTER(_xlpm.d,(_xlpm.f=_xlpm.k)*(_xlpm.g=0))))</f>
        <v>0.35668903400390245</v>
      </c>
      <c r="T108" s="2" cm="1">
        <f t="array" ref="T108">_xlfn.LET(_xlpm.d,T$2:T$85,_xlpm.f,$A$2:$A$85,_xlpm.g,$B$2:$B$85,_xlpm.k,$F108,AVERAGE(_xlfn._xlws.FILTER(_xlpm.d,(_xlpm.f=_xlpm.k)*(_xlpm.g=0))))</f>
        <v>0.55820922884650237</v>
      </c>
    </row>
    <row r="109" spans="6:20" ht="30" customHeight="1">
      <c r="F109" t="s">
        <v>98</v>
      </c>
      <c r="G109" s="2" cm="1">
        <f t="array" ref="G109">_xlfn.LET(_xlpm.d,G$2:G$85,_xlpm.f,$A$2:$A$85,_xlpm.g,$B$2:$B$85,_xlpm.k,$F109,AVERAGE(_xlfn._xlws.FILTER(_xlpm.d,(_xlpm.f=_xlpm.k)*(_xlpm.g=0))))</f>
        <v>0.99436013068374696</v>
      </c>
      <c r="H109" s="2" cm="1">
        <f t="array" ref="H109">_xlfn.LET(_xlpm.d,H$2:H$85,_xlpm.f,$A$2:$A$85,_xlpm.g,$B$2:$B$85,_xlpm.k,$F109,AVERAGE(_xlfn._xlws.FILTER(_xlpm.d,(_xlpm.f=_xlpm.k)*(_xlpm.g=0))))</f>
        <v>1</v>
      </c>
      <c r="I109" s="2" cm="1">
        <f t="array" ref="I109">_xlfn.LET(_xlpm.d,I$2:I$85,_xlpm.f,$A$2:$A$85,_xlpm.g,$B$2:$B$85,_xlpm.k,$F109,AVERAGE(_xlfn._xlws.FILTER(_xlpm.d,(_xlpm.f=_xlpm.k)*(_xlpm.g=0))))</f>
        <v>1</v>
      </c>
      <c r="J109" s="2" cm="1">
        <f t="array" ref="J109">_xlfn.LET(_xlpm.d,J$2:J$85,_xlpm.f,$A$2:$A$85,_xlpm.g,$B$2:$B$85,_xlpm.k,$F109,AVERAGE(_xlfn._xlws.FILTER(_xlpm.d,(_xlpm.f=_xlpm.k)*(_xlpm.g=0))))</f>
        <v>0.97071959317319101</v>
      </c>
      <c r="K109" s="2" cm="1">
        <f t="array" ref="K109">_xlfn.LET(_xlpm.d,K$2:K$85,_xlpm.f,$A$2:$A$85,_xlpm.g,$B$2:$B$85,_xlpm.k,$F109,AVERAGE(_xlfn._xlws.FILTER(_xlpm.d,(_xlpm.f=_xlpm.k)*(_xlpm.g=0))))</f>
        <v>1</v>
      </c>
      <c r="L109" s="2" cm="1">
        <f t="array" ref="L109">_xlfn.LET(_xlpm.d,L$2:L$85,_xlpm.f,$A$2:$A$85,_xlpm.g,$B$2:$B$85,_xlpm.k,$F109,AVERAGE(_xlfn._xlws.FILTER(_xlpm.d,(_xlpm.f=_xlpm.k)*(_xlpm.g=0))))</f>
        <v>0.98176310622073082</v>
      </c>
      <c r="M109" s="2" cm="1">
        <f t="array" ref="M109">_xlfn.LET(_xlpm.d,M$2:M$85,_xlpm.f,$A$2:$A$85,_xlpm.g,$B$2:$B$85,_xlpm.k,$F109,AVERAGE(_xlfn._xlws.FILTER(_xlpm.d,(_xlpm.f=_xlpm.k)*(_xlpm.g=0))))</f>
        <v>0.97397951295121976</v>
      </c>
      <c r="N109" s="2" cm="1">
        <f t="array" ref="N109">_xlfn.LET(_xlpm.d,N$2:N$85,_xlpm.f,$A$2:$A$85,_xlpm.g,$B$2:$B$85,_xlpm.k,$F109,AVERAGE(_xlfn._xlws.FILTER(_xlpm.d,(_xlpm.f=_xlpm.k)*(_xlpm.g=0))))</f>
        <v>0.9528495931753943</v>
      </c>
      <c r="O109" s="2" cm="1">
        <f t="array" ref="O109">_xlfn.LET(_xlpm.d,O$2:O$85,_xlpm.f,$A$2:$A$85,_xlpm.g,$B$2:$B$85,_xlpm.k,$F109,AVERAGE(_xlfn._xlws.FILTER(_xlpm.d,(_xlpm.f=_xlpm.k)*(_xlpm.g=0))))</f>
        <v>0.9857499007309739</v>
      </c>
      <c r="P109" s="2" cm="1">
        <f t="array" ref="P109">_xlfn.LET(_xlpm.d,P$2:P$85,_xlpm.f,$A$2:$A$85,_xlpm.g,$B$2:$B$85,_xlpm.k,$F109,AVERAGE(_xlfn._xlws.FILTER(_xlpm.d,(_xlpm.f=_xlpm.k)*(_xlpm.g=0))))</f>
        <v>0.98788944854427874</v>
      </c>
      <c r="Q109" s="2" cm="1">
        <f t="array" ref="Q109">_xlfn.LET(_xlpm.d,Q$2:Q$85,_xlpm.f,$A$2:$A$85,_xlpm.g,$B$2:$B$85,_xlpm.k,$F109,AVERAGE(_xlfn._xlws.FILTER(_xlpm.d,(_xlpm.f=_xlpm.k)*(_xlpm.g=0))))</f>
        <v>1</v>
      </c>
      <c r="R109" s="2" cm="1">
        <f t="array" ref="R109">_xlfn.LET(_xlpm.d,R$2:R$85,_xlpm.f,$A$2:$A$85,_xlpm.g,$B$2:$B$85,_xlpm.k,$F109,AVERAGE(_xlfn._xlws.FILTER(_xlpm.d,(_xlpm.f=_xlpm.k)*(_xlpm.g=0))))</f>
        <v>0.97116920113019256</v>
      </c>
      <c r="S109" s="2" cm="1">
        <f t="array" ref="S109">_xlfn.LET(_xlpm.d,S$2:S$85,_xlpm.f,$A$2:$A$85,_xlpm.g,$B$2:$B$85,_xlpm.k,$F109,AVERAGE(_xlfn._xlws.FILTER(_xlpm.d,(_xlpm.f=_xlpm.k)*(_xlpm.g=0))))</f>
        <v>0.89593594568239443</v>
      </c>
      <c r="T109" s="2" cm="1">
        <f t="array" ref="T109">_xlfn.LET(_xlpm.d,T$2:T$85,_xlpm.f,$A$2:$A$85,_xlpm.g,$B$2:$B$85,_xlpm.k,$F109,AVERAGE(_xlfn._xlws.FILTER(_xlpm.d,(_xlpm.f=_xlpm.k)*(_xlpm.g=0))))</f>
        <v>0.97803203325324028</v>
      </c>
    </row>
    <row r="110" spans="6:20" ht="30" customHeight="1">
      <c r="F110" t="s">
        <v>99</v>
      </c>
      <c r="G110" s="2" cm="1">
        <f t="array" ref="G110">_xlfn.LET(_xlpm.d,G$2:G$85,_xlpm.f,$A$2:$A$85,_xlpm.g,$B$2:$B$85,_xlpm.k,$F110,AVERAGE(_xlfn._xlws.FILTER(_xlpm.d,(_xlpm.f=_xlpm.k)*(_xlpm.g=0))))</f>
        <v>1</v>
      </c>
      <c r="H110" s="2" cm="1">
        <f t="array" ref="H110">_xlfn.LET(_xlpm.d,H$2:H$85,_xlpm.f,$A$2:$A$85,_xlpm.g,$B$2:$B$85,_xlpm.k,$F110,AVERAGE(_xlfn._xlws.FILTER(_xlpm.d,(_xlpm.f=_xlpm.k)*(_xlpm.g=0))))</f>
        <v>1</v>
      </c>
      <c r="I110" s="2" cm="1">
        <f t="array" ref="I110">_xlfn.LET(_xlpm.d,I$2:I$85,_xlpm.f,$A$2:$A$85,_xlpm.g,$B$2:$B$85,_xlpm.k,$F110,AVERAGE(_xlfn._xlws.FILTER(_xlpm.d,(_xlpm.f=_xlpm.k)*(_xlpm.g=0))))</f>
        <v>1</v>
      </c>
      <c r="J110" s="2" cm="1">
        <f t="array" ref="J110">_xlfn.LET(_xlpm.d,J$2:J$85,_xlpm.f,$A$2:$A$85,_xlpm.g,$B$2:$B$85,_xlpm.k,$F110,AVERAGE(_xlfn._xlws.FILTER(_xlpm.d,(_xlpm.f=_xlpm.k)*(_xlpm.g=0))))</f>
        <v>1</v>
      </c>
      <c r="K110" s="2" cm="1">
        <f t="array" ref="K110">_xlfn.LET(_xlpm.d,K$2:K$85,_xlpm.f,$A$2:$A$85,_xlpm.g,$B$2:$B$85,_xlpm.k,$F110,AVERAGE(_xlfn._xlws.FILTER(_xlpm.d,(_xlpm.f=_xlpm.k)*(_xlpm.g=0))))</f>
        <v>0.99422175371455701</v>
      </c>
      <c r="L110" s="2" cm="1">
        <f t="array" ref="L110">_xlfn.LET(_xlpm.d,L$2:L$85,_xlpm.f,$A$2:$A$85,_xlpm.g,$B$2:$B$85,_xlpm.k,$F110,AVERAGE(_xlfn._xlws.FILTER(_xlpm.d,(_xlpm.f=_xlpm.k)*(_xlpm.g=0))))</f>
        <v>0.99532799881126488</v>
      </c>
      <c r="M110" s="2" cm="1">
        <f t="array" ref="M110">_xlfn.LET(_xlpm.d,M$2:M$85,_xlpm.f,$A$2:$A$85,_xlpm.g,$B$2:$B$85,_xlpm.k,$F110,AVERAGE(_xlfn._xlws.FILTER(_xlpm.d,(_xlpm.f=_xlpm.k)*(_xlpm.g=0))))</f>
        <v>1</v>
      </c>
      <c r="N110" s="2" cm="1">
        <f t="array" ref="N110">_xlfn.LET(_xlpm.d,N$2:N$85,_xlpm.f,$A$2:$A$85,_xlpm.g,$B$2:$B$85,_xlpm.k,$F110,AVERAGE(_xlfn._xlws.FILTER(_xlpm.d,(_xlpm.f=_xlpm.k)*(_xlpm.g=0))))</f>
        <v>1</v>
      </c>
      <c r="O110" s="2" cm="1">
        <f t="array" ref="O110">_xlfn.LET(_xlpm.d,O$2:O$85,_xlpm.f,$A$2:$A$85,_xlpm.g,$B$2:$B$85,_xlpm.k,$F110,AVERAGE(_xlfn._xlws.FILTER(_xlpm.d,(_xlpm.f=_xlpm.k)*(_xlpm.g=0))))</f>
        <v>1</v>
      </c>
      <c r="P110" s="2" cm="1">
        <f t="array" ref="P110">_xlfn.LET(_xlpm.d,P$2:P$85,_xlpm.f,$A$2:$A$85,_xlpm.g,$B$2:$B$85,_xlpm.k,$F110,AVERAGE(_xlfn._xlws.FILTER(_xlpm.d,(_xlpm.f=_xlpm.k)*(_xlpm.g=0))))</f>
        <v>1</v>
      </c>
      <c r="Q110" s="2" cm="1">
        <f t="array" ref="Q110">_xlfn.LET(_xlpm.d,Q$2:Q$85,_xlpm.f,$A$2:$A$85,_xlpm.g,$B$2:$B$85,_xlpm.k,$F110,AVERAGE(_xlfn._xlws.FILTER(_xlpm.d,(_xlpm.f=_xlpm.k)*(_xlpm.g=0))))</f>
        <v>0.99201494936998336</v>
      </c>
      <c r="R110" s="2" cm="1">
        <f t="array" ref="R110">_xlfn.LET(_xlpm.d,R$2:R$85,_xlpm.f,$A$2:$A$85,_xlpm.g,$B$2:$B$85,_xlpm.k,$F110,AVERAGE(_xlfn._xlws.FILTER(_xlpm.d,(_xlpm.f=_xlpm.k)*(_xlpm.g=0))))</f>
        <v>0.98959131708814818</v>
      </c>
      <c r="S110" s="2" cm="1">
        <f t="array" ref="S110">_xlfn.LET(_xlpm.d,S$2:S$85,_xlpm.f,$A$2:$A$85,_xlpm.g,$B$2:$B$85,_xlpm.k,$F110,AVERAGE(_xlfn._xlws.FILTER(_xlpm.d,(_xlpm.f=_xlpm.k)*(_xlpm.g=0))))</f>
        <v>0.99171270718232041</v>
      </c>
      <c r="T110" s="2" cm="1">
        <f t="array" ref="T110">_xlfn.LET(_xlpm.d,T$2:T$85,_xlpm.f,$A$2:$A$85,_xlpm.g,$B$2:$B$85,_xlpm.k,$F110,AVERAGE(_xlfn._xlws.FILTER(_xlpm.d,(_xlpm.f=_xlpm.k)*(_xlpm.g=0))))</f>
        <v>0.99714374816663653</v>
      </c>
    </row>
    <row r="111" spans="6:20" ht="30" customHeight="1">
      <c r="F111" t="s">
        <v>100</v>
      </c>
      <c r="G111" s="2" cm="1">
        <f t="array" ref="G111">_xlfn.LET(_xlpm.d,G$2:G$85,_xlpm.f,$A$2:$A$85,_xlpm.g,$B$2:$B$85,_xlpm.k,$F111,AVERAGE(_xlfn._xlws.FILTER(_xlpm.d,(_xlpm.f=_xlpm.k)*(_xlpm.g=0))))</f>
        <v>0.82232327536660998</v>
      </c>
      <c r="H111" s="2" cm="1">
        <f t="array" ref="H111">_xlfn.LET(_xlpm.d,H$2:H$85,_xlpm.f,$A$2:$A$85,_xlpm.g,$B$2:$B$85,_xlpm.k,$F111,AVERAGE(_xlfn._xlws.FILTER(_xlpm.d,(_xlpm.f=_xlpm.k)*(_xlpm.g=0))))</f>
        <v>0.73632537279090904</v>
      </c>
      <c r="I111" s="2" cm="1">
        <f t="array" ref="I111">_xlfn.LET(_xlpm.d,I$2:I$85,_xlpm.f,$A$2:$A$85,_xlpm.g,$B$2:$B$85,_xlpm.k,$F111,AVERAGE(_xlfn._xlws.FILTER(_xlpm.d,(_xlpm.f=_xlpm.k)*(_xlpm.g=0))))</f>
        <v>0.73493134360856549</v>
      </c>
      <c r="J111" s="2" cm="1">
        <f t="array" ref="J111">_xlfn.LET(_xlpm.d,J$2:J$85,_xlpm.f,$A$2:$A$85,_xlpm.g,$B$2:$B$85,_xlpm.k,$F111,AVERAGE(_xlfn._xlws.FILTER(_xlpm.d,(_xlpm.f=_xlpm.k)*(_xlpm.g=0))))</f>
        <v>0.77857576816778662</v>
      </c>
      <c r="K111" s="2" cm="1">
        <f t="array" ref="K111">_xlfn.LET(_xlpm.d,K$2:K$85,_xlpm.f,$A$2:$A$85,_xlpm.g,$B$2:$B$85,_xlpm.k,$F111,AVERAGE(_xlfn._xlws.FILTER(_xlpm.d,(_xlpm.f=_xlpm.k)*(_xlpm.g=0))))</f>
        <v>0.65895157556086559</v>
      </c>
      <c r="L111" s="2" cm="1">
        <f t="array" ref="L111">_xlfn.LET(_xlpm.d,L$2:L$85,_xlpm.f,$A$2:$A$85,_xlpm.g,$B$2:$B$85,_xlpm.k,$F111,AVERAGE(_xlfn._xlws.FILTER(_xlpm.d,(_xlpm.f=_xlpm.k)*(_xlpm.g=0))))</f>
        <v>0.56882235284577043</v>
      </c>
      <c r="M111" s="2" cm="1">
        <f t="array" ref="M111">_xlfn.LET(_xlpm.d,M$2:M$85,_xlpm.f,$A$2:$A$85,_xlpm.g,$B$2:$B$85,_xlpm.k,$F111,AVERAGE(_xlfn._xlws.FILTER(_xlpm.d,(_xlpm.f=_xlpm.k)*(_xlpm.g=0))))</f>
        <v>0.62295685583600846</v>
      </c>
      <c r="N111" s="2" cm="1">
        <f t="array" ref="N111">_xlfn.LET(_xlpm.d,N$2:N$85,_xlpm.f,$A$2:$A$85,_xlpm.g,$B$2:$B$85,_xlpm.k,$F111,AVERAGE(_xlfn._xlws.FILTER(_xlpm.d,(_xlpm.f=_xlpm.k)*(_xlpm.g=0))))</f>
        <v>0.50508647528112016</v>
      </c>
      <c r="O111" s="2" cm="1">
        <f t="array" ref="O111">_xlfn.LET(_xlpm.d,O$2:O$85,_xlpm.f,$A$2:$A$85,_xlpm.g,$B$2:$B$85,_xlpm.k,$F111,AVERAGE(_xlfn._xlws.FILTER(_xlpm.d,(_xlpm.f=_xlpm.k)*(_xlpm.g=0))))</f>
        <v>0.55660444806107834</v>
      </c>
      <c r="P111" s="2" cm="1">
        <f t="array" ref="P111">_xlfn.LET(_xlpm.d,P$2:P$85,_xlpm.f,$A$2:$A$85,_xlpm.g,$B$2:$B$85,_xlpm.k,$F111,AVERAGE(_xlfn._xlws.FILTER(_xlpm.d,(_xlpm.f=_xlpm.k)*(_xlpm.g=0))))</f>
        <v>0.80509793789663575</v>
      </c>
      <c r="Q111" s="2" cm="1">
        <f t="array" ref="Q111">_xlfn.LET(_xlpm.d,Q$2:Q$85,_xlpm.f,$A$2:$A$85,_xlpm.g,$B$2:$B$85,_xlpm.k,$F111,AVERAGE(_xlfn._xlws.FILTER(_xlpm.d,(_xlpm.f=_xlpm.k)*(_xlpm.g=0))))</f>
        <v>0.72506563687373848</v>
      </c>
      <c r="R111" s="2" cm="1">
        <f t="array" ref="R111">_xlfn.LET(_xlpm.d,R$2:R$85,_xlpm.f,$A$2:$A$85,_xlpm.g,$B$2:$B$85,_xlpm.k,$F111,AVERAGE(_xlfn._xlws.FILTER(_xlpm.d,(_xlpm.f=_xlpm.k)*(_xlpm.g=0))))</f>
        <v>0.58621220357073989</v>
      </c>
      <c r="S111" s="2" cm="1">
        <f t="array" ref="S111">_xlfn.LET(_xlpm.d,S$2:S$85,_xlpm.f,$A$2:$A$85,_xlpm.g,$B$2:$B$85,_xlpm.k,$F111,AVERAGE(_xlfn._xlws.FILTER(_xlpm.d,(_xlpm.f=_xlpm.k)*(_xlpm.g=0))))</f>
        <v>0.71323737328619019</v>
      </c>
      <c r="T111" s="2" cm="1">
        <f t="array" ref="T111">_xlfn.LET(_xlpm.d,T$2:T$85,_xlpm.f,$A$2:$A$85,_xlpm.g,$B$2:$B$85,_xlpm.k,$F111,AVERAGE(_xlfn._xlws.FILTER(_xlpm.d,(_xlpm.f=_xlpm.k)*(_xlpm.g=0))))</f>
        <v>0.67801466301123225</v>
      </c>
    </row>
    <row r="112" spans="6:20" ht="30" customHeight="1">
      <c r="F112" t="s">
        <v>42</v>
      </c>
      <c r="G112" s="2" cm="1">
        <f t="array" ref="G112">_xlfn.LET(_xlpm.d,G$2:G$85,_xlpm.f,$A$2:$A$85,_xlpm.g,$B$2:$B$85,_xlpm.k,$F112,AVERAGE(_xlfn._xlws.FILTER(_xlpm.d,(_xlpm.f=_xlpm.k)*(_xlpm.g=0))))</f>
        <v>0.98952324478739218</v>
      </c>
      <c r="H112" s="2" cm="1">
        <f t="array" ref="H112">_xlfn.LET(_xlpm.d,H$2:H$85,_xlpm.f,$A$2:$A$85,_xlpm.g,$B$2:$B$85,_xlpm.k,$F112,AVERAGE(_xlfn._xlws.FILTER(_xlpm.d,(_xlpm.f=_xlpm.k)*(_xlpm.g=0))))</f>
        <v>0.98896338604453249</v>
      </c>
      <c r="I112" s="2" cm="1">
        <f t="array" ref="I112">_xlfn.LET(_xlpm.d,I$2:I$85,_xlpm.f,$A$2:$A$85,_xlpm.g,$B$2:$B$85,_xlpm.k,$F112,AVERAGE(_xlfn._xlws.FILTER(_xlpm.d,(_xlpm.f=_xlpm.k)*(_xlpm.g=0))))</f>
        <v>0.98248841747666849</v>
      </c>
      <c r="J112" s="2" cm="1">
        <f t="array" ref="J112">_xlfn.LET(_xlpm.d,J$2:J$85,_xlpm.f,$A$2:$A$85,_xlpm.g,$B$2:$B$85,_xlpm.k,$F112,AVERAGE(_xlfn._xlws.FILTER(_xlpm.d,(_xlpm.f=_xlpm.k)*(_xlpm.g=0))))</f>
        <v>0.9845422741440083</v>
      </c>
      <c r="K112" s="2" cm="1">
        <f t="array" ref="K112">_xlfn.LET(_xlpm.d,K$2:K$85,_xlpm.f,$A$2:$A$85,_xlpm.g,$B$2:$B$85,_xlpm.k,$F112,AVERAGE(_xlfn._xlws.FILTER(_xlpm.d,(_xlpm.f=_xlpm.k)*(_xlpm.g=0))))</f>
        <v>0.96527063313384387</v>
      </c>
      <c r="L112" s="2" cm="1">
        <f t="array" ref="L112">_xlfn.LET(_xlpm.d,L$2:L$85,_xlpm.f,$A$2:$A$85,_xlpm.g,$B$2:$B$85,_xlpm.k,$F112,AVERAGE(_xlfn._xlws.FILTER(_xlpm.d,(_xlpm.f=_xlpm.k)*(_xlpm.g=0))))</f>
        <v>0.96194836061591527</v>
      </c>
      <c r="M112" s="2" cm="1">
        <f t="array" ref="M112">_xlfn.LET(_xlpm.d,M$2:M$85,_xlpm.f,$A$2:$A$85,_xlpm.g,$B$2:$B$85,_xlpm.k,$F112,AVERAGE(_xlfn._xlws.FILTER(_xlpm.d,(_xlpm.f=_xlpm.k)*(_xlpm.g=0))))</f>
        <v>0.9634353848714422</v>
      </c>
      <c r="N112" s="2" cm="1">
        <f t="array" ref="N112">_xlfn.LET(_xlpm.d,N$2:N$85,_xlpm.f,$A$2:$A$85,_xlpm.g,$B$2:$B$85,_xlpm.k,$F112,AVERAGE(_xlfn._xlws.FILTER(_xlpm.d,(_xlpm.f=_xlpm.k)*(_xlpm.g=0))))</f>
        <v>0.92578564228373139</v>
      </c>
      <c r="O112" s="2" cm="1">
        <f t="array" ref="O112">_xlfn.LET(_xlpm.d,O$2:O$85,_xlpm.f,$A$2:$A$85,_xlpm.g,$B$2:$B$85,_xlpm.k,$F112,AVERAGE(_xlfn._xlws.FILTER(_xlpm.d,(_xlpm.f=_xlpm.k)*(_xlpm.g=0))))</f>
        <v>0.95661987245050095</v>
      </c>
      <c r="P112" s="2" cm="1">
        <f t="array" ref="P112">_xlfn.LET(_xlpm.d,P$2:P$85,_xlpm.f,$A$2:$A$85,_xlpm.g,$B$2:$B$85,_xlpm.k,$F112,AVERAGE(_xlfn._xlws.FILTER(_xlpm.d,(_xlpm.f=_xlpm.k)*(_xlpm.g=0))))</f>
        <v>0.95587723681847603</v>
      </c>
      <c r="Q112" s="2" cm="1">
        <f t="array" ref="Q112">_xlfn.LET(_xlpm.d,Q$2:Q$85,_xlpm.f,$A$2:$A$85,_xlpm.g,$B$2:$B$85,_xlpm.k,$F112,AVERAGE(_xlfn._xlws.FILTER(_xlpm.d,(_xlpm.f=_xlpm.k)*(_xlpm.g=0))))</f>
        <v>0.971239312573834</v>
      </c>
      <c r="R112" s="2" cm="1">
        <f t="array" ref="R112">_xlfn.LET(_xlpm.d,R$2:R$85,_xlpm.f,$A$2:$A$85,_xlpm.g,$B$2:$B$85,_xlpm.k,$F112,AVERAGE(_xlfn._xlws.FILTER(_xlpm.d,(_xlpm.f=_xlpm.k)*(_xlpm.g=0))))</f>
        <v>0.96660657729715072</v>
      </c>
      <c r="S112" s="2" cm="1">
        <f t="array" ref="S112">_xlfn.LET(_xlpm.d,S$2:S$85,_xlpm.f,$A$2:$A$85,_xlpm.g,$B$2:$B$85,_xlpm.k,$F112,AVERAGE(_xlfn._xlws.FILTER(_xlpm.d,(_xlpm.f=_xlpm.k)*(_xlpm.g=0))))</f>
        <v>0.9590329952404143</v>
      </c>
      <c r="T112" s="2" cm="1">
        <f t="array" ref="T112">_xlfn.LET(_xlpm.d,T$2:T$85,_xlpm.f,$A$2:$A$85,_xlpm.g,$B$2:$B$85,_xlpm.k,$F112,AVERAGE(_xlfn._xlws.FILTER(_xlpm.d,(_xlpm.f=_xlpm.k)*(_xlpm.g=0))))</f>
        <v>0.96702564136445457</v>
      </c>
    </row>
    <row r="113" spans="6:20" ht="30" customHeight="1">
      <c r="F113" t="s">
        <v>102</v>
      </c>
      <c r="G113" s="2" cm="1">
        <f t="array" ref="G113">_xlfn.LET(_xlpm.d,G$2:G$85,_xlpm.f,$A$2:$A$85,_xlpm.g,$B$2:$B$85,_xlpm.k,$F113,AVERAGE(_xlfn._xlws.FILTER(_xlpm.d,(_xlpm.f=_xlpm.k)*(_xlpm.g=0))))</f>
        <v>0.63778853808021629</v>
      </c>
      <c r="H113" s="2" cm="1">
        <f t="array" ref="H113">_xlfn.LET(_xlpm.d,H$2:H$85,_xlpm.f,$A$2:$A$85,_xlpm.g,$B$2:$B$85,_xlpm.k,$F113,AVERAGE(_xlfn._xlws.FILTER(_xlpm.d,(_xlpm.f=_xlpm.k)*(_xlpm.g=0))))</f>
        <v>0.57869765356855341</v>
      </c>
      <c r="I113" s="2" cm="1">
        <f t="array" ref="I113">_xlfn.LET(_xlpm.d,I$2:I$85,_xlpm.f,$A$2:$A$85,_xlpm.g,$B$2:$B$85,_xlpm.k,$F113,AVERAGE(_xlfn._xlws.FILTER(_xlpm.d,(_xlpm.f=_xlpm.k)*(_xlpm.g=0))))</f>
        <v>0.66830350927179438</v>
      </c>
      <c r="J113" s="2" cm="1">
        <f t="array" ref="J113">_xlfn.LET(_xlpm.d,J$2:J$85,_xlpm.f,$A$2:$A$85,_xlpm.g,$B$2:$B$85,_xlpm.k,$F113,AVERAGE(_xlfn._xlws.FILTER(_xlpm.d,(_xlpm.f=_xlpm.k)*(_xlpm.g=0))))</f>
        <v>0.55920384275936819</v>
      </c>
      <c r="K113" s="2" cm="1">
        <f t="array" ref="K113">_xlfn.LET(_xlpm.d,K$2:K$85,_xlpm.f,$A$2:$A$85,_xlpm.g,$B$2:$B$85,_xlpm.k,$F113,AVERAGE(_xlfn._xlws.FILTER(_xlpm.d,(_xlpm.f=_xlpm.k)*(_xlpm.g=0))))</f>
        <v>0.44189426175703755</v>
      </c>
      <c r="L113" s="2" cm="1">
        <f t="array" ref="L113">_xlfn.LET(_xlpm.d,L$2:L$85,_xlpm.f,$A$2:$A$85,_xlpm.g,$B$2:$B$85,_xlpm.k,$F113,AVERAGE(_xlfn._xlws.FILTER(_xlpm.d,(_xlpm.f=_xlpm.k)*(_xlpm.g=0))))</f>
        <v>0.58381638933186208</v>
      </c>
      <c r="M113" s="2" cm="1">
        <f t="array" ref="M113">_xlfn.LET(_xlpm.d,M$2:M$85,_xlpm.f,$A$2:$A$85,_xlpm.g,$B$2:$B$85,_xlpm.k,$F113,AVERAGE(_xlfn._xlws.FILTER(_xlpm.d,(_xlpm.f=_xlpm.k)*(_xlpm.g=0))))</f>
        <v>0.69480168513508767</v>
      </c>
      <c r="N113" s="2" cm="1">
        <f t="array" ref="N113">_xlfn.LET(_xlpm.d,N$2:N$85,_xlpm.f,$A$2:$A$85,_xlpm.g,$B$2:$B$85,_xlpm.k,$F113,AVERAGE(_xlfn._xlws.FILTER(_xlpm.d,(_xlpm.f=_xlpm.k)*(_xlpm.g=0))))</f>
        <v>0.58236112927688288</v>
      </c>
      <c r="O113" s="2" cm="1">
        <f t="array" ref="O113">_xlfn.LET(_xlpm.d,O$2:O$85,_xlpm.f,$A$2:$A$85,_xlpm.g,$B$2:$B$85,_xlpm.k,$F113,AVERAGE(_xlfn._xlws.FILTER(_xlpm.d,(_xlpm.f=_xlpm.k)*(_xlpm.g=0))))</f>
        <v>0.4890870260775057</v>
      </c>
      <c r="P113" s="2" cm="1">
        <f t="array" ref="P113">_xlfn.LET(_xlpm.d,P$2:P$85,_xlpm.f,$A$2:$A$85,_xlpm.g,$B$2:$B$85,_xlpm.k,$F113,AVERAGE(_xlfn._xlws.FILTER(_xlpm.d,(_xlpm.f=_xlpm.k)*(_xlpm.g=0))))</f>
        <v>0.42238761172539946</v>
      </c>
      <c r="Q113" s="2" cm="1">
        <f t="array" ref="Q113">_xlfn.LET(_xlpm.d,Q$2:Q$85,_xlpm.f,$A$2:$A$85,_xlpm.g,$B$2:$B$85,_xlpm.k,$F113,AVERAGE(_xlfn._xlws.FILTER(_xlpm.d,(_xlpm.f=_xlpm.k)*(_xlpm.g=0))))</f>
        <v>0.48333017186181876</v>
      </c>
      <c r="R113" s="2" cm="1">
        <f t="array" ref="R113">_xlfn.LET(_xlpm.d,R$2:R$85,_xlpm.f,$A$2:$A$85,_xlpm.g,$B$2:$B$85,_xlpm.k,$F113,AVERAGE(_xlfn._xlws.FILTER(_xlpm.d,(_xlpm.f=_xlpm.k)*(_xlpm.g=0))))</f>
        <v>0.32425396503252668</v>
      </c>
      <c r="S113" s="2" cm="1">
        <f t="array" ref="S113">_xlfn.LET(_xlpm.d,S$2:S$85,_xlpm.f,$A$2:$A$85,_xlpm.g,$B$2:$B$85,_xlpm.k,$F113,AVERAGE(_xlfn._xlws.FILTER(_xlpm.d,(_xlpm.f=_xlpm.k)*(_xlpm.g=0))))</f>
        <v>0.34936094068652329</v>
      </c>
      <c r="T113" s="2" cm="1">
        <f t="array" ref="T113">_xlfn.LET(_xlpm.d,T$2:T$85,_xlpm.f,$A$2:$A$85,_xlpm.g,$B$2:$B$85,_xlpm.k,$F113,AVERAGE(_xlfn._xlws.FILTER(_xlpm.d,(_xlpm.f=_xlpm.k)*(_xlpm.g=0))))</f>
        <v>0.5237966094189993</v>
      </c>
    </row>
    <row r="114" spans="6:20" ht="30" customHeight="1">
      <c r="F114" t="s">
        <v>103</v>
      </c>
      <c r="G114" s="2" cm="1">
        <f t="array" ref="G114">_xlfn.LET(_xlpm.d,G$2:G$85,_xlpm.f,$A$2:$A$85,_xlpm.g,$B$2:$B$85,_xlpm.k,$F114,AVERAGE(_xlfn._xlws.FILTER(_xlpm.d,(_xlpm.f=_xlpm.k)*(_xlpm.g=0))))</f>
        <v>0.71339791927323104</v>
      </c>
      <c r="H114" s="2" cm="1">
        <f t="array" ref="H114">_xlfn.LET(_xlpm.d,H$2:H$85,_xlpm.f,$A$2:$A$85,_xlpm.g,$B$2:$B$85,_xlpm.k,$F114,AVERAGE(_xlfn._xlws.FILTER(_xlpm.d,(_xlpm.f=_xlpm.k)*(_xlpm.g=0))))</f>
        <v>0.6348760979382112</v>
      </c>
      <c r="I114" s="2" cm="1">
        <f t="array" ref="I114">_xlfn.LET(_xlpm.d,I$2:I$85,_xlpm.f,$A$2:$A$85,_xlpm.g,$B$2:$B$85,_xlpm.k,$F114,AVERAGE(_xlfn._xlws.FILTER(_xlpm.d,(_xlpm.f=_xlpm.k)*(_xlpm.g=0))))</f>
        <v>0.61084779203757278</v>
      </c>
      <c r="J114" s="2" cm="1">
        <f t="array" ref="J114">_xlfn.LET(_xlpm.d,J$2:J$85,_xlpm.f,$A$2:$A$85,_xlpm.g,$B$2:$B$85,_xlpm.k,$F114,AVERAGE(_xlfn._xlws.FILTER(_xlpm.d,(_xlpm.f=_xlpm.k)*(_xlpm.g=0))))</f>
        <v>0.59855679151869468</v>
      </c>
      <c r="K114" s="2" cm="1">
        <f t="array" ref="K114">_xlfn.LET(_xlpm.d,K$2:K$85,_xlpm.f,$A$2:$A$85,_xlpm.g,$B$2:$B$85,_xlpm.k,$F114,AVERAGE(_xlfn._xlws.FILTER(_xlpm.d,(_xlpm.f=_xlpm.k)*(_xlpm.g=0))))</f>
        <v>0.60093884074383441</v>
      </c>
      <c r="L114" s="2" cm="1">
        <f t="array" ref="L114">_xlfn.LET(_xlpm.d,L$2:L$85,_xlpm.f,$A$2:$A$85,_xlpm.g,$B$2:$B$85,_xlpm.k,$F114,AVERAGE(_xlfn._xlws.FILTER(_xlpm.d,(_xlpm.f=_xlpm.k)*(_xlpm.g=0))))</f>
        <v>0.59669753719137753</v>
      </c>
      <c r="M114" s="2" cm="1">
        <f t="array" ref="M114">_xlfn.LET(_xlpm.d,M$2:M$85,_xlpm.f,$A$2:$A$85,_xlpm.g,$B$2:$B$85,_xlpm.k,$F114,AVERAGE(_xlfn._xlws.FILTER(_xlpm.d,(_xlpm.f=_xlpm.k)*(_xlpm.g=0))))</f>
        <v>0.46046279753748903</v>
      </c>
      <c r="N114" s="2" cm="1">
        <f t="array" ref="N114">_xlfn.LET(_xlpm.d,N$2:N$85,_xlpm.f,$A$2:$A$85,_xlpm.g,$B$2:$B$85,_xlpm.k,$F114,AVERAGE(_xlfn._xlws.FILTER(_xlpm.d,(_xlpm.f=_xlpm.k)*(_xlpm.g=0))))</f>
        <v>0.46201191076662901</v>
      </c>
      <c r="O114" s="2" cm="1">
        <f t="array" ref="O114">_xlfn.LET(_xlpm.d,O$2:O$85,_xlpm.f,$A$2:$A$85,_xlpm.g,$B$2:$B$85,_xlpm.k,$F114,AVERAGE(_xlfn._xlws.FILTER(_xlpm.d,(_xlpm.f=_xlpm.k)*(_xlpm.g=0))))</f>
        <v>0.47500909520656337</v>
      </c>
      <c r="P114" s="2" cm="1">
        <f t="array" ref="P114">_xlfn.LET(_xlpm.d,P$2:P$85,_xlpm.f,$A$2:$A$85,_xlpm.g,$B$2:$B$85,_xlpm.k,$F114,AVERAGE(_xlfn._xlws.FILTER(_xlpm.d,(_xlpm.f=_xlpm.k)*(_xlpm.g=0))))</f>
        <v>0.57193076844951862</v>
      </c>
      <c r="Q114" s="2" cm="1">
        <f t="array" ref="Q114">_xlfn.LET(_xlpm.d,Q$2:Q$85,_xlpm.f,$A$2:$A$85,_xlpm.g,$B$2:$B$85,_xlpm.k,$F114,AVERAGE(_xlfn._xlws.FILTER(_xlpm.d,(_xlpm.f=_xlpm.k)*(_xlpm.g=0))))</f>
        <v>0.54622552082390086</v>
      </c>
      <c r="R114" s="2" cm="1">
        <f t="array" ref="R114">_xlfn.LET(_xlpm.d,R$2:R$85,_xlpm.f,$A$2:$A$85,_xlpm.g,$B$2:$B$85,_xlpm.k,$F114,AVERAGE(_xlfn._xlws.FILTER(_xlpm.d,(_xlpm.f=_xlpm.k)*(_xlpm.g=0))))</f>
        <v>0.28509067867030213</v>
      </c>
      <c r="S114" s="2" cm="1">
        <f t="array" ref="S114">_xlfn.LET(_xlpm.d,S$2:S$85,_xlpm.f,$A$2:$A$85,_xlpm.g,$B$2:$B$85,_xlpm.k,$F114,AVERAGE(_xlfn._xlws.FILTER(_xlpm.d,(_xlpm.f=_xlpm.k)*(_xlpm.g=0))))</f>
        <v>0.56402656629871839</v>
      </c>
      <c r="T114" s="2" cm="1">
        <f t="array" ref="T114">_xlfn.LET(_xlpm.d,T$2:T$85,_xlpm.f,$A$2:$A$85,_xlpm.g,$B$2:$B$85,_xlpm.k,$F114,AVERAGE(_xlfn._xlws.FILTER(_xlpm.d,(_xlpm.f=_xlpm.k)*(_xlpm.g=0))))</f>
        <v>0.54769787049661878</v>
      </c>
    </row>
    <row r="115" spans="6:20" ht="30" customHeight="1">
      <c r="F115" t="s">
        <v>101</v>
      </c>
      <c r="G115" s="2" cm="1">
        <f t="array" ref="G115">_xlfn.LET(_xlpm.d,G$2:G$85,_xlpm.f,$A$2:$A$85,_xlpm.g,$B$2:$B$85,_xlpm.k,$F115,AVERAGE(_xlfn._xlws.FILTER(_xlpm.d,(_xlpm.f=_xlpm.k)*(_xlpm.g=0))))</f>
        <v>0.66982942463740047</v>
      </c>
      <c r="H115" s="2" cm="1">
        <f t="array" ref="H115">_xlfn.LET(_xlpm.d,H$2:H$85,_xlpm.f,$A$2:$A$85,_xlpm.g,$B$2:$B$85,_xlpm.k,$F115,AVERAGE(_xlfn._xlws.FILTER(_xlpm.d,(_xlpm.f=_xlpm.k)*(_xlpm.g=0))))</f>
        <v>0.66803591640070703</v>
      </c>
      <c r="I115" s="2" cm="1">
        <f t="array" ref="I115">_xlfn.LET(_xlpm.d,I$2:I$85,_xlpm.f,$A$2:$A$85,_xlpm.g,$B$2:$B$85,_xlpm.k,$F115,AVERAGE(_xlfn._xlws.FILTER(_xlpm.d,(_xlpm.f=_xlpm.k)*(_xlpm.g=0))))</f>
        <v>0.66434324682795542</v>
      </c>
      <c r="J115" s="2" cm="1">
        <f t="array" ref="J115">_xlfn.LET(_xlpm.d,J$2:J$85,_xlpm.f,$A$2:$A$85,_xlpm.g,$B$2:$B$85,_xlpm.k,$F115,AVERAGE(_xlfn._xlws.FILTER(_xlpm.d,(_xlpm.f=_xlpm.k)*(_xlpm.g=0))))</f>
        <v>0.52388510277605382</v>
      </c>
      <c r="K115" s="2" cm="1">
        <f t="array" ref="K115">_xlfn.LET(_xlpm.d,K$2:K$85,_xlpm.f,$A$2:$A$85,_xlpm.g,$B$2:$B$85,_xlpm.k,$F115,AVERAGE(_xlfn._xlws.FILTER(_xlpm.d,(_xlpm.f=_xlpm.k)*(_xlpm.g=0))))</f>
        <v>0.5750368471865297</v>
      </c>
      <c r="L115" s="2" cm="1">
        <f t="array" ref="L115">_xlfn.LET(_xlpm.d,L$2:L$85,_xlpm.f,$A$2:$A$85,_xlpm.g,$B$2:$B$85,_xlpm.k,$F115,AVERAGE(_xlfn._xlws.FILTER(_xlpm.d,(_xlpm.f=_xlpm.k)*(_xlpm.g=0))))</f>
        <v>0.5463585341988233</v>
      </c>
      <c r="M115" s="2" cm="1">
        <f t="array" ref="M115">_xlfn.LET(_xlpm.d,M$2:M$85,_xlpm.f,$A$2:$A$85,_xlpm.g,$B$2:$B$85,_xlpm.k,$F115,AVERAGE(_xlfn._xlws.FILTER(_xlpm.d,(_xlpm.f=_xlpm.k)*(_xlpm.g=0))))</f>
        <v>0.64630087456951313</v>
      </c>
      <c r="N115" s="2" cm="1">
        <f t="array" ref="N115">_xlfn.LET(_xlpm.d,N$2:N$85,_xlpm.f,$A$2:$A$85,_xlpm.g,$B$2:$B$85,_xlpm.k,$F115,AVERAGE(_xlfn._xlws.FILTER(_xlpm.d,(_xlpm.f=_xlpm.k)*(_xlpm.g=0))))</f>
        <v>0.6238183820783082</v>
      </c>
      <c r="O115" s="2" cm="1">
        <f t="array" ref="O115">_xlfn.LET(_xlpm.d,O$2:O$85,_xlpm.f,$A$2:$A$85,_xlpm.g,$B$2:$B$85,_xlpm.k,$F115,AVERAGE(_xlfn._xlws.FILTER(_xlpm.d,(_xlpm.f=_xlpm.k)*(_xlpm.g=0))))</f>
        <v>0.63335351657054895</v>
      </c>
      <c r="P115" s="2" cm="1">
        <f t="array" ref="P115">_xlfn.LET(_xlpm.d,P$2:P$85,_xlpm.f,$A$2:$A$85,_xlpm.g,$B$2:$B$85,_xlpm.k,$F115,AVERAGE(_xlfn._xlws.FILTER(_xlpm.d,(_xlpm.f=_xlpm.k)*(_xlpm.g=0))))</f>
        <v>0.72852782768375901</v>
      </c>
      <c r="Q115" s="2" cm="1">
        <f t="array" ref="Q115">_xlfn.LET(_xlpm.d,Q$2:Q$85,_xlpm.f,$A$2:$A$85,_xlpm.g,$B$2:$B$85,_xlpm.k,$F115,AVERAGE(_xlfn._xlws.FILTER(_xlpm.d,(_xlpm.f=_xlpm.k)*(_xlpm.g=0))))</f>
        <v>0.50567210787919625</v>
      </c>
      <c r="R115" s="2" cm="1">
        <f t="array" ref="R115">_xlfn.LET(_xlpm.d,R$2:R$85,_xlpm.f,$A$2:$A$85,_xlpm.g,$B$2:$B$85,_xlpm.k,$F115,AVERAGE(_xlfn._xlws.FILTER(_xlpm.d,(_xlpm.f=_xlpm.k)*(_xlpm.g=0))))</f>
        <v>0.61026230315352903</v>
      </c>
      <c r="S115" s="2" cm="1">
        <f t="array" ref="S115">_xlfn.LET(_xlpm.d,S$2:S$85,_xlpm.f,$A$2:$A$85,_xlpm.g,$B$2:$B$85,_xlpm.k,$F115,AVERAGE(_xlfn._xlws.FILTER(_xlpm.d,(_xlpm.f=_xlpm.k)*(_xlpm.g=0))))</f>
        <v>0.75785966653499715</v>
      </c>
      <c r="T115" s="2" cm="1">
        <f t="array" ref="T115">_xlfn.LET(_xlpm.d,T$2:T$85,_xlpm.f,$A$2:$A$85,_xlpm.g,$B$2:$B$85,_xlpm.k,$F115,AVERAGE(_xlfn._xlws.FILTER(_xlpm.d,(_xlpm.f=_xlpm.k)*(_xlpm.g=0))))</f>
        <v>0.62717567311517852</v>
      </c>
    </row>
    <row r="117" spans="6:20" ht="30" customHeight="1">
      <c r="F117" t="s">
        <v>44</v>
      </c>
    </row>
    <row r="118" spans="6:20" ht="30" customHeight="1">
      <c r="F118" t="s">
        <v>37</v>
      </c>
      <c r="G118" s="2" cm="1">
        <f t="array" ref="G118">_xlfn.LET(_xlpm.d,G$2:G$85,_xlpm.g,$B$2:$B$85,AVERAGE(_xlfn._xlws.FILTER(_xlpm.d,(_xlpm.g=0))))</f>
        <v>0.7749651993738228</v>
      </c>
      <c r="H118" s="2" cm="1">
        <f t="array" ref="H118">_xlfn.LET(_xlpm.d,H$2:H$85,_xlpm.g,$B$2:$B$85,AVERAGE(_xlfn._xlws.FILTER(_xlpm.d,(_xlpm.g=0))))</f>
        <v>0.74247696039504174</v>
      </c>
      <c r="I118" s="2" cm="1">
        <f t="array" ref="I118">_xlfn.LET(_xlpm.d,I$2:I$85,_xlpm.g,$B$2:$B$85,AVERAGE(_xlfn._xlws.FILTER(_xlpm.d,(_xlpm.g=0))))</f>
        <v>0.73856962694681705</v>
      </c>
      <c r="J118" s="2" cm="1">
        <f t="array" ref="J118">_xlfn.LET(_xlpm.d,J$2:J$85,_xlpm.g,$B$2:$B$85,AVERAGE(_xlfn._xlws.FILTER(_xlpm.d,(_xlpm.g=0))))</f>
        <v>0.70026797791846207</v>
      </c>
      <c r="K118" s="2" cm="1">
        <f t="array" ref="K118">_xlfn.LET(_xlpm.d,K$2:K$85,_xlpm.g,$B$2:$B$85,AVERAGE(_xlfn._xlws.FILTER(_xlpm.d,(_xlpm.g=0))))</f>
        <v>0.68936416709433779</v>
      </c>
      <c r="L118" s="2" cm="1">
        <f t="array" ref="L118">_xlfn.LET(_xlpm.d,L$2:L$85,_xlpm.g,$B$2:$B$85,AVERAGE(_xlfn._xlws.FILTER(_xlpm.d,(_xlpm.g=0))))</f>
        <v>0.68727161501232947</v>
      </c>
      <c r="M118" s="2" cm="1">
        <f t="array" ref="M118">_xlfn.LET(_xlpm.d,M$2:M$85,_xlpm.g,$B$2:$B$85,AVERAGE(_xlfn._xlws.FILTER(_xlpm.d,(_xlpm.g=0))))</f>
        <v>0.68070347692417932</v>
      </c>
      <c r="N118" s="2" cm="1">
        <f t="array" ref="N118">_xlfn.LET(_xlpm.d,N$2:N$85,_xlpm.g,$B$2:$B$85,AVERAGE(_xlfn._xlws.FILTER(_xlpm.d,(_xlpm.g=0))))</f>
        <v>0.65972169954622428</v>
      </c>
      <c r="O118" s="2" cm="1">
        <f t="array" ref="O118">_xlfn.LET(_xlpm.d,O$2:O$85,_xlpm.g,$B$2:$B$85,AVERAGE(_xlfn._xlws.FILTER(_xlpm.d,(_xlpm.g=0))))</f>
        <v>0.67121526453436908</v>
      </c>
      <c r="P118" s="2" cm="1">
        <f t="array" ref="P118">_xlfn.LET(_xlpm.d,P$2:P$85,_xlpm.g,$B$2:$B$85,AVERAGE(_xlfn._xlws.FILTER(_xlpm.d,(_xlpm.g=0))))</f>
        <v>0.69195614238481751</v>
      </c>
      <c r="Q118" s="2" cm="1">
        <f t="array" ref="Q118">_xlfn.LET(_xlpm.d,Q$2:Q$85,_xlpm.g,$B$2:$B$85,AVERAGE(_xlfn._xlws.FILTER(_xlpm.d,(_xlpm.g=0))))</f>
        <v>0.66130799649419136</v>
      </c>
      <c r="R118" s="2" cm="1">
        <f t="array" ref="R118">_xlfn.LET(_xlpm.d,R$2:R$85,_xlpm.g,$B$2:$B$85,AVERAGE(_xlfn._xlws.FILTER(_xlpm.d,(_xlpm.g=0))))</f>
        <v>0.64548737008416868</v>
      </c>
      <c r="S118" s="2" cm="1">
        <f t="array" ref="S118">_xlfn.LET(_xlpm.d,S$2:S$85,_xlpm.g,$B$2:$B$85,AVERAGE(_xlfn._xlws.FILTER(_xlpm.d,(_xlpm.g=0))))</f>
        <v>0.63886239402115974</v>
      </c>
      <c r="T118" s="2" cm="1">
        <f t="array" ref="T118">_xlfn.LET(_xlpm.d,T$2:T$85,_xlpm.g,$B$2:$B$85,AVERAGE(_xlfn._xlws.FILTER(_xlpm.d,(_xlpm.g=0))))</f>
        <v>0.6904596330607502</v>
      </c>
    </row>
    <row r="119" spans="6:20" ht="30" customHeight="1">
      <c r="F119" t="s">
        <v>49</v>
      </c>
      <c r="G119" s="2" cm="1">
        <f t="array" ref="G119">_xlfn.LET(_xlpm.d,G$2:G$85,_xlpm.f,$B$2:$B$85,_xlpm.g,$C$2:$C$85,_xlpm.k,$F119,AVERAGE(_xlfn._xlws.FILTER(_xlpm.d,(_xlpm.f=0)*(_xlpm.g=1))))</f>
        <v>0.81590570110312222</v>
      </c>
      <c r="H119" s="2" cm="1">
        <f t="array" ref="H119">_xlfn.LET(_xlpm.d,H$2:H$85,_xlpm.f,$B$2:$B$85,_xlpm.g,$C$2:$C$85,_xlpm.k,$F119,AVERAGE(_xlfn._xlws.FILTER(_xlpm.d,(_xlpm.f=0)*(_xlpm.g=1))))</f>
        <v>0.78744061752200967</v>
      </c>
      <c r="I119" s="2" cm="1">
        <f t="array" ref="I119">_xlfn.LET(_xlpm.d,I$2:I$85,_xlpm.f,$B$2:$B$85,_xlpm.g,$C$2:$C$85,_xlpm.k,$F119,AVERAGE(_xlfn._xlws.FILTER(_xlpm.d,(_xlpm.f=0)*(_xlpm.g=1))))</f>
        <v>0.78865913934794307</v>
      </c>
      <c r="J119" s="2" cm="1">
        <f t="array" ref="J119">_xlfn.LET(_xlpm.d,J$2:J$85,_xlpm.f,$B$2:$B$85,_xlpm.g,$C$2:$C$85,_xlpm.k,$F119,AVERAGE(_xlfn._xlws.FILTER(_xlpm.d,(_xlpm.f=0)*(_xlpm.g=1))))</f>
        <v>0.72933517500258438</v>
      </c>
      <c r="K119" s="2" cm="1">
        <f t="array" ref="K119">_xlfn.LET(_xlpm.d,K$2:K$85,_xlpm.f,$B$2:$B$85,_xlpm.g,$C$2:$C$85,_xlpm.k,$F119,AVERAGE(_xlfn._xlws.FILTER(_xlpm.d,(_xlpm.f=0)*(_xlpm.g=1))))</f>
        <v>0.7259134087873953</v>
      </c>
      <c r="L119" s="2" cm="1">
        <f t="array" ref="L119">_xlfn.LET(_xlpm.d,L$2:L$85,_xlpm.f,$B$2:$B$85,_xlpm.g,$C$2:$C$85,_xlpm.k,$F119,AVERAGE(_xlfn._xlws.FILTER(_xlpm.d,(_xlpm.f=0)*(_xlpm.g=1))))</f>
        <v>0.69682596730649859</v>
      </c>
      <c r="M119" s="2" cm="1">
        <f t="array" ref="M119">_xlfn.LET(_xlpm.d,M$2:M$85,_xlpm.f,$B$2:$B$85,_xlpm.g,$C$2:$C$85,_xlpm.k,$F119,AVERAGE(_xlfn._xlws.FILTER(_xlpm.d,(_xlpm.f=0)*(_xlpm.g=1))))</f>
        <v>0.70590685875173032</v>
      </c>
      <c r="N119" s="2" cm="1">
        <f t="array" ref="N119">_xlfn.LET(_xlpm.d,N$2:N$85,_xlpm.f,$B$2:$B$85,_xlpm.g,$C$2:$C$85,_xlpm.k,$F119,AVERAGE(_xlfn._xlws.FILTER(_xlpm.d,(_xlpm.f=0)*(_xlpm.g=1))))</f>
        <v>0.70450324285698951</v>
      </c>
      <c r="O119" s="2" cm="1">
        <f t="array" ref="O119">_xlfn.LET(_xlpm.d,O$2:O$85,_xlpm.f,$B$2:$B$85,_xlpm.g,$C$2:$C$85,_xlpm.k,$F119,AVERAGE(_xlfn._xlws.FILTER(_xlpm.d,(_xlpm.f=0)*(_xlpm.g=1))))</f>
        <v>0.6814043607511171</v>
      </c>
      <c r="P119" s="2" cm="1">
        <f t="array" ref="P119">_xlfn.LET(_xlpm.d,P$2:P$85,_xlpm.f,$B$2:$B$85,_xlpm.g,$C$2:$C$85,_xlpm.k,$F119,AVERAGE(_xlfn._xlws.FILTER(_xlpm.d,(_xlpm.f=0)*(_xlpm.g=1))))</f>
        <v>0.67170991671168012</v>
      </c>
      <c r="Q119" s="2" cm="1">
        <f t="array" ref="Q119">_xlfn.LET(_xlpm.d,Q$2:Q$85,_xlpm.f,$B$2:$B$85,_xlpm.g,$C$2:$C$85,_xlpm.k,$F119,AVERAGE(_xlfn._xlws.FILTER(_xlpm.d,(_xlpm.f=0)*(_xlpm.g=1))))</f>
        <v>0.71535577466524469</v>
      </c>
      <c r="R119" s="2" cm="1">
        <f t="array" ref="R119">_xlfn.LET(_xlpm.d,R$2:R$85,_xlpm.f,$B$2:$B$85,_xlpm.g,$C$2:$C$85,_xlpm.k,$F119,AVERAGE(_xlfn._xlws.FILTER(_xlpm.d,(_xlpm.f=0)*(_xlpm.g=1))))</f>
        <v>0.60780069204009368</v>
      </c>
      <c r="S119" s="2" cm="1">
        <f t="array" ref="S119">_xlfn.LET(_xlpm.d,S$2:S$85,_xlpm.f,$B$2:$B$85,_xlpm.g,$C$2:$C$85,_xlpm.k,$F119,AVERAGE(_xlfn._xlws.FILTER(_xlpm.d,(_xlpm.f=0)*(_xlpm.g=1))))</f>
        <v>0.65475596992096985</v>
      </c>
      <c r="T119" s="2" cm="1">
        <f t="array" ref="T119">_xlfn.LET(_xlpm.d,T$2:T$85,_xlpm.f,$B$2:$B$85,_xlpm.g,$C$2:$C$85,_xlpm.k,$F119,AVERAGE(_xlfn._xlws.FILTER(_xlpm.d,(_xlpm.f=0)*(_xlpm.g=1))))</f>
        <v>0.71427052498210608</v>
      </c>
    </row>
    <row r="120" spans="6:20" ht="30" customHeight="1">
      <c r="F120" t="s">
        <v>50</v>
      </c>
      <c r="G120" s="2" cm="1">
        <f t="array" ref="G120">_xlfn.LET(_xlpm.d,G$2:G$85,_xlpm.f,$B$2:$B$85,_xlpm.g,$D$2:$D$85,_xlpm.k,$F120,AVERAGE(_xlfn._xlws.FILTER(_xlpm.d,(_xlpm.f=0)*(_xlpm.g=1))))</f>
        <v>0.77045600778804146</v>
      </c>
      <c r="H120" s="2" cm="1">
        <f t="array" ref="H120">_xlfn.LET(_xlpm.d,H$2:H$85,_xlpm.f,$B$2:$B$85,_xlpm.g,$D$2:$D$85,_xlpm.k,$F120,AVERAGE(_xlfn._xlws.FILTER(_xlpm.d,(_xlpm.f=0)*(_xlpm.g=1))))</f>
        <v>0.75605655968467855</v>
      </c>
      <c r="I120" s="2" cm="1">
        <f t="array" ref="I120">_xlfn.LET(_xlpm.d,I$2:I$85,_xlpm.f,$B$2:$B$85,_xlpm.g,$D$2:$D$85,_xlpm.k,$F120,AVERAGE(_xlfn._xlws.FILTER(_xlpm.d,(_xlpm.f=0)*(_xlpm.g=1))))</f>
        <v>0.74615244422700477</v>
      </c>
      <c r="J120" s="2" cm="1">
        <f t="array" ref="J120">_xlfn.LET(_xlpm.d,J$2:J$85,_xlpm.f,$B$2:$B$85,_xlpm.g,$D$2:$D$85,_xlpm.k,$F120,AVERAGE(_xlfn._xlws.FILTER(_xlpm.d,(_xlpm.f=0)*(_xlpm.g=1))))</f>
        <v>0.72199404611283358</v>
      </c>
      <c r="K120" s="2" cm="1">
        <f t="array" ref="K120">_xlfn.LET(_xlpm.d,K$2:K$85,_xlpm.f,$B$2:$B$85,_xlpm.g,$D$2:$D$85,_xlpm.k,$F120,AVERAGE(_xlfn._xlws.FILTER(_xlpm.d,(_xlpm.f=0)*(_xlpm.g=1))))</f>
        <v>0.6973499388526877</v>
      </c>
      <c r="L120" s="2" cm="1">
        <f t="array" ref="L120">_xlfn.LET(_xlpm.d,L$2:L$85,_xlpm.f,$B$2:$B$85,_xlpm.g,$D$2:$D$85,_xlpm.k,$F120,AVERAGE(_xlfn._xlws.FILTER(_xlpm.d,(_xlpm.f=0)*(_xlpm.g=1))))</f>
        <v>0.68822210689348695</v>
      </c>
      <c r="M120" s="2" cm="1">
        <f t="array" ref="M120">_xlfn.LET(_xlpm.d,M$2:M$85,_xlpm.f,$B$2:$B$85,_xlpm.g,$D$2:$D$85,_xlpm.k,$F120,AVERAGE(_xlfn._xlws.FILTER(_xlpm.d,(_xlpm.f=0)*(_xlpm.g=1))))</f>
        <v>0.69453387121696275</v>
      </c>
      <c r="N120" s="2" cm="1">
        <f t="array" ref="N120">_xlfn.LET(_xlpm.d,N$2:N$85,_xlpm.f,$B$2:$B$85,_xlpm.g,$D$2:$D$85,_xlpm.k,$F120,AVERAGE(_xlfn._xlws.FILTER(_xlpm.d,(_xlpm.f=0)*(_xlpm.g=1))))</f>
        <v>0.63930348975551243</v>
      </c>
      <c r="O120" s="2" cm="1">
        <f t="array" ref="O120">_xlfn.LET(_xlpm.d,O$2:O$85,_xlpm.f,$B$2:$B$85,_xlpm.g,$D$2:$D$85,_xlpm.k,$F120,AVERAGE(_xlfn._xlws.FILTER(_xlpm.d,(_xlpm.f=0)*(_xlpm.g=1))))</f>
        <v>0.70183045560141144</v>
      </c>
      <c r="P120" s="2" cm="1">
        <f t="array" ref="P120">_xlfn.LET(_xlpm.d,P$2:P$85,_xlpm.f,$B$2:$B$85,_xlpm.g,$D$2:$D$85,_xlpm.k,$F120,AVERAGE(_xlfn._xlws.FILTER(_xlpm.d,(_xlpm.f=0)*(_xlpm.g=1))))</f>
        <v>0.6746914504928635</v>
      </c>
      <c r="Q120" s="2" cm="1">
        <f t="array" ref="Q120">_xlfn.LET(_xlpm.d,Q$2:Q$85,_xlpm.f,$B$2:$B$85,_xlpm.g,$D$2:$D$85,_xlpm.k,$F120,AVERAGE(_xlfn._xlws.FILTER(_xlpm.d,(_xlpm.f=0)*(_xlpm.g=1))))</f>
        <v>0.63406653445284933</v>
      </c>
      <c r="R120" s="2" cm="1">
        <f t="array" ref="R120">_xlfn.LET(_xlpm.d,R$2:R$85,_xlpm.f,$B$2:$B$85,_xlpm.g,$D$2:$D$85,_xlpm.k,$F120,AVERAGE(_xlfn._xlws.FILTER(_xlpm.d,(_xlpm.f=0)*(_xlpm.g=1))))</f>
        <v>0.65314042284966678</v>
      </c>
      <c r="S120" s="2" cm="1">
        <f t="array" ref="S120">_xlfn.LET(_xlpm.d,S$2:S$85,_xlpm.f,$B$2:$B$85,_xlpm.g,$D$2:$D$85,_xlpm.k,$F120,AVERAGE(_xlfn._xlws.FILTER(_xlpm.d,(_xlpm.f=0)*(_xlpm.g=1))))</f>
        <v>0.65653657169969415</v>
      </c>
      <c r="T120" s="2" cm="1">
        <f t="array" ref="T120">_xlfn.LET(_xlpm.d,T$2:T$85,_xlpm.f,$B$2:$B$85,_xlpm.g,$D$2:$D$85,_xlpm.k,$F120,AVERAGE(_xlfn._xlws.FILTER(_xlpm.d,(_xlpm.f=0)*(_xlpm.g=1))))</f>
        <v>0.69494876150982254</v>
      </c>
    </row>
    <row r="121" spans="6:20" ht="30" customHeight="1">
      <c r="F121" t="s">
        <v>51</v>
      </c>
      <c r="G121" s="2" cm="1">
        <f t="array" ref="G121">_xlfn.LET(_xlpm.d,G$2:G$85,_xlpm.f,$B$2:$B$85,_xlpm.g,$D$2:$D$85,_xlpm.k,$F121,AVERAGE(_xlfn._xlws.FILTER(_xlpm.d,(_xlpm.f=0)*(_xlpm.g=1))))</f>
        <v>0.77045600778804146</v>
      </c>
      <c r="H121" s="2" cm="1">
        <f t="array" ref="H121">_xlfn.LET(_xlpm.d,H$2:H$85,_xlpm.f,$B$2:$B$85,_xlpm.g,$D$2:$D$85,_xlpm.k,$F121,AVERAGE(_xlfn._xlws.FILTER(_xlpm.d,(_xlpm.f=0)*(_xlpm.g=1))))</f>
        <v>0.75605655968467855</v>
      </c>
      <c r="I121" s="2" cm="1">
        <f t="array" ref="I121">_xlfn.LET(_xlpm.d,I$2:I$85,_xlpm.f,$B$2:$B$85,_xlpm.g,$D$2:$D$85,_xlpm.k,$F121,AVERAGE(_xlfn._xlws.FILTER(_xlpm.d,(_xlpm.f=0)*(_xlpm.g=1))))</f>
        <v>0.74615244422700477</v>
      </c>
      <c r="J121" s="2" cm="1">
        <f t="array" ref="J121">_xlfn.LET(_xlpm.d,J$2:J$85,_xlpm.f,$B$2:$B$85,_xlpm.g,$D$2:$D$85,_xlpm.k,$F121,AVERAGE(_xlfn._xlws.FILTER(_xlpm.d,(_xlpm.f=0)*(_xlpm.g=1))))</f>
        <v>0.72199404611283358</v>
      </c>
      <c r="K121" s="2" cm="1">
        <f t="array" ref="K121">_xlfn.LET(_xlpm.d,K$2:K$85,_xlpm.f,$B$2:$B$85,_xlpm.g,$D$2:$D$85,_xlpm.k,$F121,AVERAGE(_xlfn._xlws.FILTER(_xlpm.d,(_xlpm.f=0)*(_xlpm.g=1))))</f>
        <v>0.6973499388526877</v>
      </c>
      <c r="L121" s="2" cm="1">
        <f t="array" ref="L121">_xlfn.LET(_xlpm.d,L$2:L$85,_xlpm.f,$B$2:$B$85,_xlpm.g,$D$2:$D$85,_xlpm.k,$F121,AVERAGE(_xlfn._xlws.FILTER(_xlpm.d,(_xlpm.f=0)*(_xlpm.g=1))))</f>
        <v>0.68822210689348695</v>
      </c>
      <c r="M121" s="2" cm="1">
        <f t="array" ref="M121">_xlfn.LET(_xlpm.d,M$2:M$85,_xlpm.f,$B$2:$B$85,_xlpm.g,$D$2:$D$85,_xlpm.k,$F121,AVERAGE(_xlfn._xlws.FILTER(_xlpm.d,(_xlpm.f=0)*(_xlpm.g=1))))</f>
        <v>0.69453387121696275</v>
      </c>
      <c r="N121" s="2" cm="1">
        <f t="array" ref="N121">_xlfn.LET(_xlpm.d,N$2:N$85,_xlpm.f,$B$2:$B$85,_xlpm.g,$D$2:$D$85,_xlpm.k,$F121,AVERAGE(_xlfn._xlws.FILTER(_xlpm.d,(_xlpm.f=0)*(_xlpm.g=1))))</f>
        <v>0.63930348975551243</v>
      </c>
      <c r="O121" s="2" cm="1">
        <f t="array" ref="O121">_xlfn.LET(_xlpm.d,O$2:O$85,_xlpm.f,$B$2:$B$85,_xlpm.g,$D$2:$D$85,_xlpm.k,$F121,AVERAGE(_xlfn._xlws.FILTER(_xlpm.d,(_xlpm.f=0)*(_xlpm.g=1))))</f>
        <v>0.70183045560141144</v>
      </c>
      <c r="P121" s="2" cm="1">
        <f t="array" ref="P121">_xlfn.LET(_xlpm.d,P$2:P$85,_xlpm.f,$B$2:$B$85,_xlpm.g,$D$2:$D$85,_xlpm.k,$F121,AVERAGE(_xlfn._xlws.FILTER(_xlpm.d,(_xlpm.f=0)*(_xlpm.g=1))))</f>
        <v>0.6746914504928635</v>
      </c>
      <c r="Q121" s="2" cm="1">
        <f t="array" ref="Q121">_xlfn.LET(_xlpm.d,Q$2:Q$85,_xlpm.f,$B$2:$B$85,_xlpm.g,$D$2:$D$85,_xlpm.k,$F121,AVERAGE(_xlfn._xlws.FILTER(_xlpm.d,(_xlpm.f=0)*(_xlpm.g=1))))</f>
        <v>0.63406653445284933</v>
      </c>
      <c r="R121" s="2" cm="1">
        <f t="array" ref="R121">_xlfn.LET(_xlpm.d,R$2:R$85,_xlpm.f,$B$2:$B$85,_xlpm.g,$D$2:$D$85,_xlpm.k,$F121,AVERAGE(_xlfn._xlws.FILTER(_xlpm.d,(_xlpm.f=0)*(_xlpm.g=1))))</f>
        <v>0.65314042284966678</v>
      </c>
      <c r="S121" s="2" cm="1">
        <f t="array" ref="S121">_xlfn.LET(_xlpm.d,S$2:S$85,_xlpm.f,$B$2:$B$85,_xlpm.g,$D$2:$D$85,_xlpm.k,$F121,AVERAGE(_xlfn._xlws.FILTER(_xlpm.d,(_xlpm.f=0)*(_xlpm.g=1))))</f>
        <v>0.65653657169969415</v>
      </c>
      <c r="T121" s="2" cm="1">
        <f t="array" ref="T121">_xlfn.LET(_xlpm.d,T$2:T$85,_xlpm.f,$B$2:$B$85,_xlpm.g,$D$2:$D$85,_xlpm.k,$F121,AVERAGE(_xlfn._xlws.FILTER(_xlpm.d,(_xlpm.f=0)*(_xlpm.g=1))))</f>
        <v>0.69494876150982254</v>
      </c>
    </row>
  </sheetData>
  <phoneticPr fontId="1" type="noConversion"/>
  <conditionalFormatting sqref="G2:S85">
    <cfRule type="colorScale" priority="7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G88:T100">
    <cfRule type="colorScale" priority="6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G103:T103">
    <cfRule type="colorScale" priority="4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G104:T115">
    <cfRule type="colorScale" priority="5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G118:T118">
    <cfRule type="colorScale" priority="1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G119:T121">
    <cfRule type="colorScale" priority="2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T2:T85">
    <cfRule type="colorScale" priority="3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aNA.pt0.33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Kuroda, Kow</dc:creator>
  <cp:keywords/>
  <dc:description/>
  <cp:lastModifiedBy>Kow Kuroda</cp:lastModifiedBy>
  <dcterms:created xsi:type="dcterms:W3CDTF">2025-07-10T05:42:18Z</dcterms:created>
  <dcterms:modified xsi:type="dcterms:W3CDTF">2025-09-11T08:21:24Z</dcterms:modified>
  <cp:category/>
</cp:coreProperties>
</file>