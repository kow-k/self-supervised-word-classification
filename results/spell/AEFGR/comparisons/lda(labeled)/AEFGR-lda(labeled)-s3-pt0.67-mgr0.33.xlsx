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05F1403A-A048-9345-8C68-902DA1A130CE}" xr6:coauthVersionLast="47" xr6:coauthVersionMax="47" xr10:uidLastSave="{00000000-0000-0000-0000-000000000000}"/>
  <bookViews>
    <workbookView xWindow="140" yWindow="1540" windowWidth="31880" windowHeight="17900" xr2:uid="{AAB55906-58C7-F940-B4CF-E7AFA13CA4FF}"/>
  </bookViews>
  <sheets>
    <sheet name="aNA.simple.xsk-free" sheetId="3" r:id="rId1"/>
    <sheet name="aNA.simple" sheetId="2" r:id="rId2"/>
    <sheet name="aN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2" l="1" a="1"/>
  <c r="D49" i="2" s="1"/>
  <c r="D48" i="2" a="1"/>
  <c r="D48" i="2" s="1"/>
  <c r="E38" i="3" a="1"/>
  <c r="E38" i="3" s="1"/>
  <c r="F38" i="3" a="1"/>
  <c r="F38" i="3" s="1"/>
  <c r="G38" i="3" a="1"/>
  <c r="G38" i="3"/>
  <c r="H38" i="3" a="1"/>
  <c r="H38" i="3"/>
  <c r="I38" i="3" a="1"/>
  <c r="I38" i="3" s="1"/>
  <c r="J38" i="3" a="1"/>
  <c r="J38" i="3" s="1"/>
  <c r="K38" i="3" a="1"/>
  <c r="K38" i="3"/>
  <c r="L38" i="3" a="1"/>
  <c r="L38" i="3"/>
  <c r="M38" i="3" a="1"/>
  <c r="M38" i="3" s="1"/>
  <c r="N38" i="3" a="1"/>
  <c r="N38" i="3" s="1"/>
  <c r="O38" i="3" a="1"/>
  <c r="O38" i="3"/>
  <c r="P38" i="3" a="1"/>
  <c r="P38" i="3"/>
  <c r="Q38" i="3" a="1"/>
  <c r="Q38" i="3" s="1"/>
  <c r="E39" i="3" a="1"/>
  <c r="E39" i="3" s="1"/>
  <c r="F39" i="3" a="1"/>
  <c r="F39" i="3"/>
  <c r="G39" i="3" a="1"/>
  <c r="G39" i="3"/>
  <c r="H39" i="3" a="1"/>
  <c r="H39" i="3" s="1"/>
  <c r="I39" i="3" a="1"/>
  <c r="I39" i="3" s="1"/>
  <c r="J39" i="3" a="1"/>
  <c r="J39" i="3"/>
  <c r="K39" i="3" a="1"/>
  <c r="K39" i="3"/>
  <c r="L39" i="3" a="1"/>
  <c r="L39" i="3" s="1"/>
  <c r="M39" i="3" a="1"/>
  <c r="M39" i="3" s="1"/>
  <c r="N39" i="3" a="1"/>
  <c r="N39" i="3"/>
  <c r="O39" i="3" a="1"/>
  <c r="O39" i="3"/>
  <c r="P39" i="3" a="1"/>
  <c r="P39" i="3" s="1"/>
  <c r="Q39" i="3" a="1"/>
  <c r="Q39" i="3" s="1"/>
  <c r="E40" i="3" a="1"/>
  <c r="E40" i="3"/>
  <c r="F40" i="3" a="1"/>
  <c r="F40" i="3"/>
  <c r="G40" i="3" a="1"/>
  <c r="G40" i="3" s="1"/>
  <c r="H40" i="3" a="1"/>
  <c r="H40" i="3" s="1"/>
  <c r="I40" i="3" a="1"/>
  <c r="I40" i="3"/>
  <c r="J40" i="3" a="1"/>
  <c r="J40" i="3"/>
  <c r="K40" i="3" a="1"/>
  <c r="K40" i="3" s="1"/>
  <c r="L40" i="3" a="1"/>
  <c r="L40" i="3" s="1"/>
  <c r="M40" i="3" a="1"/>
  <c r="M40" i="3"/>
  <c r="N40" i="3" a="1"/>
  <c r="N40" i="3"/>
  <c r="O40" i="3" a="1"/>
  <c r="O40" i="3" s="1"/>
  <c r="P40" i="3" a="1"/>
  <c r="P40" i="3" s="1"/>
  <c r="Q40" i="3" a="1"/>
  <c r="Q40" i="3"/>
  <c r="E41" i="3" a="1"/>
  <c r="E41" i="3"/>
  <c r="F41" i="3" a="1"/>
  <c r="F41" i="3" s="1"/>
  <c r="G41" i="3" a="1"/>
  <c r="G41" i="3" s="1"/>
  <c r="H41" i="3" a="1"/>
  <c r="H41" i="3"/>
  <c r="I41" i="3" a="1"/>
  <c r="I41" i="3"/>
  <c r="J41" i="3" a="1"/>
  <c r="J41" i="3" s="1"/>
  <c r="K41" i="3" a="1"/>
  <c r="K41" i="3" s="1"/>
  <c r="L41" i="3" a="1"/>
  <c r="L41" i="3"/>
  <c r="M41" i="3" a="1"/>
  <c r="M41" i="3"/>
  <c r="N41" i="3" a="1"/>
  <c r="N41" i="3" s="1"/>
  <c r="O41" i="3" a="1"/>
  <c r="O41" i="3" s="1"/>
  <c r="P41" i="3" a="1"/>
  <c r="P41" i="3"/>
  <c r="Q41" i="3" a="1"/>
  <c r="Q41" i="3"/>
  <c r="E42" i="3" a="1"/>
  <c r="E42" i="3" s="1"/>
  <c r="F42" i="3" a="1"/>
  <c r="F42" i="3" s="1"/>
  <c r="G42" i="3" a="1"/>
  <c r="G42" i="3"/>
  <c r="H42" i="3" a="1"/>
  <c r="H42" i="3"/>
  <c r="I42" i="3" a="1"/>
  <c r="I42" i="3" s="1"/>
  <c r="J42" i="3" a="1"/>
  <c r="J42" i="3" s="1"/>
  <c r="K42" i="3" a="1"/>
  <c r="K42" i="3"/>
  <c r="L42" i="3" a="1"/>
  <c r="L42" i="3"/>
  <c r="M42" i="3" a="1"/>
  <c r="M42" i="3" s="1"/>
  <c r="N42" i="3" a="1"/>
  <c r="N42" i="3" s="1"/>
  <c r="O42" i="3" a="1"/>
  <c r="O42" i="3"/>
  <c r="P42" i="3" a="1"/>
  <c r="P42" i="3" s="1"/>
  <c r="Q42" i="3" a="1"/>
  <c r="Q42" i="3" s="1"/>
  <c r="D39" i="3" a="1"/>
  <c r="D39" i="3" s="1"/>
  <c r="D40" i="3" a="1"/>
  <c r="D40" i="3" s="1"/>
  <c r="D41" i="3" a="1"/>
  <c r="D41" i="3" s="1"/>
  <c r="D42" i="3" a="1"/>
  <c r="D42" i="3" s="1"/>
  <c r="D38" i="3" a="1"/>
  <c r="D38" i="3" s="1"/>
  <c r="D37" i="3" a="1"/>
  <c r="D37" i="3" s="1"/>
  <c r="E47" i="2" a="1"/>
  <c r="E47" i="2"/>
  <c r="F47" i="2" a="1"/>
  <c r="F47" i="2"/>
  <c r="G47" i="2" a="1"/>
  <c r="G47" i="2"/>
  <c r="H47" i="2" a="1"/>
  <c r="H47" i="2"/>
  <c r="I47" i="2" a="1"/>
  <c r="I47" i="2"/>
  <c r="J47" i="2" a="1"/>
  <c r="J47" i="2"/>
  <c r="K47" i="2" a="1"/>
  <c r="K47" i="2"/>
  <c r="L47" i="2" a="1"/>
  <c r="L47" i="2"/>
  <c r="M47" i="2" a="1"/>
  <c r="M47" i="2"/>
  <c r="N47" i="2" a="1"/>
  <c r="N47" i="2"/>
  <c r="O47" i="2" a="1"/>
  <c r="O47" i="2"/>
  <c r="P47" i="2" a="1"/>
  <c r="P47" i="2"/>
  <c r="Q47" i="2" a="1"/>
  <c r="Q47" i="2"/>
  <c r="E48" i="2" a="1"/>
  <c r="E48" i="2"/>
  <c r="F48" i="2" a="1"/>
  <c r="F48" i="2"/>
  <c r="G48" i="2" a="1"/>
  <c r="G48" i="2"/>
  <c r="H48" i="2" a="1"/>
  <c r="H48" i="2" s="1"/>
  <c r="I48" i="2" a="1"/>
  <c r="I48" i="2"/>
  <c r="J48" i="2" a="1"/>
  <c r="J48" i="2"/>
  <c r="K48" i="2" a="1"/>
  <c r="K48" i="2"/>
  <c r="L48" i="2" a="1"/>
  <c r="L48" i="2" s="1"/>
  <c r="M48" i="2" a="1"/>
  <c r="M48" i="2"/>
  <c r="N48" i="2" a="1"/>
  <c r="N48" i="2"/>
  <c r="O48" i="2" a="1"/>
  <c r="O48" i="2"/>
  <c r="P48" i="2" a="1"/>
  <c r="P48" i="2" s="1"/>
  <c r="Q48" i="2" a="1"/>
  <c r="Q48" i="2"/>
  <c r="E49" i="2" a="1"/>
  <c r="E49" i="2"/>
  <c r="F49" i="2" a="1"/>
  <c r="F49" i="2"/>
  <c r="G49" i="2" a="1"/>
  <c r="G49" i="2" s="1"/>
  <c r="H49" i="2" a="1"/>
  <c r="H49" i="2"/>
  <c r="I49" i="2" a="1"/>
  <c r="I49" i="2"/>
  <c r="J49" i="2" a="1"/>
  <c r="J49" i="2"/>
  <c r="K49" i="2" a="1"/>
  <c r="K49" i="2" s="1"/>
  <c r="L49" i="2" a="1"/>
  <c r="L49" i="2"/>
  <c r="M49" i="2" a="1"/>
  <c r="M49" i="2"/>
  <c r="N49" i="2" a="1"/>
  <c r="N49" i="2"/>
  <c r="O49" i="2" a="1"/>
  <c r="O49" i="2" s="1"/>
  <c r="P49" i="2" a="1"/>
  <c r="P49" i="2"/>
  <c r="Q49" i="2" a="1"/>
  <c r="Q49" i="2"/>
  <c r="E50" i="2" a="1"/>
  <c r="E50" i="2"/>
  <c r="F50" i="2" a="1"/>
  <c r="F50" i="2" s="1"/>
  <c r="G50" i="2" a="1"/>
  <c r="G50" i="2"/>
  <c r="H50" i="2" a="1"/>
  <c r="H50" i="2"/>
  <c r="I50" i="2" a="1"/>
  <c r="I50" i="2"/>
  <c r="J50" i="2" a="1"/>
  <c r="J50" i="2" s="1"/>
  <c r="K50" i="2" a="1"/>
  <c r="K50" i="2"/>
  <c r="L50" i="2" a="1"/>
  <c r="L50" i="2"/>
  <c r="M50" i="2" a="1"/>
  <c r="M50" i="2"/>
  <c r="N50" i="2" a="1"/>
  <c r="N50" i="2" s="1"/>
  <c r="O50" i="2" a="1"/>
  <c r="O50" i="2"/>
  <c r="P50" i="2" a="1"/>
  <c r="P50" i="2"/>
  <c r="Q50" i="2" a="1"/>
  <c r="Q50" i="2"/>
  <c r="E51" i="2" a="1"/>
  <c r="E51" i="2" s="1"/>
  <c r="F51" i="2" a="1"/>
  <c r="F51" i="2"/>
  <c r="G51" i="2" a="1"/>
  <c r="G51" i="2"/>
  <c r="H51" i="2" a="1"/>
  <c r="H51" i="2"/>
  <c r="I51" i="2" a="1"/>
  <c r="I51" i="2" s="1"/>
  <c r="J51" i="2" a="1"/>
  <c r="J51" i="2"/>
  <c r="K51" i="2" a="1"/>
  <c r="K51" i="2"/>
  <c r="L51" i="2" a="1"/>
  <c r="L51" i="2" s="1"/>
  <c r="M51" i="2" a="1"/>
  <c r="M51" i="2" s="1"/>
  <c r="N51" i="2" a="1"/>
  <c r="N51" i="2"/>
  <c r="O51" i="2" a="1"/>
  <c r="O51" i="2"/>
  <c r="P51" i="2" a="1"/>
  <c r="P51" i="2"/>
  <c r="Q51" i="2" a="1"/>
  <c r="Q51" i="2" s="1"/>
  <c r="E52" i="2" a="1"/>
  <c r="E52" i="2"/>
  <c r="F52" i="2" a="1"/>
  <c r="F52" i="2" s="1"/>
  <c r="G52" i="2" a="1"/>
  <c r="G52" i="2" s="1"/>
  <c r="H52" i="2" a="1"/>
  <c r="H52" i="2" s="1"/>
  <c r="I52" i="2" a="1"/>
  <c r="I52" i="2"/>
  <c r="J52" i="2" a="1"/>
  <c r="J52" i="2"/>
  <c r="K52" i="2" a="1"/>
  <c r="K52" i="2" s="1"/>
  <c r="L52" i="2" a="1"/>
  <c r="L52" i="2" s="1"/>
  <c r="M52" i="2" a="1"/>
  <c r="M52" i="2" s="1"/>
  <c r="N52" i="2" a="1"/>
  <c r="N52" i="2" s="1"/>
  <c r="O52" i="2" a="1"/>
  <c r="O52" i="2" s="1"/>
  <c r="P52" i="2" a="1"/>
  <c r="P52" i="2" s="1"/>
  <c r="Q52" i="2" a="1"/>
  <c r="Q52" i="2" s="1"/>
  <c r="D50" i="2" a="1"/>
  <c r="D50" i="2" s="1"/>
  <c r="D51" i="2" a="1"/>
  <c r="D51" i="2" s="1"/>
  <c r="D52" i="2" a="1"/>
  <c r="D52" i="2" s="1"/>
  <c r="D47" i="2" a="1"/>
  <c r="D47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2" i="3"/>
  <c r="P37" i="3" s="1" a="1"/>
  <c r="P37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O43" i="2" s="1" a="1"/>
  <c r="O43" i="2" s="1"/>
  <c r="A3" i="2"/>
  <c r="M44" i="2" s="1" a="1"/>
  <c r="M44" i="2" s="1"/>
  <c r="A2" i="2"/>
  <c r="E40" i="2" s="1" a="1"/>
  <c r="E40" i="2" s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G44" i="2" l="1" a="1"/>
  <c r="G44" i="2" s="1"/>
  <c r="M41" i="2" a="1"/>
  <c r="M41" i="2" s="1"/>
  <c r="D44" i="2" a="1"/>
  <c r="D44" i="2" s="1"/>
  <c r="M43" i="2" a="1"/>
  <c r="M43" i="2" s="1"/>
  <c r="J42" i="2" a="1"/>
  <c r="J42" i="2" s="1"/>
  <c r="L41" i="2" a="1"/>
  <c r="L41" i="2" s="1"/>
  <c r="I40" i="2" a="1"/>
  <c r="I40" i="2" s="1"/>
  <c r="K44" i="2" a="1"/>
  <c r="K44" i="2" s="1"/>
  <c r="G43" i="2" a="1"/>
  <c r="G43" i="2" s="1"/>
  <c r="N40" i="2" a="1"/>
  <c r="N40" i="2" s="1"/>
  <c r="D43" i="2" a="1"/>
  <c r="D43" i="2" s="1"/>
  <c r="J40" i="2" a="1"/>
  <c r="J40" i="2" s="1"/>
  <c r="L44" i="2" a="1"/>
  <c r="L44" i="2" s="1"/>
  <c r="H43" i="2" a="1"/>
  <c r="H43" i="2" s="1"/>
  <c r="E42" i="2" a="1"/>
  <c r="E42" i="2" s="1"/>
  <c r="O40" i="2" a="1"/>
  <c r="O40" i="2" s="1"/>
  <c r="D40" i="2" a="1"/>
  <c r="D40" i="2" s="1"/>
  <c r="E44" i="2" a="1"/>
  <c r="E44" i="2" s="1"/>
  <c r="J44" i="2" a="1"/>
  <c r="J44" i="2" s="1"/>
  <c r="L43" i="2" a="1"/>
  <c r="L43" i="2" s="1"/>
  <c r="F43" i="2" a="1"/>
  <c r="F43" i="2" s="1"/>
  <c r="N42" i="2" a="1"/>
  <c r="N42" i="2" s="1"/>
  <c r="I42" i="2" a="1"/>
  <c r="I42" i="2" s="1"/>
  <c r="P41" i="2" a="1"/>
  <c r="P41" i="2" s="1"/>
  <c r="K41" i="2" a="1"/>
  <c r="K41" i="2" s="1"/>
  <c r="F41" i="2" a="1"/>
  <c r="F41" i="2" s="1"/>
  <c r="M40" i="2" a="1"/>
  <c r="M40" i="2" s="1"/>
  <c r="H40" i="2" a="1"/>
  <c r="H40" i="2" s="1"/>
  <c r="P42" i="2" a="1"/>
  <c r="P42" i="2" s="1"/>
  <c r="F44" i="2" a="1"/>
  <c r="F44" i="2" s="1"/>
  <c r="O42" i="2" a="1"/>
  <c r="O42" i="2" s="1"/>
  <c r="G41" i="2" a="1"/>
  <c r="G41" i="2" s="1"/>
  <c r="P44" i="2" a="1"/>
  <c r="P44" i="2" s="1"/>
  <c r="I44" i="2" a="1"/>
  <c r="I44" i="2" s="1"/>
  <c r="K43" i="2" a="1"/>
  <c r="K43" i="2" s="1"/>
  <c r="H42" i="2" a="1"/>
  <c r="H42" i="2" s="1"/>
  <c r="E41" i="2" a="1"/>
  <c r="E41" i="2" s="1"/>
  <c r="P43" i="2" a="1"/>
  <c r="P43" i="2" s="1"/>
  <c r="E43" i="2" a="1"/>
  <c r="E43" i="2" s="1"/>
  <c r="O41" i="2" a="1"/>
  <c r="O41" i="2" s="1"/>
  <c r="J41" i="2" a="1"/>
  <c r="J41" i="2" s="1"/>
  <c r="L40" i="2" a="1"/>
  <c r="L40" i="2" s="1"/>
  <c r="G40" i="2" a="1"/>
  <c r="G40" i="2" s="1"/>
  <c r="J43" i="2" a="1"/>
  <c r="J43" i="2" s="1"/>
  <c r="G42" i="2" a="1"/>
  <c r="G42" i="2" s="1"/>
  <c r="N44" i="2" a="1"/>
  <c r="N44" i="2" s="1"/>
  <c r="H44" i="2" a="1"/>
  <c r="H44" i="2" s="1"/>
  <c r="L42" i="2" a="1"/>
  <c r="L42" i="2" s="1"/>
  <c r="I41" i="2" a="1"/>
  <c r="I41" i="2" s="1"/>
  <c r="F40" i="2" a="1"/>
  <c r="F40" i="2" s="1"/>
  <c r="O44" i="2" a="1"/>
  <c r="O44" i="2" s="1"/>
  <c r="M42" i="2" a="1"/>
  <c r="M42" i="2" s="1"/>
  <c r="D41" i="2" a="1"/>
  <c r="D41" i="2" s="1"/>
  <c r="D42" i="2" a="1"/>
  <c r="D42" i="2" s="1"/>
  <c r="N43" i="2" a="1"/>
  <c r="N43" i="2" s="1"/>
  <c r="I43" i="2" a="1"/>
  <c r="I43" i="2" s="1"/>
  <c r="K42" i="2" a="1"/>
  <c r="K42" i="2" s="1"/>
  <c r="F42" i="2" a="1"/>
  <c r="F42" i="2" s="1"/>
  <c r="N41" i="2" a="1"/>
  <c r="N41" i="2" s="1"/>
  <c r="H41" i="2" a="1"/>
  <c r="H41" i="2" s="1"/>
  <c r="P40" i="2" a="1"/>
  <c r="P40" i="2" s="1"/>
  <c r="K40" i="2" a="1"/>
  <c r="K40" i="2" s="1"/>
  <c r="L37" i="3" a="1"/>
  <c r="L37" i="3" s="1"/>
  <c r="K37" i="3" a="1"/>
  <c r="K37" i="3" s="1"/>
  <c r="J37" i="3" a="1"/>
  <c r="J37" i="3" s="1"/>
  <c r="I37" i="3" a="1"/>
  <c r="I37" i="3" s="1"/>
  <c r="O37" i="3" a="1"/>
  <c r="O37" i="3" s="1"/>
  <c r="H37" i="3" a="1"/>
  <c r="H37" i="3" s="1"/>
  <c r="N37" i="3" a="1"/>
  <c r="N37" i="3" s="1"/>
  <c r="G37" i="3" a="1"/>
  <c r="G37" i="3" s="1"/>
  <c r="M37" i="3" a="1"/>
  <c r="M37" i="3" s="1"/>
  <c r="F37" i="3" a="1"/>
  <c r="F37" i="3" s="1"/>
  <c r="E37" i="3" a="1"/>
  <c r="E37" i="3" s="1"/>
  <c r="D30" i="3" a="1"/>
  <c r="D30" i="3" s="1"/>
  <c r="H33" i="3" a="1"/>
  <c r="H33" i="3" s="1"/>
  <c r="P34" i="3" a="1"/>
  <c r="P34" i="3" s="1"/>
  <c r="J32" i="3" a="1"/>
  <c r="J32" i="3" s="1"/>
  <c r="L31" i="3" a="1"/>
  <c r="L31" i="3" s="1"/>
  <c r="G31" i="3" a="1"/>
  <c r="G31" i="3" s="1"/>
  <c r="N30" i="3" a="1"/>
  <c r="N30" i="3" s="1"/>
  <c r="I30" i="3" a="1"/>
  <c r="I30" i="3" s="1"/>
  <c r="O30" i="3" a="1"/>
  <c r="O30" i="3" s="1"/>
  <c r="J34" i="3" a="1"/>
  <c r="J34" i="3" s="1"/>
  <c r="F31" i="3" a="1"/>
  <c r="F31" i="3" s="1"/>
  <c r="M33" i="3" a="1"/>
  <c r="M33" i="3" s="1"/>
  <c r="F33" i="3" a="1"/>
  <c r="F33" i="3" s="1"/>
  <c r="K31" i="3" a="1"/>
  <c r="K31" i="3" s="1"/>
  <c r="H30" i="3" a="1"/>
  <c r="H30" i="3" s="1"/>
  <c r="K34" i="3" a="1"/>
  <c r="K34" i="3" s="1"/>
  <c r="E34" i="3" a="1"/>
  <c r="E34" i="3" s="1"/>
  <c r="K33" i="3" a="1"/>
  <c r="K33" i="3" s="1"/>
  <c r="P31" i="3" a="1"/>
  <c r="P31" i="3" s="1"/>
  <c r="G30" i="3" a="1"/>
  <c r="G30" i="3" s="1"/>
  <c r="E32" i="3" a="1"/>
  <c r="E32" i="3" s="1"/>
  <c r="G33" i="3" a="1"/>
  <c r="G33" i="3" s="1"/>
  <c r="O34" i="3" a="1"/>
  <c r="O34" i="3" s="1"/>
  <c r="I32" i="3" a="1"/>
  <c r="I32" i="3" s="1"/>
  <c r="D33" i="3" a="1"/>
  <c r="D33" i="3" s="1"/>
  <c r="I34" i="3" a="1"/>
  <c r="I34" i="3" s="1"/>
  <c r="N32" i="3" a="1"/>
  <c r="N32" i="3" s="1"/>
  <c r="E31" i="3" a="1"/>
  <c r="E31" i="3" s="1"/>
  <c r="P33" i="3" a="1"/>
  <c r="P33" i="3" s="1"/>
  <c r="M32" i="3" a="1"/>
  <c r="M32" i="3" s="1"/>
  <c r="D34" i="3" a="1"/>
  <c r="D34" i="3" s="1"/>
  <c r="M34" i="3" a="1"/>
  <c r="M34" i="3" s="1"/>
  <c r="H34" i="3" a="1"/>
  <c r="H34" i="3" s="1"/>
  <c r="O33" i="3" a="1"/>
  <c r="O33" i="3" s="1"/>
  <c r="J33" i="3" a="1"/>
  <c r="J33" i="3" s="1"/>
  <c r="E33" i="3" a="1"/>
  <c r="E33" i="3" s="1"/>
  <c r="L32" i="3" a="1"/>
  <c r="L32" i="3" s="1"/>
  <c r="G32" i="3" a="1"/>
  <c r="G32" i="3" s="1"/>
  <c r="O31" i="3" a="1"/>
  <c r="O31" i="3" s="1"/>
  <c r="I31" i="3" a="1"/>
  <c r="I31" i="3" s="1"/>
  <c r="L30" i="3" a="1"/>
  <c r="L30" i="3" s="1"/>
  <c r="F30" i="3" a="1"/>
  <c r="F30" i="3" s="1"/>
  <c r="D31" i="3" a="1"/>
  <c r="D31" i="3" s="1"/>
  <c r="O32" i="3" a="1"/>
  <c r="O32" i="3" s="1"/>
  <c r="D32" i="3" a="1"/>
  <c r="D32" i="3" s="1"/>
  <c r="L33" i="3" a="1"/>
  <c r="L33" i="3" s="1"/>
  <c r="N34" i="3" a="1"/>
  <c r="N34" i="3" s="1"/>
  <c r="H32" i="3" a="1"/>
  <c r="H32" i="3" s="1"/>
  <c r="M30" i="3" a="1"/>
  <c r="M30" i="3" s="1"/>
  <c r="J31" i="3" a="1"/>
  <c r="J31" i="3" s="1"/>
  <c r="G34" i="3" a="1"/>
  <c r="G34" i="3" s="1"/>
  <c r="N31" i="3" a="1"/>
  <c r="N31" i="3" s="1"/>
  <c r="K30" i="3" a="1"/>
  <c r="K30" i="3" s="1"/>
  <c r="L34" i="3" a="1"/>
  <c r="L34" i="3" s="1"/>
  <c r="F34" i="3" a="1"/>
  <c r="F34" i="3" s="1"/>
  <c r="N33" i="3" a="1"/>
  <c r="N33" i="3" s="1"/>
  <c r="I33" i="3" a="1"/>
  <c r="I33" i="3" s="1"/>
  <c r="P32" i="3" a="1"/>
  <c r="P32" i="3" s="1"/>
  <c r="K32" i="3" a="1"/>
  <c r="K32" i="3" s="1"/>
  <c r="F32" i="3" a="1"/>
  <c r="F32" i="3" s="1"/>
  <c r="M31" i="3" a="1"/>
  <c r="M31" i="3" s="1"/>
  <c r="H31" i="3" a="1"/>
  <c r="H31" i="3" s="1"/>
  <c r="P30" i="3" a="1"/>
  <c r="P30" i="3" s="1"/>
  <c r="J30" i="3" a="1"/>
  <c r="J30" i="3" s="1"/>
  <c r="E30" i="3" a="1"/>
  <c r="E30" i="3" s="1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R26" i="3"/>
  <c r="Q26" i="3"/>
  <c r="R25" i="3"/>
  <c r="Q25" i="3"/>
  <c r="R24" i="3"/>
  <c r="Q24" i="3"/>
  <c r="R23" i="3"/>
  <c r="Q23" i="3"/>
  <c r="R22" i="3"/>
  <c r="Q22" i="3"/>
  <c r="R21" i="3"/>
  <c r="Q21" i="3"/>
  <c r="R20" i="3"/>
  <c r="Q20" i="3"/>
  <c r="R19" i="3"/>
  <c r="Q19" i="3"/>
  <c r="S19" i="3" s="1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Q37" i="3" s="1" a="1"/>
  <c r="Q37" i="3" s="1"/>
  <c r="R5" i="3"/>
  <c r="Q5" i="3"/>
  <c r="R4" i="3"/>
  <c r="Q4" i="3"/>
  <c r="R3" i="3"/>
  <c r="Q3" i="3"/>
  <c r="R2" i="3"/>
  <c r="Q2" i="3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Q44" i="2" s="1" a="1"/>
  <c r="Q44" i="2" s="1"/>
  <c r="R29" i="2"/>
  <c r="Q29" i="2"/>
  <c r="R28" i="2"/>
  <c r="Q28" i="2"/>
  <c r="R27" i="2"/>
  <c r="Q27" i="2"/>
  <c r="R26" i="2"/>
  <c r="Q26" i="2"/>
  <c r="R25" i="2"/>
  <c r="Q25" i="2"/>
  <c r="R24" i="2"/>
  <c r="Q24" i="2"/>
  <c r="S24" i="2" s="1"/>
  <c r="R23" i="2"/>
  <c r="Q23" i="2"/>
  <c r="Q41" i="2" s="1" a="1"/>
  <c r="Q41" i="2" s="1"/>
  <c r="R22" i="2"/>
  <c r="Q22" i="2"/>
  <c r="R21" i="2"/>
  <c r="Q21" i="2"/>
  <c r="R20" i="2"/>
  <c r="Q20" i="2"/>
  <c r="R19" i="2"/>
  <c r="Q19" i="2"/>
  <c r="R18" i="2"/>
  <c r="Q18" i="2"/>
  <c r="Q43" i="2" s="1" a="1"/>
  <c r="Q43" i="2" s="1"/>
  <c r="R17" i="2"/>
  <c r="Q17" i="2"/>
  <c r="R16" i="2"/>
  <c r="Q16" i="2"/>
  <c r="S16" i="2" s="1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S8" i="2" s="1"/>
  <c r="R7" i="2"/>
  <c r="Q7" i="2"/>
  <c r="R6" i="2"/>
  <c r="Q6" i="2"/>
  <c r="R5" i="2"/>
  <c r="Q5" i="2"/>
  <c r="R4" i="2"/>
  <c r="Q4" i="2"/>
  <c r="R3" i="2"/>
  <c r="Q3" i="2"/>
  <c r="R2" i="2"/>
  <c r="Q2" i="2"/>
  <c r="Q40" i="2" s="1" a="1"/>
  <c r="Q40" i="2" s="1"/>
  <c r="U2" i="1"/>
  <c r="U3" i="1"/>
  <c r="U4" i="1"/>
  <c r="U5" i="1"/>
  <c r="U6" i="1"/>
  <c r="U7" i="1"/>
  <c r="U8" i="1"/>
  <c r="U9" i="1"/>
  <c r="V9" i="1" s="1"/>
  <c r="U10" i="1"/>
  <c r="U11" i="1"/>
  <c r="U12" i="1"/>
  <c r="U13" i="1"/>
  <c r="U14" i="1"/>
  <c r="U15" i="1"/>
  <c r="U16" i="1"/>
  <c r="U17" i="1"/>
  <c r="V17" i="1" s="1"/>
  <c r="U18" i="1"/>
  <c r="U19" i="1"/>
  <c r="U20" i="1"/>
  <c r="U21" i="1"/>
  <c r="U22" i="1"/>
  <c r="U23" i="1"/>
  <c r="U24" i="1"/>
  <c r="U25" i="1"/>
  <c r="V25" i="1" s="1"/>
  <c r="U26" i="1"/>
  <c r="U27" i="1"/>
  <c r="U28" i="1"/>
  <c r="U29" i="1"/>
  <c r="U30" i="1"/>
  <c r="U31" i="1"/>
  <c r="U32" i="1"/>
  <c r="U33" i="1"/>
  <c r="V33" i="1" s="1"/>
  <c r="U34" i="1"/>
  <c r="U35" i="1"/>
  <c r="U36" i="1"/>
  <c r="T2" i="1"/>
  <c r="T3" i="1"/>
  <c r="V3" i="1" s="1"/>
  <c r="T4" i="1"/>
  <c r="V4" i="1" s="1"/>
  <c r="T5" i="1"/>
  <c r="T6" i="1"/>
  <c r="V6" i="1" s="1"/>
  <c r="T7" i="1"/>
  <c r="V7" i="1" s="1"/>
  <c r="T8" i="1"/>
  <c r="T9" i="1"/>
  <c r="T10" i="1"/>
  <c r="T11" i="1"/>
  <c r="V11" i="1" s="1"/>
  <c r="T12" i="1"/>
  <c r="V12" i="1" s="1"/>
  <c r="T13" i="1"/>
  <c r="V13" i="1" s="1"/>
  <c r="T14" i="1"/>
  <c r="V14" i="1" s="1"/>
  <c r="T15" i="1"/>
  <c r="V15" i="1" s="1"/>
  <c r="T16" i="1"/>
  <c r="T17" i="1"/>
  <c r="T18" i="1"/>
  <c r="T19" i="1"/>
  <c r="V19" i="1" s="1"/>
  <c r="T20" i="1"/>
  <c r="V20" i="1" s="1"/>
  <c r="T21" i="1"/>
  <c r="V21" i="1" s="1"/>
  <c r="T22" i="1"/>
  <c r="V22" i="1" s="1"/>
  <c r="T23" i="1"/>
  <c r="V23" i="1" s="1"/>
  <c r="T24" i="1"/>
  <c r="T25" i="1"/>
  <c r="T26" i="1"/>
  <c r="T27" i="1"/>
  <c r="V27" i="1" s="1"/>
  <c r="T28" i="1"/>
  <c r="V28" i="1" s="1"/>
  <c r="T29" i="1"/>
  <c r="V29" i="1" s="1"/>
  <c r="T30" i="1"/>
  <c r="V30" i="1" s="1"/>
  <c r="T31" i="1"/>
  <c r="V31" i="1" s="1"/>
  <c r="T32" i="1"/>
  <c r="T33" i="1"/>
  <c r="T34" i="1"/>
  <c r="T35" i="1"/>
  <c r="V35" i="1" s="1"/>
  <c r="T36" i="1"/>
  <c r="V36" i="1" s="1"/>
  <c r="H39" i="1"/>
  <c r="I39" i="1"/>
  <c r="J39" i="1"/>
  <c r="K39" i="1"/>
  <c r="L39" i="1"/>
  <c r="M39" i="1"/>
  <c r="N39" i="1"/>
  <c r="O39" i="1"/>
  <c r="P39" i="1"/>
  <c r="Q39" i="1"/>
  <c r="R39" i="1"/>
  <c r="S39" i="1"/>
  <c r="H44" i="1"/>
  <c r="I44" i="1"/>
  <c r="J44" i="1"/>
  <c r="K44" i="1"/>
  <c r="L44" i="1"/>
  <c r="M44" i="1"/>
  <c r="N44" i="1"/>
  <c r="O44" i="1"/>
  <c r="P44" i="1"/>
  <c r="Q44" i="1"/>
  <c r="R44" i="1"/>
  <c r="S44" i="1"/>
  <c r="G3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G44" i="1"/>
  <c r="D4" i="1"/>
  <c r="D7" i="1"/>
  <c r="C4" i="1"/>
  <c r="E4" i="1" s="1"/>
  <c r="C12" i="1"/>
  <c r="C36" i="1"/>
  <c r="F2" i="1"/>
  <c r="D2" i="1" s="1"/>
  <c r="F3" i="1"/>
  <c r="D3" i="1" s="1"/>
  <c r="F4" i="1"/>
  <c r="F5" i="1"/>
  <c r="D5" i="1" s="1"/>
  <c r="F6" i="1"/>
  <c r="D6" i="1" s="1"/>
  <c r="F7" i="1"/>
  <c r="C7" i="1" s="1"/>
  <c r="F8" i="1"/>
  <c r="D8" i="1" s="1"/>
  <c r="F9" i="1"/>
  <c r="D9" i="1" s="1"/>
  <c r="F10" i="1"/>
  <c r="D10" i="1" s="1"/>
  <c r="F11" i="1"/>
  <c r="C11" i="1" s="1"/>
  <c r="F12" i="1"/>
  <c r="D12" i="1" s="1"/>
  <c r="F13" i="1"/>
  <c r="D13" i="1" s="1"/>
  <c r="F14" i="1"/>
  <c r="D14" i="1" s="1"/>
  <c r="F15" i="1"/>
  <c r="C15" i="1" s="1"/>
  <c r="F16" i="1"/>
  <c r="D16" i="1" s="1"/>
  <c r="F17" i="1"/>
  <c r="C17" i="1" s="1"/>
  <c r="F18" i="1"/>
  <c r="D18" i="1" s="1"/>
  <c r="F19" i="1"/>
  <c r="C19" i="1" s="1"/>
  <c r="F20" i="1"/>
  <c r="C20" i="1" s="1"/>
  <c r="F21" i="1"/>
  <c r="D21" i="1" s="1"/>
  <c r="F22" i="1"/>
  <c r="D22" i="1" s="1"/>
  <c r="F23" i="1"/>
  <c r="C23" i="1" s="1"/>
  <c r="F24" i="1"/>
  <c r="D24" i="1" s="1"/>
  <c r="F25" i="1"/>
  <c r="D25" i="1" s="1"/>
  <c r="F26" i="1"/>
  <c r="D26" i="1" s="1"/>
  <c r="F27" i="1"/>
  <c r="D27" i="1" s="1"/>
  <c r="F28" i="1"/>
  <c r="D28" i="1" s="1"/>
  <c r="F29" i="1"/>
  <c r="D29" i="1" s="1"/>
  <c r="F30" i="1"/>
  <c r="D30" i="1" s="1"/>
  <c r="F31" i="1"/>
  <c r="C31" i="1" s="1"/>
  <c r="F32" i="1"/>
  <c r="D32" i="1" s="1"/>
  <c r="F33" i="1"/>
  <c r="C33" i="1" s="1"/>
  <c r="F34" i="1"/>
  <c r="D34" i="1" s="1"/>
  <c r="F35" i="1"/>
  <c r="D35" i="1" s="1"/>
  <c r="F36" i="1"/>
  <c r="D36" i="1" s="1"/>
  <c r="S5" i="2" l="1"/>
  <c r="S9" i="2"/>
  <c r="S13" i="2"/>
  <c r="S17" i="2"/>
  <c r="S21" i="2"/>
  <c r="S25" i="2"/>
  <c r="S29" i="2"/>
  <c r="S33" i="2"/>
  <c r="Q42" i="2" a="1"/>
  <c r="Q42" i="2" s="1"/>
  <c r="Q32" i="3" a="1"/>
  <c r="Q32" i="3" s="1"/>
  <c r="Q33" i="3" a="1"/>
  <c r="Q33" i="3" s="1"/>
  <c r="Q34" i="3" a="1"/>
  <c r="Q34" i="3" s="1"/>
  <c r="Q30" i="3" a="1"/>
  <c r="Q30" i="3" s="1"/>
  <c r="S8" i="3"/>
  <c r="Q31" i="3" a="1"/>
  <c r="Q31" i="3" s="1"/>
  <c r="S2" i="3"/>
  <c r="S6" i="3"/>
  <c r="S14" i="3"/>
  <c r="S18" i="3"/>
  <c r="S22" i="3"/>
  <c r="S16" i="3"/>
  <c r="S20" i="3"/>
  <c r="S24" i="3"/>
  <c r="S5" i="3"/>
  <c r="S7" i="3"/>
  <c r="S11" i="3"/>
  <c r="S13" i="3"/>
  <c r="S25" i="3"/>
  <c r="S12" i="3"/>
  <c r="S17" i="3"/>
  <c r="S21" i="3"/>
  <c r="S3" i="3"/>
  <c r="S4" i="3"/>
  <c r="S9" i="3"/>
  <c r="S26" i="3"/>
  <c r="S10" i="3"/>
  <c r="S15" i="3"/>
  <c r="S23" i="3"/>
  <c r="Q29" i="3"/>
  <c r="U39" i="1"/>
  <c r="V5" i="1"/>
  <c r="V2" i="1"/>
  <c r="V34" i="1"/>
  <c r="V26" i="1"/>
  <c r="V18" i="1"/>
  <c r="V10" i="1"/>
  <c r="V32" i="1"/>
  <c r="V24" i="1"/>
  <c r="V16" i="1"/>
  <c r="V8" i="1"/>
  <c r="S32" i="2"/>
  <c r="S6" i="2"/>
  <c r="S10" i="2"/>
  <c r="S14" i="2"/>
  <c r="S18" i="2"/>
  <c r="S22" i="2"/>
  <c r="S30" i="2"/>
  <c r="S34" i="2"/>
  <c r="S3" i="2"/>
  <c r="S7" i="2"/>
  <c r="S11" i="2"/>
  <c r="S15" i="2"/>
  <c r="S23" i="2"/>
  <c r="S27" i="2"/>
  <c r="S31" i="2"/>
  <c r="S35" i="2"/>
  <c r="S12" i="2"/>
  <c r="Q39" i="2"/>
  <c r="S4" i="2"/>
  <c r="S36" i="2"/>
  <c r="S28" i="2"/>
  <c r="S20" i="2"/>
  <c r="S19" i="2"/>
  <c r="S26" i="2"/>
  <c r="S2" i="2"/>
  <c r="N45" i="1" a="1"/>
  <c r="N45" i="1" s="1"/>
  <c r="D31" i="1"/>
  <c r="D20" i="1"/>
  <c r="H45" i="1" a="1"/>
  <c r="H45" i="1" s="1"/>
  <c r="P45" i="1" a="1"/>
  <c r="P45" i="1" s="1"/>
  <c r="E36" i="1"/>
  <c r="I48" i="1" a="1"/>
  <c r="I48" i="1" s="1"/>
  <c r="M45" i="1" a="1"/>
  <c r="M45" i="1" s="1"/>
  <c r="C35" i="1"/>
  <c r="E35" i="1" s="1"/>
  <c r="C3" i="1"/>
  <c r="E3" i="1" s="1"/>
  <c r="D19" i="1"/>
  <c r="E19" i="1" s="1"/>
  <c r="L49" i="1" a="1"/>
  <c r="L49" i="1" s="1"/>
  <c r="P48" i="1" a="1"/>
  <c r="P48" i="1" s="1"/>
  <c r="H48" i="1" a="1"/>
  <c r="H48" i="1" s="1"/>
  <c r="L47" i="1" a="1"/>
  <c r="L47" i="1" s="1"/>
  <c r="P46" i="1" a="1"/>
  <c r="P46" i="1" s="1"/>
  <c r="H46" i="1" a="1"/>
  <c r="H46" i="1" s="1"/>
  <c r="L45" i="1" a="1"/>
  <c r="L45" i="1" s="1"/>
  <c r="Q46" i="1" a="1"/>
  <c r="Q46" i="1" s="1"/>
  <c r="S49" i="1" a="1"/>
  <c r="S49" i="1" s="1"/>
  <c r="O48" i="1" a="1"/>
  <c r="O48" i="1" s="1"/>
  <c r="S47" i="1" a="1"/>
  <c r="S47" i="1" s="1"/>
  <c r="K47" i="1" a="1"/>
  <c r="K47" i="1" s="1"/>
  <c r="O46" i="1" a="1"/>
  <c r="O46" i="1" s="1"/>
  <c r="S45" i="1" a="1"/>
  <c r="S45" i="1" s="1"/>
  <c r="K45" i="1" a="1"/>
  <c r="K45" i="1" s="1"/>
  <c r="G49" i="1" a="1"/>
  <c r="G49" i="1" s="1"/>
  <c r="Q48" i="1" a="1"/>
  <c r="Q48" i="1" s="1"/>
  <c r="M47" i="1" a="1"/>
  <c r="M47" i="1" s="1"/>
  <c r="I46" i="1" a="1"/>
  <c r="I46" i="1" s="1"/>
  <c r="C28" i="1"/>
  <c r="E28" i="1" s="1"/>
  <c r="D15" i="1"/>
  <c r="K49" i="1" a="1"/>
  <c r="K49" i="1" s="1"/>
  <c r="C27" i="1"/>
  <c r="E27" i="1" s="1"/>
  <c r="R49" i="1" a="1"/>
  <c r="R49" i="1" s="1"/>
  <c r="J49" i="1" a="1"/>
  <c r="J49" i="1" s="1"/>
  <c r="N48" i="1" a="1"/>
  <c r="N48" i="1" s="1"/>
  <c r="R47" i="1" a="1"/>
  <c r="R47" i="1" s="1"/>
  <c r="J47" i="1" a="1"/>
  <c r="J47" i="1" s="1"/>
  <c r="N46" i="1" a="1"/>
  <c r="N46" i="1" s="1"/>
  <c r="R45" i="1" a="1"/>
  <c r="R45" i="1" s="1"/>
  <c r="D11" i="1"/>
  <c r="G45" i="1" a="1"/>
  <c r="G45" i="1" s="1"/>
  <c r="Q49" i="1" a="1"/>
  <c r="Q49" i="1" s="1"/>
  <c r="I49" i="1" a="1"/>
  <c r="I49" i="1" s="1"/>
  <c r="M48" i="1" a="1"/>
  <c r="M48" i="1" s="1"/>
  <c r="Q47" i="1" a="1"/>
  <c r="Q47" i="1" s="1"/>
  <c r="I47" i="1" a="1"/>
  <c r="I47" i="1" s="1"/>
  <c r="M46" i="1" a="1"/>
  <c r="M46" i="1" s="1"/>
  <c r="Q45" i="1" a="1"/>
  <c r="Q45" i="1" s="1"/>
  <c r="J45" i="1" a="1"/>
  <c r="J45" i="1" s="1"/>
  <c r="M49" i="1" a="1"/>
  <c r="M49" i="1" s="1"/>
  <c r="E20" i="1"/>
  <c r="G46" i="1" a="1"/>
  <c r="G46" i="1" s="1"/>
  <c r="P49" i="1" a="1"/>
  <c r="P49" i="1" s="1"/>
  <c r="H49" i="1" a="1"/>
  <c r="H49" i="1" s="1"/>
  <c r="L48" i="1" a="1"/>
  <c r="L48" i="1" s="1"/>
  <c r="P47" i="1" a="1"/>
  <c r="P47" i="1" s="1"/>
  <c r="H47" i="1" a="1"/>
  <c r="H47" i="1" s="1"/>
  <c r="L46" i="1" a="1"/>
  <c r="L46" i="1" s="1"/>
  <c r="I45" i="1" a="1"/>
  <c r="I45" i="1" s="1"/>
  <c r="E12" i="1"/>
  <c r="G47" i="1" a="1"/>
  <c r="G47" i="1" s="1"/>
  <c r="O49" i="1" a="1"/>
  <c r="O49" i="1" s="1"/>
  <c r="S48" i="1" a="1"/>
  <c r="S48" i="1" s="1"/>
  <c r="K48" i="1" a="1"/>
  <c r="K48" i="1" s="1"/>
  <c r="O47" i="1" a="1"/>
  <c r="O47" i="1" s="1"/>
  <c r="S46" i="1" a="1"/>
  <c r="S46" i="1" s="1"/>
  <c r="K46" i="1" a="1"/>
  <c r="K46" i="1" s="1"/>
  <c r="O45" i="1" a="1"/>
  <c r="O45" i="1" s="1"/>
  <c r="D23" i="1"/>
  <c r="G48" i="1" a="1"/>
  <c r="G48" i="1" s="1"/>
  <c r="N49" i="1" a="1"/>
  <c r="N49" i="1" s="1"/>
  <c r="R48" i="1" a="1"/>
  <c r="R48" i="1" s="1"/>
  <c r="J48" i="1" a="1"/>
  <c r="J48" i="1" s="1"/>
  <c r="N47" i="1" a="1"/>
  <c r="N47" i="1" s="1"/>
  <c r="R46" i="1" a="1"/>
  <c r="R46" i="1" s="1"/>
  <c r="J46" i="1" a="1"/>
  <c r="J46" i="1" s="1"/>
  <c r="T39" i="1"/>
  <c r="C25" i="1"/>
  <c r="E25" i="1" s="1"/>
  <c r="C9" i="1"/>
  <c r="E9" i="1" s="1"/>
  <c r="C24" i="1"/>
  <c r="E24" i="1" s="1"/>
  <c r="C8" i="1"/>
  <c r="E8" i="1" s="1"/>
  <c r="C30" i="1"/>
  <c r="E30" i="1" s="1"/>
  <c r="C22" i="1"/>
  <c r="E22" i="1" s="1"/>
  <c r="C14" i="1"/>
  <c r="E14" i="1" s="1"/>
  <c r="C6" i="1"/>
  <c r="E6" i="1" s="1"/>
  <c r="D33" i="1"/>
  <c r="E33" i="1" s="1"/>
  <c r="D17" i="1"/>
  <c r="Q41" i="1" s="1"/>
  <c r="C32" i="1"/>
  <c r="E32" i="1" s="1"/>
  <c r="C16" i="1"/>
  <c r="E16" i="1" s="1"/>
  <c r="C29" i="1"/>
  <c r="E29" i="1" s="1"/>
  <c r="C21" i="1"/>
  <c r="E21" i="1" s="1"/>
  <c r="C13" i="1"/>
  <c r="E13" i="1" s="1"/>
  <c r="C5" i="1"/>
  <c r="E5" i="1" s="1"/>
  <c r="E7" i="1"/>
  <c r="C34" i="1"/>
  <c r="E34" i="1" s="1"/>
  <c r="C26" i="1"/>
  <c r="E26" i="1" s="1"/>
  <c r="C18" i="1"/>
  <c r="E18" i="1" s="1"/>
  <c r="C10" i="1"/>
  <c r="E10" i="1" s="1"/>
  <c r="C2" i="1"/>
  <c r="E31" i="1"/>
  <c r="E23" i="1"/>
  <c r="E15" i="1"/>
  <c r="K41" i="1" l="1"/>
  <c r="T41" i="1"/>
  <c r="J41" i="1"/>
  <c r="S41" i="1"/>
  <c r="M41" i="1"/>
  <c r="I41" i="1"/>
  <c r="N41" i="1"/>
  <c r="P41" i="1"/>
  <c r="M42" i="1"/>
  <c r="N42" i="1"/>
  <c r="O42" i="1"/>
  <c r="H42" i="1"/>
  <c r="P42" i="1"/>
  <c r="I42" i="1"/>
  <c r="Q42" i="1"/>
  <c r="G42" i="1"/>
  <c r="U42" i="1" s="1"/>
  <c r="J42" i="1"/>
  <c r="R42" i="1"/>
  <c r="K42" i="1"/>
  <c r="S42" i="1"/>
  <c r="L42" i="1"/>
  <c r="O41" i="1"/>
  <c r="H41" i="1"/>
  <c r="R41" i="1"/>
  <c r="T42" i="1"/>
  <c r="G41" i="1"/>
  <c r="L41" i="1"/>
  <c r="E11" i="1"/>
  <c r="E2" i="1"/>
  <c r="E17" i="1"/>
  <c r="U41" i="1" l="1"/>
  <c r="M40" i="1"/>
  <c r="N40" i="1"/>
  <c r="G40" i="1"/>
  <c r="O40" i="1"/>
  <c r="H40" i="1"/>
  <c r="P40" i="1"/>
  <c r="I40" i="1"/>
  <c r="Q40" i="1"/>
  <c r="L40" i="1"/>
  <c r="J40" i="1"/>
  <c r="R40" i="1"/>
  <c r="K40" i="1"/>
  <c r="S40" i="1"/>
  <c r="T40" i="1"/>
  <c r="T46" i="1" a="1"/>
  <c r="T46" i="1" s="1"/>
  <c r="T49" i="1" a="1"/>
  <c r="T49" i="1" s="1"/>
  <c r="T47" i="1" a="1"/>
  <c r="T47" i="1" s="1"/>
  <c r="T48" i="1" a="1"/>
  <c r="T48" i="1" s="1"/>
  <c r="T44" i="1"/>
  <c r="T45" i="1" a="1"/>
  <c r="T45" i="1" s="1"/>
  <c r="U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<sst xmlns="http://schemas.openxmlformats.org/spreadsheetml/2006/main" count="193" uniqueCount="66">
  <si>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</si>
  <si>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</si>
  <si>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</si>
  <si>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</si>
  <si>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</si>
  <si>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</si>
  <si>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</si>
  <si>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</si>
  <si>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</si>
  <si>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</si>
  <si>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</si>
  <si>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</si>
  <si>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</si>
  <si>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</si>
  <si>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</si>
  <si>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</si>
  <si>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</si>
  <si>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</si>
  <si>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</si>
  <si>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</si>
  <si>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</si>
  <si>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</si>
  <si>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</si>
  <si>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</si>
  <si>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</si>
  <si>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</si>
  <si>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</si>
  <si>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</si>
  <si>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</si>
  <si>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</si>
  <si>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</si>
  <si>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</si>
  <si>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</si>
  <si>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</si>
  <si>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</si>
  <si>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</si>
  <si>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average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</si>
  <si>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</si>
  <si>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</si>
  <si>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</si>
  <si>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</si>
  <si>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</si>
  <si>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</si>
  <si>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</si>
  <si>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</si>
  <si>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</si>
  <si>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</si>
  <si>
    <t>11</t>
  </si>
  <si>
    <t>13</t>
  </si>
  <si>
    <t>14</t>
  </si>
  <si>
    <t>xsk</t>
  </si>
  <si>
    <t>sk</t>
  </si>
  <si>
    <t>encoding</t>
  </si>
  <si>
    <t>all</t>
  </si>
  <si>
    <t>arabic</t>
  </si>
  <si>
    <t>german</t>
  </si>
  <si>
    <t>english</t>
  </si>
  <si>
    <t>french</t>
  </si>
  <si>
    <t>russian</t>
  </si>
  <si>
    <t>lang</t>
  </si>
  <si>
    <t>norm</t>
  </si>
  <si>
    <t>stdev</t>
  </si>
  <si>
    <t>score</t>
  </si>
  <si>
    <t>1g excluded</t>
  </si>
  <si>
    <t>1g included</t>
  </si>
  <si>
    <t>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</si>
</sst>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55"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0283B9-1946-D847-9CB7-589193B5236C}" name="Table134" displayName="Table134" ref="A1:S26" totalsRowShown="0">
  <autoFilter ref="A1:S26" xr:uid="{CFFBF5C2-C562-4A4E-B95B-091D1721BBE3}"/>
  <tableColumns count="19">
    <tableColumn id="1" xr3:uid="{4865E2D0-1E1C-3F40-8028-B36698D4557C}" name="lang">
      <calculatedColumnFormula>_xlfn.LET(_xlpm.c,$C2,_xlfn.TEXTBEFORE(_xlpm.c,"-"))</calculatedColumnFormula>
    </tableColumn>
    <tableColumn id="17" xr3:uid="{B9218B0E-B124-3342-AAC9-ECC9F630E087}" name="1g" dataDxfId="54">
      <calculatedColumnFormula>_xlfn.LET(_xlpm.c,_xlfn.SINGLE(Table134[condition]),IF(RIGHT(_xlpm.c,2)="1g",1,0))</calculatedColumnFormula>
    </tableColumn>
    <tableColumn id="16" xr3:uid="{E89A7E28-59E2-3E4B-BF09-44D62504B52B}" name="condition"/>
    <tableColumn id="2" xr3:uid="{120991AA-7290-9E4B-A0BA-8BFD1560C5D7}" name="3" dataDxfId="53"/>
    <tableColumn id="3" xr3:uid="{62F5197D-ED31-674C-8B7A-8C8B48828028}" name="4" dataDxfId="52"/>
    <tableColumn id="4" xr3:uid="{CC3B5F60-2FEB-C446-8FAC-ADDD2F47EE2F}" name="5" dataDxfId="51"/>
    <tableColumn id="5" xr3:uid="{54ACFD89-0DB7-3644-B0AB-ADE3A8A63EFB}" name="6" dataDxfId="50"/>
    <tableColumn id="6" xr3:uid="{6F338B7B-41DA-D748-BC82-4123C922073B}" name="7" dataDxfId="49"/>
    <tableColumn id="7" xr3:uid="{4516EA39-A7CA-4A4D-B0ED-4D867F50BD11}" name="8" dataDxfId="48"/>
    <tableColumn id="8" xr3:uid="{ED553A0F-52D7-804D-A52A-5D3A29B37E24}" name="9" dataDxfId="47"/>
    <tableColumn id="9" xr3:uid="{CFC2DC33-8B5D-6644-A9D8-9E6D8870C77A}" name="10" dataDxfId="46"/>
    <tableColumn id="13" xr3:uid="{73B1D3EB-ADD8-D444-BB02-1F2D65B754D4}" name="11" dataDxfId="45"/>
    <tableColumn id="10" xr3:uid="{C90828EB-35F5-2242-A66B-FA3690233EF4}" name="12" dataDxfId="44"/>
    <tableColumn id="14" xr3:uid="{6004F2E5-E7DE-554A-956A-CE0C19FF40BE}" name="13" dataDxfId="43"/>
    <tableColumn id="15" xr3:uid="{B63EFE1B-5E73-564D-964C-B18DAA6A04E7}" name="14" dataDxfId="42"/>
    <tableColumn id="11" xr3:uid="{20C1F629-5372-724C-A519-1A1B1C519771}" name="15" dataDxfId="41"/>
    <tableColumn id="12" xr3:uid="{259839B5-F9F1-9748-9006-378F9A5D412D}" name="average" dataDxfId="40">
      <calculatedColumnFormula>_xlfn.LET(_xlpm.d,$D2:$P2,AVERAGE(_xlpm.d))</calculatedColumnFormula>
    </tableColumn>
    <tableColumn id="21" xr3:uid="{C86834B4-3C9D-874B-9DE5-D8C07A5640FA}" name="stdev" dataDxfId="39">
      <calculatedColumnFormula>_xlfn.LET(_xlpm.d,$D2:$P2,STDEV(_xlpm.d))</calculatedColumnFormula>
    </tableColumn>
    <tableColumn id="22" xr3:uid="{1B604665-27AD-CC4E-B498-CA2913ECE77E}" name="score" dataDxfId="38">
      <calculatedColumnFormula>Table134[[#This Row],[average]]-SQRT(Table134[[#This Row],[stdev]])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E39A2-3F88-BC47-9552-70018CF8FBD2}" name="Table13" displayName="Table13" ref="A1:S36" totalsRowShown="0">
  <autoFilter ref="A1:S36" xr:uid="{CFFBF5C2-C562-4A4E-B95B-091D1721BBE3}"/>
  <tableColumns count="19">
    <tableColumn id="1" xr3:uid="{5FA330AF-5AC1-1D45-8CDC-0BDFD794DEFE}" name="lang">
      <calculatedColumnFormula>_xlfn.LET(_xlpm.c,$C2,_xlfn.TEXTBEFORE(_xlpm.c,"-"))</calculatedColumnFormula>
    </tableColumn>
    <tableColumn id="17" xr3:uid="{49A9D6CC-15D6-3240-926C-D53F2A13C9AC}" name="1g" dataDxfId="37">
      <calculatedColumnFormula>_xlfn.LET(_xlpm.c,_xlfn.SINGLE(Table13[condition]),IF(RIGHT(_xlpm.c,2)="1g",1,0))</calculatedColumnFormula>
    </tableColumn>
    <tableColumn id="16" xr3:uid="{CE263C24-2759-C54E-AC9F-528AB08D9092}" name="condition"/>
    <tableColumn id="2" xr3:uid="{4CA470D3-F958-7F47-8CDA-76CD6233B733}" name="3" dataDxfId="36"/>
    <tableColumn id="3" xr3:uid="{E34F5376-BD28-8844-9EBE-FAAD23E29C66}" name="4" dataDxfId="35"/>
    <tableColumn id="4" xr3:uid="{69DB00B1-8FC2-3743-AA6A-14670685A98A}" name="5" dataDxfId="34"/>
    <tableColumn id="5" xr3:uid="{6D3EB189-EAD3-CA40-8651-943882FA47B4}" name="6" dataDxfId="33"/>
    <tableColumn id="6" xr3:uid="{E7D869F3-4C03-2A46-9630-F8BD8C0F47F6}" name="7" dataDxfId="32"/>
    <tableColumn id="7" xr3:uid="{7F1F6495-4776-7D4D-A02A-1CF776A6B44F}" name="8" dataDxfId="31"/>
    <tableColumn id="8" xr3:uid="{DA0E3F98-0FA5-534A-BF60-7F8FAC8314C6}" name="9" dataDxfId="30"/>
    <tableColumn id="9" xr3:uid="{36C68ACD-5916-0B47-B5F4-25BC01A00C5E}" name="10" dataDxfId="29"/>
    <tableColumn id="13" xr3:uid="{41D33140-34AE-7448-8B20-9DBC65BCFFC7}" name="11" dataDxfId="28"/>
    <tableColumn id="10" xr3:uid="{2633299B-22B7-224D-B649-1E14168B3D35}" name="12" dataDxfId="27"/>
    <tableColumn id="14" xr3:uid="{D31FDAD6-9F13-244D-A87B-00084C7C58EA}" name="13" dataDxfId="26"/>
    <tableColumn id="15" xr3:uid="{F2BAB94F-8FA2-084D-9F24-E5FA69C54B59}" name="14" dataDxfId="25"/>
    <tableColumn id="11" xr3:uid="{A3AC9D2A-365E-574D-B42A-768808916D38}" name="15" dataDxfId="24"/>
    <tableColumn id="12" xr3:uid="{87B441F9-3AF7-DB45-82BA-18CD0F753193}" name="average" dataDxfId="23">
      <calculatedColumnFormula>_xlfn.LET(_xlpm.d,$D2:$P2,AVERAGE(_xlpm.d))</calculatedColumnFormula>
    </tableColumn>
    <tableColumn id="21" xr3:uid="{A11A6AA0-4E17-F349-98D6-D2DC034D6A9A}" name="stdev" dataDxfId="22">
      <calculatedColumnFormula>_xlfn.LET(_xlpm.d,$D2:$P2,STDEV(_xlpm.d))</calculatedColumnFormula>
    </tableColumn>
    <tableColumn id="22" xr3:uid="{E5F54F79-BD24-6A43-9502-98B674AE1640}" name="score" dataDxfId="21">
      <calculatedColumnFormula>Table13[[#This Row],[average]]-SQRT(Table13[[#This Row],[stdev]])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V36" totalsRowShown="0">
  <autoFilter ref="A1:V36" xr:uid="{CFFBF5C2-C562-4A4E-B95B-091D1721BBE3}"/>
  <tableColumns count="22">
    <tableColumn id="1" xr3:uid="{B965C989-233C-BA49-B251-382897A2BABE}" name="condition"/>
    <tableColumn id="20" xr3:uid="{F35624D0-F949-214D-BD2D-CAFFBDB13FDF}" name="lang" dataDxfId="20">
      <calculatedColumnFormula>_xlfn.TEXTBEFORE(Table1[[#This Row],[condition]],"-")</calculatedColumnFormula>
    </tableColumn>
    <tableColumn id="16" xr3:uid="{ED3D7830-52D2-2342-8C36-5C732C80DA5C}" name="xsk" dataDxfId="19">
      <calculatedColumnFormula>LEFT(Table1[[#This Row],[encoding]],3)=C$1</calculatedColumnFormula>
    </tableColumn>
    <tableColumn id="17" xr3:uid="{35EE7A08-BCD5-3140-9F5F-1714F122F254}" name="sk" dataDxfId="18">
      <calculatedColumnFormula>LEFT(Table1[[#This Row],[encoding]],2)=D$1</calculatedColumnFormula>
    </tableColumn>
    <tableColumn id="18" xr3:uid="{4BC61AEB-8174-4E44-89C2-380B7D578DCF}" name="norm" dataDxfId="17">
      <calculatedColumnFormula>NOT(OR(C2,D2))</calculatedColumnFormula>
    </tableColumn>
    <tableColumn id="19" xr3:uid="{0BBF53C1-52D1-C444-B8CE-3927D3347C52}" name="encoding" dataDxfId="16">
      <calculatedColumnFormula>_xlfn.TEXTAFTER(Table1[[#This Row],[condition]],"-")</calculatedColumnFormula>
    </tableColumn>
    <tableColumn id="2" xr3:uid="{E49E0B59-37B0-284D-BE77-40B5319AB755}" name="3" dataDxfId="15"/>
    <tableColumn id="3" xr3:uid="{12F044D8-6B04-8146-9059-0DD6BE8C153F}" name="4" dataDxfId="14"/>
    <tableColumn id="4" xr3:uid="{28314014-34F8-EF4B-AF7B-FC88FF8A6DA9}" name="5" dataDxfId="13"/>
    <tableColumn id="5" xr3:uid="{0BD4A703-F893-784A-B65E-DB2D1E798103}" name="6" dataDxfId="12"/>
    <tableColumn id="6" xr3:uid="{50D9F421-0114-CF41-9767-B830E35DC34D}" name="7" dataDxfId="11"/>
    <tableColumn id="7" xr3:uid="{E0DD0445-0346-1E47-9A2C-83486C4A03C4}" name="8" dataDxfId="10"/>
    <tableColumn id="8" xr3:uid="{5556115A-B62B-C140-944D-BADBB061EBB5}" name="9" dataDxfId="9"/>
    <tableColumn id="9" xr3:uid="{1B92E407-F94E-544F-B76D-B160EB3BC0AB}" name="10" dataDxfId="8"/>
    <tableColumn id="13" xr3:uid="{9CDDE4F6-FA7F-644D-B533-4942218F0695}" name="11" dataDxfId="7"/>
    <tableColumn id="10" xr3:uid="{6871B4E2-64FC-EF4F-91D7-DFBFD9EFB3C2}" name="12" dataDxfId="6"/>
    <tableColumn id="14" xr3:uid="{2A4D86B7-DFA8-4F4A-B5BF-8AD445AD0336}" name="13" dataDxfId="5"/>
    <tableColumn id="15" xr3:uid="{6A54E2D7-49D8-8B47-B14C-B80C17AAE8A0}" name="14" dataDxfId="4"/>
    <tableColumn id="11" xr3:uid="{059EBDD8-5269-D041-AFDD-56AB88BB8F27}" name="15" dataDxfId="3"/>
    <tableColumn id="12" xr3:uid="{486FCDF8-9414-E045-9047-739B6B9DD560}" name="average" dataDxfId="2">
      <calculatedColumnFormula>_xlfn.LET(_xlpm.d,$G2:$S2,AVERAGE(_xlpm.d))</calculatedColumnFormula>
    </tableColumn>
    <tableColumn id="21" xr3:uid="{E3733C8F-2F2F-6A4B-A352-A07FCBB06045}" name="stdev" dataDxfId="1">
      <calculatedColumnFormula>_xlfn.LET(_xlpm.d,$G2:$S2,STDEV(_xlpm.d))</calculatedColumnFormula>
    </tableColumn>
    <tableColumn id="22" xr3:uid="{93D88A92-C19B-B24D-9FE2-7F612F31FB11}" name="score" dataDxfId="0">
      <calculatedColumnFormula>Table1[[#This Row],[average]]-SQRT(Table1[[#This Row],[stdev]])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FB96-639D-CF43-81D9-7942FCC785B5}">
  <dimension ref="A1:S42"/>
  <sheetViews>
    <sheetView tabSelected="1" workbookViewId="0">
      <pane xSplit="9080" ySplit="3520" topLeftCell="A29" activePane="bottomRight"/>
      <selection activeCell="B2" sqref="B2"/>
      <selection pane="topRight" activeCell="C1" sqref="C1:C1048576"/>
      <selection pane="bottomLeft" activeCell="D37" sqref="D37:D42"/>
      <selection pane="bottomRight" activeCell="C30" sqref="C30"/>
    </sheetView>
  </sheetViews>
  <sheetFormatPr baseColWidth="10" defaultRowHeight="30" customHeight="1"/>
  <cols>
    <col min="1" max="1" width="10.75" customWidth="1"/>
    <col min="2" max="2" width="7.75" customWidth="1"/>
    <col min="3" max="3" width="12.875" customWidth="1"/>
    <col min="4" max="17" width="6.875" customWidth="1"/>
    <col min="18" max="18" width="7.375" customWidth="1"/>
    <col min="19" max="19" width="8.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_xlfn.LET(_xlpm.c,$C2,_xlfn.TEXTBEFORE(_xlpm.c,"-"))</f>
        <v>arabic</v>
      </c>
      <c r="B2">
        <f>_xlfn.LET(_xlpm.c,_xlfn.SINGLE(Table134[condition]),IF(RIGHT(_xlpm.c,2)="1g",1,0))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 t="shared" ref="Q2:Q26" si="0">_xlfn.LET(_xlpm.d,$D2:$P2,AVERAGE(_xlpm.d))</f>
        <v>1</v>
      </c>
      <c r="R2" s="3">
        <f t="shared" ref="R2:R26" si="1">_xlfn.LET(_xlpm.d,$D2:$P2,STDEV(_xlpm.d))</f>
        <v>0</v>
      </c>
      <c r="S2" s="1">
        <f>Table134[[#This Row],[average]]-SQRT(Table134[[#This Row],[stdev]])</f>
        <v>1</v>
      </c>
    </row>
    <row r="3" spans="1:19" ht="30" customHeight="1">
      <c r="A3" t="str">
        <f t="shared" ref="A3:A26" si="2">_xlfn.LET(_xlpm.c,$C3,_xlfn.TEXTBEFORE(_xlpm.c,"-"))</f>
        <v>arabic</v>
      </c>
      <c r="B3">
        <f>_xlfn.LET(_xlpm.c,_xlfn.SINGLE(Table134[condition]),IF(RIGHT(_xlpm.c,2)="1g",1,0))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si="0"/>
        <v>1</v>
      </c>
      <c r="R3" s="3">
        <f t="shared" si="1"/>
        <v>0</v>
      </c>
      <c r="S3" s="1">
        <f>Table134[[#This Row],[average]]-SQRT(Table134[[#This Row],[stdev]])</f>
        <v>1</v>
      </c>
    </row>
    <row r="4" spans="1:19" ht="30" customHeight="1">
      <c r="A4" t="str">
        <f t="shared" si="2"/>
        <v>arabic</v>
      </c>
      <c r="B4">
        <f>_xlfn.LET(_xlpm.c,_xlfn.SINGLE(Table134[condition]),IF(RIGHT(_xlpm.c,2)="1g",1,0))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0.99931127919426099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0.99994702147648162</v>
      </c>
      <c r="R4" s="3">
        <f t="shared" si="1"/>
        <v>1.9101678304391258E-4</v>
      </c>
      <c r="S4" s="1">
        <f>Table134[[#This Row],[average]]-SQRT(Table134[[#This Row],[stdev]])</f>
        <v>0.98612613933951543</v>
      </c>
    </row>
    <row r="5" spans="1:19" ht="30" customHeight="1">
      <c r="A5" t="str">
        <f t="shared" si="2"/>
        <v>arabic</v>
      </c>
      <c r="B5">
        <f>_xlfn.LET(_xlpm.c,_xlfn.SINGLE(Table134[condition]),IF(RIGHT(_xlpm.c,2)="1g",1,0))</f>
        <v>0</v>
      </c>
      <c r="C5" t="s">
        <v>14</v>
      </c>
      <c r="D5" s="1">
        <v>1</v>
      </c>
      <c r="E5" s="1">
        <v>1</v>
      </c>
      <c r="F5" s="1">
        <v>1</v>
      </c>
      <c r="G5" s="1">
        <v>1</v>
      </c>
      <c r="H5" s="1">
        <v>0.99518280291962202</v>
      </c>
      <c r="I5" s="1">
        <v>1</v>
      </c>
      <c r="J5" s="1">
        <v>1</v>
      </c>
      <c r="K5" s="1">
        <v>0.98898968210386295</v>
      </c>
      <c r="L5" s="1">
        <v>1</v>
      </c>
      <c r="M5" s="1">
        <v>1</v>
      </c>
      <c r="N5" s="1">
        <v>1</v>
      </c>
      <c r="O5" s="1">
        <v>0.99583248907967703</v>
      </c>
      <c r="P5" s="1">
        <v>0.99459333055661703</v>
      </c>
      <c r="Q5" s="1">
        <f t="shared" si="0"/>
        <v>0.99804602343536764</v>
      </c>
      <c r="R5" s="3">
        <f t="shared" si="1"/>
        <v>3.4326665076086357E-3</v>
      </c>
      <c r="S5" s="1">
        <f>Table134[[#This Row],[average]]-SQRT(Table134[[#This Row],[stdev]])</f>
        <v>0.93945706109937266</v>
      </c>
    </row>
    <row r="6" spans="1:19" ht="30" customHeight="1">
      <c r="A6" t="str">
        <f t="shared" si="2"/>
        <v>arabic</v>
      </c>
      <c r="B6">
        <f>_xlfn.LET(_xlpm.c,_xlfn.SINGLE(Table134[condition]),IF(RIGHT(_xlpm.c,2)="1g",1,0))</f>
        <v>0</v>
      </c>
      <c r="C6" t="s">
        <v>15</v>
      </c>
      <c r="D6" s="1">
        <v>1</v>
      </c>
      <c r="E6" s="1">
        <v>1</v>
      </c>
      <c r="F6" s="1">
        <v>1</v>
      </c>
      <c r="G6" s="1">
        <v>0.94290998083530198</v>
      </c>
      <c r="H6" s="1">
        <v>0.98130927491440401</v>
      </c>
      <c r="I6" s="1">
        <v>1</v>
      </c>
      <c r="J6" s="1">
        <v>0.99378498166682305</v>
      </c>
      <c r="K6" s="1">
        <v>0.97689492372965903</v>
      </c>
      <c r="L6" s="1">
        <v>0.98372437486200603</v>
      </c>
      <c r="M6" s="1">
        <v>1</v>
      </c>
      <c r="N6" s="1">
        <v>1</v>
      </c>
      <c r="O6" s="1">
        <v>1</v>
      </c>
      <c r="P6" s="1">
        <v>1</v>
      </c>
      <c r="Q6" s="1">
        <f t="shared" si="0"/>
        <v>0.99066334892370722</v>
      </c>
      <c r="R6" s="3">
        <f t="shared" si="1"/>
        <v>1.6615080437305821E-2</v>
      </c>
      <c r="S6" s="1">
        <f>Table134[[#This Row],[average]]-SQRT(Table134[[#This Row],[stdev]])</f>
        <v>0.86176385149526169</v>
      </c>
    </row>
    <row r="7" spans="1:19" ht="30" customHeight="1">
      <c r="A7" t="str">
        <f t="shared" si="2"/>
        <v>english</v>
      </c>
      <c r="B7">
        <f>_xlfn.LET(_xlpm.c,_xlfn.SINGLE(Table134[condition]),IF(RIGHT(_xlpm.c,2)="1g",1,0))</f>
        <v>1</v>
      </c>
      <c r="C7" t="s">
        <v>16</v>
      </c>
      <c r="D7" s="1">
        <v>0.90272250368998297</v>
      </c>
      <c r="E7" s="1">
        <v>0.80657558095176096</v>
      </c>
      <c r="F7" s="1">
        <v>0.60539256823001897</v>
      </c>
      <c r="G7" s="1">
        <v>0.60212061994449895</v>
      </c>
      <c r="H7" s="1">
        <v>0.62333020131796801</v>
      </c>
      <c r="I7" s="1">
        <v>0.20320007005823801</v>
      </c>
      <c r="J7" s="1">
        <v>0.32814465604892701</v>
      </c>
      <c r="K7" s="1">
        <v>0.28975325420891601</v>
      </c>
      <c r="L7" s="1">
        <v>0.14265251192311201</v>
      </c>
      <c r="M7" s="1">
        <v>0.19754332883006501</v>
      </c>
      <c r="N7" s="1">
        <v>0.183644549215009</v>
      </c>
      <c r="O7" s="1">
        <v>0</v>
      </c>
      <c r="P7" s="1">
        <v>0</v>
      </c>
      <c r="Q7" s="1">
        <f t="shared" si="0"/>
        <v>0.37577537264757671</v>
      </c>
      <c r="R7" s="3">
        <f t="shared" si="1"/>
        <v>0.29908107714596088</v>
      </c>
      <c r="S7" s="1">
        <f>Table134[[#This Row],[average]]-SQRT(Table134[[#This Row],[stdev]])</f>
        <v>-0.17110768354081979</v>
      </c>
    </row>
    <row r="8" spans="1:19" ht="30" customHeight="1">
      <c r="A8" t="str">
        <f t="shared" si="2"/>
        <v>english</v>
      </c>
      <c r="B8">
        <f>_xlfn.LET(_xlpm.c,_xlfn.SINGLE(Table134[condition]),IF(RIGHT(_xlpm.c,2)="1g",1,0))</f>
        <v>0</v>
      </c>
      <c r="C8" t="s">
        <v>17</v>
      </c>
      <c r="D8" s="1">
        <v>0.46351844074543902</v>
      </c>
      <c r="E8" s="1">
        <v>0.450087996838263</v>
      </c>
      <c r="F8" s="1">
        <v>0.25466742007735799</v>
      </c>
      <c r="G8" s="1">
        <v>0.14276229886935701</v>
      </c>
      <c r="H8" s="1">
        <v>0.30243430894659401</v>
      </c>
      <c r="I8" s="1">
        <v>0.28111012313163902</v>
      </c>
      <c r="J8" s="1">
        <v>0.24009947151196301</v>
      </c>
      <c r="K8" s="1">
        <v>0.156456947658729</v>
      </c>
      <c r="L8" s="1">
        <v>0.17868309630082299</v>
      </c>
      <c r="M8" s="1">
        <v>0.27282126049014499</v>
      </c>
      <c r="N8" s="1">
        <v>0.34721766579117702</v>
      </c>
      <c r="O8" s="1">
        <v>0</v>
      </c>
      <c r="P8" s="1">
        <v>0.26833948116858197</v>
      </c>
      <c r="Q8" s="1">
        <f t="shared" si="0"/>
        <v>0.25832296242538993</v>
      </c>
      <c r="R8" s="3">
        <f t="shared" si="1"/>
        <v>0.12473523614766975</v>
      </c>
      <c r="S8" s="1">
        <f>Table134[[#This Row],[average]]-SQRT(Table134[[#This Row],[stdev]])</f>
        <v>-9.4855797054380797E-2</v>
      </c>
    </row>
    <row r="9" spans="1:19" ht="30" customHeight="1">
      <c r="A9" t="str">
        <f t="shared" si="2"/>
        <v>english</v>
      </c>
      <c r="B9">
        <f>_xlfn.LET(_xlpm.c,_xlfn.SINGLE(Table134[condition]),IF(RIGHT(_xlpm.c,2)="1g",1,0))</f>
        <v>0</v>
      </c>
      <c r="C9" t="s">
        <v>18</v>
      </c>
      <c r="D9" s="1">
        <v>0.62741617293416396</v>
      </c>
      <c r="E9" s="1">
        <v>0.43101803037397501</v>
      </c>
      <c r="F9" s="1">
        <v>0.329437420642753</v>
      </c>
      <c r="G9" s="1">
        <v>0.43138983795718</v>
      </c>
      <c r="H9" s="1">
        <v>0.27996184360633702</v>
      </c>
      <c r="I9" s="1">
        <v>0.37836734916912801</v>
      </c>
      <c r="J9" s="1">
        <v>0.15285538227699999</v>
      </c>
      <c r="K9" s="1">
        <v>0</v>
      </c>
      <c r="L9" s="1">
        <v>0.143970466712564</v>
      </c>
      <c r="M9" s="1">
        <v>0.354050447984598</v>
      </c>
      <c r="N9" s="1">
        <v>0.29747449596574799</v>
      </c>
      <c r="O9" s="1">
        <v>0.28566821302480799</v>
      </c>
      <c r="P9" s="1">
        <v>0.22125697411659601</v>
      </c>
      <c r="Q9" s="1">
        <f t="shared" si="0"/>
        <v>0.30252820267421926</v>
      </c>
      <c r="R9" s="3">
        <f t="shared" si="1"/>
        <v>0.15660120491550958</v>
      </c>
      <c r="S9" s="1">
        <f>Table134[[#This Row],[average]]-SQRT(Table134[[#This Row],[stdev]])</f>
        <v>-9.3200498477857385E-2</v>
      </c>
    </row>
    <row r="10" spans="1:19" ht="30" customHeight="1">
      <c r="A10" t="str">
        <f t="shared" si="2"/>
        <v>english</v>
      </c>
      <c r="B10">
        <f>_xlfn.LET(_xlpm.c,_xlfn.SINGLE(Table134[condition]),IF(RIGHT(_xlpm.c,2)="1g",1,0))</f>
        <v>0</v>
      </c>
      <c r="C10" t="s">
        <v>19</v>
      </c>
      <c r="D10" s="1">
        <v>0.66336311919459601</v>
      </c>
      <c r="E10" s="1">
        <v>0</v>
      </c>
      <c r="F10" s="1">
        <v>0.34878973298222798</v>
      </c>
      <c r="G10" s="1">
        <v>0.29254703761045697</v>
      </c>
      <c r="H10" s="1">
        <v>0.428107778436915</v>
      </c>
      <c r="I10" s="1">
        <v>0.31785512545898598</v>
      </c>
      <c r="J10" s="1">
        <v>0.350019052720899</v>
      </c>
      <c r="K10" s="1">
        <v>0.31304974715973999</v>
      </c>
      <c r="L10" s="1">
        <v>0.39034648181720999</v>
      </c>
      <c r="M10" s="1">
        <v>0.25398077943855601</v>
      </c>
      <c r="N10" s="1">
        <v>0.245569074264679</v>
      </c>
      <c r="O10" s="1">
        <v>0.22529770256566301</v>
      </c>
      <c r="P10" s="1">
        <v>0.226665509016728</v>
      </c>
      <c r="Q10" s="1">
        <f t="shared" si="0"/>
        <v>0.31196854928205053</v>
      </c>
      <c r="R10" s="3">
        <f t="shared" si="1"/>
        <v>0.14894364502219426</v>
      </c>
      <c r="S10" s="1">
        <f>Table134[[#This Row],[average]]-SQRT(Table134[[#This Row],[stdev]])</f>
        <v>-7.3963627430638557E-2</v>
      </c>
    </row>
    <row r="11" spans="1:19" ht="30" customHeight="1">
      <c r="A11" t="str">
        <f t="shared" si="2"/>
        <v>english</v>
      </c>
      <c r="B11">
        <f>_xlfn.LET(_xlpm.c,_xlfn.SINGLE(Table134[condition]),IF(RIGHT(_xlpm.c,2)="1g",1,0))</f>
        <v>0</v>
      </c>
      <c r="C11" t="s">
        <v>20</v>
      </c>
      <c r="D11" s="1">
        <v>0.62704390697451395</v>
      </c>
      <c r="E11" s="1">
        <v>0.54588714643985603</v>
      </c>
      <c r="F11" s="1">
        <v>0.31796988369488</v>
      </c>
      <c r="G11" s="1">
        <v>0.325780455162897</v>
      </c>
      <c r="H11" s="1">
        <v>0.55815181512727396</v>
      </c>
      <c r="I11" s="1">
        <v>0.48693679725316502</v>
      </c>
      <c r="J11" s="1">
        <v>0.59715759698203896</v>
      </c>
      <c r="K11" s="1">
        <v>0</v>
      </c>
      <c r="L11" s="1">
        <v>0.51451648702328301</v>
      </c>
      <c r="M11" s="1">
        <v>0.35041756285728698</v>
      </c>
      <c r="N11" s="1">
        <v>0.18203478804482601</v>
      </c>
      <c r="O11" s="1">
        <v>0.47823364341260399</v>
      </c>
      <c r="P11" s="1">
        <v>0.34889502943732298</v>
      </c>
      <c r="Q11" s="1">
        <f t="shared" si="0"/>
        <v>0.41023270095461134</v>
      </c>
      <c r="R11" s="3">
        <f t="shared" si="1"/>
        <v>0.17957423944773812</v>
      </c>
      <c r="S11" s="1">
        <f>Table134[[#This Row],[average]]-SQRT(Table134[[#This Row],[stdev]])</f>
        <v>-1.3529307073170849E-2</v>
      </c>
    </row>
    <row r="12" spans="1:19" ht="30" customHeight="1">
      <c r="A12" t="str">
        <f t="shared" si="2"/>
        <v>french</v>
      </c>
      <c r="B12">
        <f>_xlfn.LET(_xlpm.c,_xlfn.SINGLE(Table134[condition]),IF(RIGHT(_xlpm.c,2)="1g",1,0))</f>
        <v>1</v>
      </c>
      <c r="C12" t="s">
        <v>21</v>
      </c>
      <c r="D12" s="1">
        <v>0.91216966747093597</v>
      </c>
      <c r="E12" s="1">
        <v>0.87924986173788</v>
      </c>
      <c r="F12" s="1">
        <v>0.96102214902870697</v>
      </c>
      <c r="G12" s="1">
        <v>0.67420146360932698</v>
      </c>
      <c r="H12" s="1">
        <v>0.62513972275659102</v>
      </c>
      <c r="I12" s="1">
        <v>0.62175071570707596</v>
      </c>
      <c r="J12" s="1">
        <v>0.15398049991169099</v>
      </c>
      <c r="K12" s="1">
        <v>0.186250034839613</v>
      </c>
      <c r="L12" s="1">
        <v>0.44446397723860598</v>
      </c>
      <c r="M12" s="1">
        <v>0.152378381936361</v>
      </c>
      <c r="N12" s="1">
        <v>0.20190115069148401</v>
      </c>
      <c r="O12" s="1">
        <v>0</v>
      </c>
      <c r="P12" s="1">
        <v>0.41950039189481803</v>
      </c>
      <c r="Q12" s="1">
        <f t="shared" si="0"/>
        <v>0.47938523206331474</v>
      </c>
      <c r="R12" s="3">
        <f t="shared" si="1"/>
        <v>0.32519188486539141</v>
      </c>
      <c r="S12" s="1">
        <f>Table134[[#This Row],[average]]-SQRT(Table134[[#This Row],[stdev]])</f>
        <v>-9.0870749812712037E-2</v>
      </c>
    </row>
    <row r="13" spans="1:19" ht="30" customHeight="1">
      <c r="A13" t="str">
        <f t="shared" si="2"/>
        <v>french</v>
      </c>
      <c r="B13">
        <f>_xlfn.LET(_xlpm.c,_xlfn.SINGLE(Table134[condition]),IF(RIGHT(_xlpm.c,2)="1g",1,0))</f>
        <v>0</v>
      </c>
      <c r="C13" t="s">
        <v>22</v>
      </c>
      <c r="D13" s="1">
        <v>0.29080667703107999</v>
      </c>
      <c r="E13" s="1">
        <v>0.50221620949718204</v>
      </c>
      <c r="F13" s="1">
        <v>0.132290969010156</v>
      </c>
      <c r="G13" s="1">
        <v>0.41629127269568</v>
      </c>
      <c r="H13" s="1">
        <v>0.243893832746683</v>
      </c>
      <c r="I13" s="1">
        <v>0.44996331448374099</v>
      </c>
      <c r="J13" s="1">
        <v>0.16642149066165099</v>
      </c>
      <c r="K13" s="1">
        <v>0.22613737764415201</v>
      </c>
      <c r="L13" s="1">
        <v>0</v>
      </c>
      <c r="M13" s="1">
        <v>0.33873297410033099</v>
      </c>
      <c r="N13" s="1">
        <v>0</v>
      </c>
      <c r="O13" s="1">
        <v>0.27705819826119199</v>
      </c>
      <c r="P13" s="1">
        <v>0</v>
      </c>
      <c r="Q13" s="1">
        <f t="shared" si="0"/>
        <v>0.23413940893321911</v>
      </c>
      <c r="R13" s="3">
        <f t="shared" si="1"/>
        <v>0.17009782411172555</v>
      </c>
      <c r="S13" s="1">
        <f>Table134[[#This Row],[average]]-SQRT(Table134[[#This Row],[stdev]])</f>
        <v>-0.17828976572798932</v>
      </c>
    </row>
    <row r="14" spans="1:19" ht="30" customHeight="1">
      <c r="A14" t="str">
        <f t="shared" si="2"/>
        <v>french</v>
      </c>
      <c r="B14">
        <f>_xlfn.LET(_xlpm.c,_xlfn.SINGLE(Table134[condition]),IF(RIGHT(_xlpm.c,2)="1g",1,0))</f>
        <v>0</v>
      </c>
      <c r="C14" t="s">
        <v>23</v>
      </c>
      <c r="D14" s="1">
        <v>0.49789643178208398</v>
      </c>
      <c r="E14" s="1">
        <v>0.40351628138508899</v>
      </c>
      <c r="F14" s="1">
        <v>0.40251224997033602</v>
      </c>
      <c r="G14" s="1">
        <v>0.433688337925139</v>
      </c>
      <c r="H14" s="1">
        <v>0.35726386606267801</v>
      </c>
      <c r="I14" s="1">
        <v>0.39009991326135401</v>
      </c>
      <c r="J14" s="1">
        <v>0.154963019024764</v>
      </c>
      <c r="K14" s="1">
        <v>0.225985807927152</v>
      </c>
      <c r="L14" s="1">
        <v>0.30923410644181198</v>
      </c>
      <c r="M14" s="1">
        <v>0.21971312080171401</v>
      </c>
      <c r="N14" s="1">
        <v>0.255026389766216</v>
      </c>
      <c r="O14" s="1">
        <v>0.29311328273228499</v>
      </c>
      <c r="P14" s="1">
        <v>0.41108035072110199</v>
      </c>
      <c r="Q14" s="1">
        <f t="shared" si="0"/>
        <v>0.33493024290782497</v>
      </c>
      <c r="R14" s="3">
        <f t="shared" si="1"/>
        <v>0.10051927125212239</v>
      </c>
      <c r="S14" s="1">
        <f>Table134[[#This Row],[average]]-SQRT(Table134[[#This Row],[stdev]])</f>
        <v>1.7882500048610805E-2</v>
      </c>
    </row>
    <row r="15" spans="1:19" ht="30" customHeight="1">
      <c r="A15" t="str">
        <f t="shared" si="2"/>
        <v>french</v>
      </c>
      <c r="B15">
        <f>_xlfn.LET(_xlpm.c,_xlfn.SINGLE(Table134[condition]),IF(RIGHT(_xlpm.c,2)="1g",1,0))</f>
        <v>0</v>
      </c>
      <c r="C15" t="s">
        <v>24</v>
      </c>
      <c r="D15" s="1">
        <v>0.48095534106962201</v>
      </c>
      <c r="E15" s="1">
        <v>0.51280505390244202</v>
      </c>
      <c r="F15" s="1">
        <v>0.45132299934543402</v>
      </c>
      <c r="G15" s="1">
        <v>0.29723976617231401</v>
      </c>
      <c r="H15" s="1">
        <v>0.48423970229698199</v>
      </c>
      <c r="I15" s="1">
        <v>0.60182595279083795</v>
      </c>
      <c r="J15" s="1">
        <v>0.51364463431432605</v>
      </c>
      <c r="K15" s="1">
        <v>0.51829771070252895</v>
      </c>
      <c r="L15" s="1">
        <v>0</v>
      </c>
      <c r="M15" s="1">
        <v>0.57987720592376901</v>
      </c>
      <c r="N15" s="1">
        <v>0</v>
      </c>
      <c r="O15" s="1">
        <v>0.32138786042668999</v>
      </c>
      <c r="P15" s="1">
        <v>0.18344188300544401</v>
      </c>
      <c r="Q15" s="1">
        <f t="shared" si="0"/>
        <v>0.38038754691926085</v>
      </c>
      <c r="R15" s="3">
        <f t="shared" si="1"/>
        <v>0.20567867838576134</v>
      </c>
      <c r="S15" s="1">
        <f>Table134[[#This Row],[average]]-SQRT(Table134[[#This Row],[stdev]])</f>
        <v>-7.3130565603008013E-2</v>
      </c>
    </row>
    <row r="16" spans="1:19" ht="30" customHeight="1">
      <c r="A16" t="str">
        <f t="shared" si="2"/>
        <v>french</v>
      </c>
      <c r="B16">
        <f>_xlfn.LET(_xlpm.c,_xlfn.SINGLE(Table134[condition]),IF(RIGHT(_xlpm.c,2)="1g",1,0))</f>
        <v>0</v>
      </c>
      <c r="C16" t="s">
        <v>25</v>
      </c>
      <c r="D16" s="1">
        <v>0.58984241109147795</v>
      </c>
      <c r="E16" s="1">
        <v>0.492304844924906</v>
      </c>
      <c r="F16" s="1">
        <v>0.71418634900702704</v>
      </c>
      <c r="G16" s="1">
        <v>0.42868573629878898</v>
      </c>
      <c r="H16" s="1">
        <v>0.23575962930767</v>
      </c>
      <c r="I16" s="1">
        <v>0.425170143636253</v>
      </c>
      <c r="J16" s="1">
        <v>0.505836916492863</v>
      </c>
      <c r="K16" s="1">
        <v>0.42562758722180999</v>
      </c>
      <c r="L16" s="1">
        <v>0.38315644868383503</v>
      </c>
      <c r="M16" s="1">
        <v>0.28297502281195303</v>
      </c>
      <c r="N16" s="1">
        <v>0.28975499610377098</v>
      </c>
      <c r="O16" s="1">
        <v>0.34723607539498602</v>
      </c>
      <c r="P16" s="1">
        <v>0</v>
      </c>
      <c r="Q16" s="1">
        <f t="shared" si="0"/>
        <v>0.3938873969981031</v>
      </c>
      <c r="R16" s="3">
        <f t="shared" si="1"/>
        <v>0.1760666854395421</v>
      </c>
      <c r="S16" s="1">
        <f>Table134[[#This Row],[average]]-SQRT(Table134[[#This Row],[stdev]])</f>
        <v>-2.5715612332790627E-2</v>
      </c>
    </row>
    <row r="17" spans="1:19" ht="30" customHeight="1">
      <c r="A17" t="str">
        <f t="shared" si="2"/>
        <v>german</v>
      </c>
      <c r="B17">
        <f>_xlfn.LET(_xlpm.c,_xlfn.SINGLE(Table134[condition]),IF(RIGHT(_xlpm.c,2)="1g",1,0))</f>
        <v>1</v>
      </c>
      <c r="C17" t="s">
        <v>26</v>
      </c>
      <c r="D17" s="1">
        <v>0.90490189880011995</v>
      </c>
      <c r="E17" s="1">
        <v>0.79329672893408798</v>
      </c>
      <c r="F17" s="1">
        <v>0.78332620028047595</v>
      </c>
      <c r="G17" s="1">
        <v>0.65624988122946304</v>
      </c>
      <c r="H17" s="1">
        <v>0.493921615283402</v>
      </c>
      <c r="I17" s="1">
        <v>0.45713826837200899</v>
      </c>
      <c r="J17" s="1">
        <v>0.57023193783737003</v>
      </c>
      <c r="K17" s="1">
        <v>0.40413312427077402</v>
      </c>
      <c r="L17" s="1">
        <v>0.46575970279096801</v>
      </c>
      <c r="M17" s="1">
        <v>0.20249935578358899</v>
      </c>
      <c r="N17" s="1">
        <v>0.42305506335528797</v>
      </c>
      <c r="O17" s="1">
        <v>0.14153271637606701</v>
      </c>
      <c r="P17" s="1">
        <v>0.35401390498837498</v>
      </c>
      <c r="Q17" s="1">
        <f t="shared" si="0"/>
        <v>0.51154310756169141</v>
      </c>
      <c r="R17" s="3">
        <f t="shared" si="1"/>
        <v>0.2262615489396575</v>
      </c>
      <c r="S17" s="1">
        <f>Table134[[#This Row],[average]]-SQRT(Table134[[#This Row],[stdev]])</f>
        <v>3.5873527979753572E-2</v>
      </c>
    </row>
    <row r="18" spans="1:19" ht="30" customHeight="1">
      <c r="A18" t="str">
        <f t="shared" si="2"/>
        <v>german</v>
      </c>
      <c r="B18">
        <f>_xlfn.LET(_xlpm.c,_xlfn.SINGLE(Table134[condition]),IF(RIGHT(_xlpm.c,2)="1g",1,0))</f>
        <v>0</v>
      </c>
      <c r="C18" t="s">
        <v>27</v>
      </c>
      <c r="D18" s="1">
        <v>0.66623791601519899</v>
      </c>
      <c r="E18" s="1">
        <v>0.53603232691762703</v>
      </c>
      <c r="F18" s="1">
        <v>0.67628457055884506</v>
      </c>
      <c r="G18" s="1">
        <v>0.53439020673359905</v>
      </c>
      <c r="H18" s="1">
        <v>0.373445694092497</v>
      </c>
      <c r="I18" s="1">
        <v>0.32718638698651098</v>
      </c>
      <c r="J18" s="1">
        <v>0.39754204853304898</v>
      </c>
      <c r="K18" s="1">
        <v>0.29213131826774102</v>
      </c>
      <c r="L18" s="1">
        <v>0.15340006382896701</v>
      </c>
      <c r="M18" s="1">
        <v>0.21944698840846399</v>
      </c>
      <c r="N18" s="1">
        <v>0.3868872849228</v>
      </c>
      <c r="O18" s="1">
        <v>0.47362778004297001</v>
      </c>
      <c r="P18" s="1">
        <v>0.34652503614441899</v>
      </c>
      <c r="Q18" s="1">
        <f t="shared" si="0"/>
        <v>0.41408750934251448</v>
      </c>
      <c r="R18" s="3">
        <f t="shared" si="1"/>
        <v>0.15830179287339091</v>
      </c>
      <c r="S18" s="1">
        <f>Table134[[#This Row],[average]]-SQRT(Table134[[#This Row],[stdev]])</f>
        <v>1.6215930974077974E-2</v>
      </c>
    </row>
    <row r="19" spans="1:19" ht="30" customHeight="1">
      <c r="A19" t="str">
        <f t="shared" si="2"/>
        <v>german</v>
      </c>
      <c r="B19">
        <f>_xlfn.LET(_xlpm.c,_xlfn.SINGLE(Table134[condition]),IF(RIGHT(_xlpm.c,2)="1g",1,0))</f>
        <v>0</v>
      </c>
      <c r="C19" t="s">
        <v>28</v>
      </c>
      <c r="D19" s="1">
        <v>0.69236511292257297</v>
      </c>
      <c r="E19" s="1">
        <v>0.73835663390375905</v>
      </c>
      <c r="F19" s="1">
        <v>0.47616324289734202</v>
      </c>
      <c r="G19" s="1">
        <v>0.47768127849203501</v>
      </c>
      <c r="H19" s="1">
        <v>0.69702573903148102</v>
      </c>
      <c r="I19" s="1">
        <v>0.46117553770768599</v>
      </c>
      <c r="J19" s="1">
        <v>0.61647901551014705</v>
      </c>
      <c r="K19" s="1">
        <v>0.166961606871459</v>
      </c>
      <c r="L19" s="1">
        <v>0.15394037732944399</v>
      </c>
      <c r="M19" s="1">
        <v>0.25807068108229098</v>
      </c>
      <c r="N19" s="1">
        <v>0.24969770356086901</v>
      </c>
      <c r="O19" s="1">
        <v>0.41527347919407198</v>
      </c>
      <c r="P19" s="1">
        <v>0.28599480765989299</v>
      </c>
      <c r="Q19" s="1">
        <f t="shared" si="0"/>
        <v>0.4376296320125424</v>
      </c>
      <c r="R19" s="3">
        <f t="shared" si="1"/>
        <v>0.20474318010945797</v>
      </c>
      <c r="S19" s="1">
        <f>Table134[[#This Row],[average]]-SQRT(Table134[[#This Row],[stdev]])</f>
        <v>-1.4855925888986599E-2</v>
      </c>
    </row>
    <row r="20" spans="1:19" ht="30" customHeight="1">
      <c r="A20" t="str">
        <f t="shared" si="2"/>
        <v>german</v>
      </c>
      <c r="B20">
        <f>_xlfn.LET(_xlpm.c,_xlfn.SINGLE(Table134[condition]),IF(RIGHT(_xlpm.c,2)="1g",1,0))</f>
        <v>0</v>
      </c>
      <c r="C20" t="s">
        <v>29</v>
      </c>
      <c r="D20" s="1">
        <v>0.47244152262623901</v>
      </c>
      <c r="E20" s="1">
        <v>0.65295349367325295</v>
      </c>
      <c r="F20" s="1">
        <v>0.70895451404011101</v>
      </c>
      <c r="G20" s="1">
        <v>0.43558199276790099</v>
      </c>
      <c r="H20" s="1">
        <v>0.55519571844313997</v>
      </c>
      <c r="I20" s="1">
        <v>0.30258113592965502</v>
      </c>
      <c r="J20" s="1">
        <v>0.46823222045907598</v>
      </c>
      <c r="K20" s="1">
        <v>0.31216658060360702</v>
      </c>
      <c r="L20" s="1">
        <v>0.34924971026082402</v>
      </c>
      <c r="M20" s="1">
        <v>0.39629448083400098</v>
      </c>
      <c r="N20" s="1">
        <v>0.24927459366104299</v>
      </c>
      <c r="O20" s="1">
        <v>0.33918726552084799</v>
      </c>
      <c r="P20" s="1">
        <v>0.37201990632738602</v>
      </c>
      <c r="Q20" s="1">
        <f t="shared" si="0"/>
        <v>0.43185639501131412</v>
      </c>
      <c r="R20" s="3">
        <f t="shared" si="1"/>
        <v>0.13798987346953828</v>
      </c>
      <c r="S20" s="1">
        <f>Table134[[#This Row],[average]]-SQRT(Table134[[#This Row],[stdev]])</f>
        <v>6.0386512693059058E-2</v>
      </c>
    </row>
    <row r="21" spans="1:19" ht="30" customHeight="1">
      <c r="A21" t="str">
        <f t="shared" si="2"/>
        <v>german</v>
      </c>
      <c r="B21">
        <f>_xlfn.LET(_xlpm.c,_xlfn.SINGLE(Table134[condition]),IF(RIGHT(_xlpm.c,2)="1g",1,0))</f>
        <v>0</v>
      </c>
      <c r="C21" t="s">
        <v>30</v>
      </c>
      <c r="D21" s="1">
        <v>0.66454965374001895</v>
      </c>
      <c r="E21" s="1">
        <v>0.64608866496186101</v>
      </c>
      <c r="F21" s="1">
        <v>0.52245489981063498</v>
      </c>
      <c r="G21" s="1">
        <v>0.51757047532018996</v>
      </c>
      <c r="H21" s="1">
        <v>0.46828490330212902</v>
      </c>
      <c r="I21" s="1">
        <v>0.36417862807243001</v>
      </c>
      <c r="J21" s="1">
        <v>0.29747350000849898</v>
      </c>
      <c r="K21" s="1">
        <v>0.56433154194413004</v>
      </c>
      <c r="L21" s="1">
        <v>0.279126149397664</v>
      </c>
      <c r="M21" s="1">
        <v>0</v>
      </c>
      <c r="N21" s="1">
        <v>0.55813696463560103</v>
      </c>
      <c r="O21" s="1">
        <v>0.25112969602933499</v>
      </c>
      <c r="P21" s="1">
        <v>0.217965207219777</v>
      </c>
      <c r="Q21" s="1">
        <f t="shared" si="0"/>
        <v>0.41163771418786688</v>
      </c>
      <c r="R21" s="3">
        <f t="shared" si="1"/>
        <v>0.19493222208758323</v>
      </c>
      <c r="S21" s="1">
        <f>Table134[[#This Row],[average]]-SQRT(Table134[[#This Row],[stdev]])</f>
        <v>-2.9873579085117508E-2</v>
      </c>
    </row>
    <row r="22" spans="1:19" ht="30" customHeight="1">
      <c r="A22" t="str">
        <f t="shared" si="2"/>
        <v>russian</v>
      </c>
      <c r="B22">
        <f>_xlfn.LET(_xlpm.c,_xlfn.SINGLE(Table134[condition]),IF(RIGHT(_xlpm.c,2)="1g",1,0))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</v>
      </c>
      <c r="R22" s="3">
        <f t="shared" si="1"/>
        <v>0</v>
      </c>
      <c r="S22" s="1">
        <f>Table134[[#This Row],[average]]-SQRT(Table134[[#This Row],[stdev]])</f>
        <v>1</v>
      </c>
    </row>
    <row r="23" spans="1:19" ht="30" customHeight="1">
      <c r="A23" t="str">
        <f t="shared" si="2"/>
        <v>russian</v>
      </c>
      <c r="B23">
        <f>_xlfn.LET(_xlpm.c,_xlfn.SINGLE(Table134[condition]),IF(RIGHT(_xlpm.c,2)="1g",1,0))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 t="shared" si="0"/>
        <v>1</v>
      </c>
      <c r="R23" s="3">
        <f t="shared" si="1"/>
        <v>0</v>
      </c>
      <c r="S23" s="1">
        <f>Table134[[#This Row],[average]]-SQRT(Table134[[#This Row],[stdev]])</f>
        <v>1</v>
      </c>
    </row>
    <row r="24" spans="1:19" ht="30" customHeight="1">
      <c r="A24" t="str">
        <f t="shared" si="2"/>
        <v>russian</v>
      </c>
      <c r="B24">
        <f>_xlfn.LET(_xlpm.c,_xlfn.SINGLE(Table134[condition]),IF(RIGHT(_xlpm.c,2)="1g",1,0))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</v>
      </c>
      <c r="R24" s="3">
        <f t="shared" si="1"/>
        <v>0</v>
      </c>
      <c r="S24" s="1">
        <f>Table134[[#This Row],[average]]-SQRT(Table134[[#This Row],[stdev]])</f>
        <v>1</v>
      </c>
    </row>
    <row r="25" spans="1:19" ht="30" customHeight="1">
      <c r="A25" t="str">
        <f t="shared" si="2"/>
        <v>russian</v>
      </c>
      <c r="B25">
        <f>_xlfn.LET(_xlpm.c,_xlfn.SINGLE(Table134[condition]),IF(RIGHT(_xlpm.c,2)="1g",1,0))</f>
        <v>0</v>
      </c>
      <c r="C25" t="s">
        <v>34</v>
      </c>
      <c r="D25" s="1">
        <v>0.99558758096830202</v>
      </c>
      <c r="E25" s="1">
        <v>1</v>
      </c>
      <c r="F25" s="1">
        <v>1</v>
      </c>
      <c r="G25" s="1">
        <v>0.99976190447845703</v>
      </c>
      <c r="H25" s="1">
        <v>0.99875774863915401</v>
      </c>
      <c r="I25" s="1">
        <v>0.99873733146369303</v>
      </c>
      <c r="J25" s="1">
        <v>1</v>
      </c>
      <c r="K25" s="1">
        <v>1</v>
      </c>
      <c r="L25" s="1">
        <v>1</v>
      </c>
      <c r="M25" s="1">
        <v>0.99046233260439398</v>
      </c>
      <c r="N25" s="1">
        <v>1</v>
      </c>
      <c r="O25" s="1">
        <v>1</v>
      </c>
      <c r="P25" s="1">
        <v>1</v>
      </c>
      <c r="Q25" s="1">
        <f t="shared" si="0"/>
        <v>0.99871591524261549</v>
      </c>
      <c r="R25" s="3">
        <f t="shared" si="1"/>
        <v>2.7718133832694762E-3</v>
      </c>
      <c r="S25" s="1">
        <f>Table134[[#This Row],[average]]-SQRT(Table134[[#This Row],[stdev]])</f>
        <v>0.94606790119394057</v>
      </c>
    </row>
    <row r="26" spans="1:19" ht="30" customHeight="1">
      <c r="A26" t="str">
        <f t="shared" si="2"/>
        <v>russian</v>
      </c>
      <c r="B26">
        <f>_xlfn.LET(_xlpm.c,_xlfn.SINGLE(Table134[condition]),IF(RIGHT(_xlpm.c,2)="1g",1,0))</f>
        <v>0</v>
      </c>
      <c r="C26" t="s">
        <v>35</v>
      </c>
      <c r="D26" s="1">
        <v>0.97841124438280003</v>
      </c>
      <c r="E26" s="1">
        <v>1</v>
      </c>
      <c r="F26" s="1">
        <v>0.89700723703476604</v>
      </c>
      <c r="G26" s="1">
        <v>1</v>
      </c>
      <c r="H26" s="1">
        <v>0.99935938080315201</v>
      </c>
      <c r="I26" s="1">
        <v>0.79534301140742203</v>
      </c>
      <c r="J26" s="1">
        <v>1</v>
      </c>
      <c r="K26" s="1">
        <v>1</v>
      </c>
      <c r="L26" s="1">
        <v>1</v>
      </c>
      <c r="M26" s="1">
        <v>0.95887985344470195</v>
      </c>
      <c r="N26" s="1">
        <v>0.99588458780222799</v>
      </c>
      <c r="O26" s="1">
        <v>0.58578643762690497</v>
      </c>
      <c r="P26" s="1">
        <v>0.44444283215868602</v>
      </c>
      <c r="Q26" s="1">
        <f t="shared" si="0"/>
        <v>0.89654727574312765</v>
      </c>
      <c r="R26" s="3">
        <f t="shared" si="1"/>
        <v>0.1816018681068621</v>
      </c>
      <c r="S26" s="1">
        <f>Table134[[#This Row],[average]]-SQRT(Table134[[#This Row],[stdev]])</f>
        <v>0.47039956883053369</v>
      </c>
    </row>
    <row r="28" spans="1:19" ht="30" customHeight="1">
      <c r="C28" t="s">
        <v>64</v>
      </c>
    </row>
    <row r="29" spans="1:19" ht="30" customHeight="1">
      <c r="C29" t="s">
        <v>53</v>
      </c>
      <c r="D29" s="2">
        <f t="shared" ref="D29:Q29" si="3">_xlfn.LET(_xlpm.d,D$2:D$26,AVERAGE(_xlpm.d))</f>
        <v>0.77720918405756612</v>
      </c>
      <c r="E29" s="2">
        <f t="shared" si="3"/>
        <v>0.73561555417767777</v>
      </c>
      <c r="F29" s="2">
        <f t="shared" si="3"/>
        <v>0.70327129626444285</v>
      </c>
      <c r="G29" s="2">
        <f t="shared" si="3"/>
        <v>0.66435410184410348</v>
      </c>
      <c r="H29" s="2">
        <f t="shared" si="3"/>
        <v>0.66803062312138684</v>
      </c>
      <c r="I29" s="2">
        <f t="shared" si="3"/>
        <v>0.63450479219559297</v>
      </c>
      <c r="J29" s="2">
        <f t="shared" si="3"/>
        <v>0.62027465695844353</v>
      </c>
      <c r="K29" s="2">
        <f t="shared" si="3"/>
        <v>0.56188668980615497</v>
      </c>
      <c r="L29" s="2">
        <f t="shared" si="3"/>
        <v>0.55566140935221531</v>
      </c>
      <c r="M29" s="2">
        <f t="shared" si="3"/>
        <v>0.56112575109328888</v>
      </c>
      <c r="N29" s="2">
        <f t="shared" si="3"/>
        <v>0.55462237231122957</v>
      </c>
      <c r="O29" s="2">
        <f t="shared" si="3"/>
        <v>0.53721459358752399</v>
      </c>
      <c r="P29" s="2">
        <f t="shared" si="3"/>
        <v>0.52378938577662981</v>
      </c>
      <c r="Q29" s="2">
        <f t="shared" si="3"/>
        <v>0.62288926234971198</v>
      </c>
    </row>
    <row r="30" spans="1:19" ht="30" customHeight="1">
      <c r="C30" t="s">
        <v>54</v>
      </c>
      <c r="D30" s="2" cm="1">
        <f t="array" ref="D30">_xlfn.LET(_xlpm.d,D$2:D$26,_xlpm.f,$A$2:$A$26,_xlpm.k,$C30,AVERAGE(_xlfn._xlws.FILTER(_xlpm.d,_xlpm.f=_xlpm.k)))</f>
        <v>1</v>
      </c>
      <c r="E30" s="2" cm="1">
        <f t="array" ref="E30">_xlfn.LET(_xlpm.d,E$2:E$26,_xlpm.f,$A$2:$A$26,_xlpm.k,$C30,AVERAGE(_xlfn._xlws.FILTER(_xlpm.d,_xlpm.f=_xlpm.k)))</f>
        <v>1</v>
      </c>
      <c r="F30" s="2" cm="1">
        <f t="array" ref="F30">_xlfn.LET(_xlpm.d,F$2:F$26,_xlpm.f,$A$2:$A$26,_xlpm.k,$C30,AVERAGE(_xlfn._xlws.FILTER(_xlpm.d,_xlpm.f=_xlpm.k)))</f>
        <v>1</v>
      </c>
      <c r="G30" s="2" cm="1">
        <f t="array" ref="G30">_xlfn.LET(_xlpm.d,G$2:G$26,_xlpm.f,$A$2:$A$26,_xlpm.k,$C30,AVERAGE(_xlfn._xlws.FILTER(_xlpm.d,_xlpm.f=_xlpm.k)))</f>
        <v>0.98858199616706044</v>
      </c>
      <c r="H30" s="2" cm="1">
        <f t="array" ref="H30">_xlfn.LET(_xlpm.d,H$2:H$26,_xlpm.f,$A$2:$A$26,_xlpm.k,$C30,AVERAGE(_xlfn._xlws.FILTER(_xlpm.d,_xlpm.f=_xlpm.k)))</f>
        <v>0.99529841556680521</v>
      </c>
      <c r="I30" s="2" cm="1">
        <f t="array" ref="I30">_xlfn.LET(_xlpm.d,I$2:I$26,_xlpm.f,$A$2:$A$26,_xlpm.k,$C30,AVERAGE(_xlfn._xlws.FILTER(_xlpm.d,_xlpm.f=_xlpm.k)))</f>
        <v>1</v>
      </c>
      <c r="J30" s="2" cm="1">
        <f t="array" ref="J30">_xlfn.LET(_xlpm.d,J$2:J$26,_xlpm.f,$A$2:$A$26,_xlpm.k,$C30,AVERAGE(_xlfn._xlws.FILTER(_xlpm.d,_xlpm.f=_xlpm.k)))</f>
        <v>0.99875699633336468</v>
      </c>
      <c r="K30" s="2" cm="1">
        <f t="array" ref="K30">_xlfn.LET(_xlpm.d,K$2:K$26,_xlpm.f,$A$2:$A$26,_xlpm.k,$C30,AVERAGE(_xlfn._xlws.FILTER(_xlpm.d,_xlpm.f=_xlpm.k)))</f>
        <v>0.99317692116670442</v>
      </c>
      <c r="L30" s="2" cm="1">
        <f t="array" ref="L30">_xlfn.LET(_xlpm.d,L$2:L$26,_xlpm.f,$A$2:$A$26,_xlpm.k,$C30,AVERAGE(_xlfn._xlws.FILTER(_xlpm.d,_xlpm.f=_xlpm.k)))</f>
        <v>0.99660713081125341</v>
      </c>
      <c r="M30" s="2" cm="1">
        <f t="array" ref="M30">_xlfn.LET(_xlpm.d,M$2:M$26,_xlpm.f,$A$2:$A$26,_xlpm.k,$C30,AVERAGE(_xlfn._xlws.FILTER(_xlpm.d,_xlpm.f=_xlpm.k)))</f>
        <v>1</v>
      </c>
      <c r="N30" s="2" cm="1">
        <f t="array" ref="N30">_xlfn.LET(_xlpm.d,N$2:N$26,_xlpm.f,$A$2:$A$26,_xlpm.k,$C30,AVERAGE(_xlfn._xlws.FILTER(_xlpm.d,_xlpm.f=_xlpm.k)))</f>
        <v>1</v>
      </c>
      <c r="O30" s="2" cm="1">
        <f t="array" ref="O30">_xlfn.LET(_xlpm.d,O$2:O$26,_xlpm.f,$A$2:$A$26,_xlpm.k,$C30,AVERAGE(_xlfn._xlws.FILTER(_xlpm.d,_xlpm.f=_xlpm.k)))</f>
        <v>0.99916649781593547</v>
      </c>
      <c r="P30" s="2" cm="1">
        <f t="array" ref="P30">_xlfn.LET(_xlpm.d,P$2:P$26,_xlpm.f,$A$2:$A$26,_xlpm.k,$C30,AVERAGE(_xlfn._xlws.FILTER(_xlpm.d,_xlpm.f=_xlpm.k)))</f>
        <v>0.99891866611132341</v>
      </c>
      <c r="Q30" s="2" cm="1">
        <f t="array" ref="Q30">_xlfn.LET(_xlpm.d,Q$2:Q$26,_xlpm.f,$A$2:$A$26,_xlpm.k,$C30,AVERAGE(_xlfn._xlws.FILTER(_xlpm.d,_xlpm.f=_xlpm.k)))</f>
        <v>0.99773127876711132</v>
      </c>
    </row>
    <row r="31" spans="1:19" ht="30" customHeight="1">
      <c r="C31" t="s">
        <v>56</v>
      </c>
      <c r="D31" s="2" cm="1">
        <f t="array" ref="D31">_xlfn.LET(_xlpm.d,D$2:D$26,_xlpm.f,$A$2:$A$26,_xlpm.k,$C31,AVERAGE(_xlfn._xlws.FILTER(_xlpm.d,_xlpm.f=_xlpm.k)))</f>
        <v>0.65681282870773905</v>
      </c>
      <c r="E31" s="2" cm="1">
        <f t="array" ref="E31">_xlfn.LET(_xlpm.d,E$2:E$26,_xlpm.f,$A$2:$A$26,_xlpm.k,$C31,AVERAGE(_xlfn._xlws.FILTER(_xlpm.d,_xlpm.f=_xlpm.k)))</f>
        <v>0.44671375092077098</v>
      </c>
      <c r="F31" s="2" cm="1">
        <f t="array" ref="F31">_xlfn.LET(_xlpm.d,F$2:F$26,_xlpm.f,$A$2:$A$26,_xlpm.k,$C31,AVERAGE(_xlfn._xlws.FILTER(_xlpm.d,_xlpm.f=_xlpm.k)))</f>
        <v>0.37125140512544758</v>
      </c>
      <c r="G31" s="2" cm="1">
        <f t="array" ref="G31">_xlfn.LET(_xlpm.d,G$2:G$26,_xlpm.f,$A$2:$A$26,_xlpm.k,$C31,AVERAGE(_xlfn._xlws.FILTER(_xlpm.d,_xlpm.f=_xlpm.k)))</f>
        <v>0.35892004990887799</v>
      </c>
      <c r="H31" s="2" cm="1">
        <f t="array" ref="H31">_xlfn.LET(_xlpm.d,H$2:H$26,_xlpm.f,$A$2:$A$26,_xlpm.k,$C31,AVERAGE(_xlfn._xlws.FILTER(_xlpm.d,_xlpm.f=_xlpm.k)))</f>
        <v>0.43839718948701761</v>
      </c>
      <c r="I31" s="2" cm="1">
        <f t="array" ref="I31">_xlfn.LET(_xlpm.d,I$2:I$26,_xlpm.f,$A$2:$A$26,_xlpm.k,$C31,AVERAGE(_xlfn._xlws.FILTER(_xlpm.d,_xlpm.f=_xlpm.k)))</f>
        <v>0.33349389301423121</v>
      </c>
      <c r="J31" s="2" cm="1">
        <f t="array" ref="J31">_xlfn.LET(_xlpm.d,J$2:J$26,_xlpm.f,$A$2:$A$26,_xlpm.k,$C31,AVERAGE(_xlfn._xlws.FILTER(_xlpm.d,_xlpm.f=_xlpm.k)))</f>
        <v>0.33365523190816565</v>
      </c>
      <c r="K31" s="2" cm="1">
        <f t="array" ref="K31">_xlfn.LET(_xlpm.d,K$2:K$26,_xlpm.f,$A$2:$A$26,_xlpm.k,$C31,AVERAGE(_xlfn._xlws.FILTER(_xlpm.d,_xlpm.f=_xlpm.k)))</f>
        <v>0.15185198980547701</v>
      </c>
      <c r="L31" s="2" cm="1">
        <f t="array" ref="L31">_xlfn.LET(_xlpm.d,L$2:L$26,_xlpm.f,$A$2:$A$26,_xlpm.k,$C31,AVERAGE(_xlfn._xlws.FILTER(_xlpm.d,_xlpm.f=_xlpm.k)))</f>
        <v>0.2740338087553984</v>
      </c>
      <c r="M31" s="2" cm="1">
        <f t="array" ref="M31">_xlfn.LET(_xlpm.d,M$2:M$26,_xlpm.f,$A$2:$A$26,_xlpm.k,$C31,AVERAGE(_xlfn._xlws.FILTER(_xlpm.d,_xlpm.f=_xlpm.k)))</f>
        <v>0.28576267592013022</v>
      </c>
      <c r="N31" s="2" cm="1">
        <f t="array" ref="N31">_xlfn.LET(_xlpm.d,N$2:N$26,_xlpm.f,$A$2:$A$26,_xlpm.k,$C31,AVERAGE(_xlfn._xlws.FILTER(_xlpm.d,_xlpm.f=_xlpm.k)))</f>
        <v>0.25118811465628782</v>
      </c>
      <c r="O31" s="2" cm="1">
        <f t="array" ref="O31">_xlfn.LET(_xlpm.d,O$2:O$26,_xlpm.f,$A$2:$A$26,_xlpm.k,$C31,AVERAGE(_xlfn._xlws.FILTER(_xlpm.d,_xlpm.f=_xlpm.k)))</f>
        <v>0.197839911800615</v>
      </c>
      <c r="P31" s="2" cm="1">
        <f t="array" ref="P31">_xlfn.LET(_xlpm.d,P$2:P$26,_xlpm.f,$A$2:$A$26,_xlpm.k,$C31,AVERAGE(_xlfn._xlws.FILTER(_xlpm.d,_xlpm.f=_xlpm.k)))</f>
        <v>0.21303139874784577</v>
      </c>
      <c r="Q31" s="2" cm="1">
        <f t="array" ref="Q31">_xlfn.LET(_xlpm.d,Q$2:Q$26,_xlpm.f,$A$2:$A$26,_xlpm.k,$C31,AVERAGE(_xlfn._xlws.FILTER(_xlpm.d,_xlpm.f=_xlpm.k)))</f>
        <v>0.33176555759676957</v>
      </c>
    </row>
    <row r="32" spans="1:19" ht="30" customHeight="1">
      <c r="C32" t="s">
        <v>57</v>
      </c>
      <c r="D32" s="2" cm="1">
        <f t="array" ref="D32">_xlfn.LET(_xlpm.d,D$2:D$26,_xlpm.f,$A$2:$A$26,_xlpm.k,$C32,AVERAGE(_xlfn._xlws.FILTER(_xlpm.d,_xlpm.f=_xlpm.k)))</f>
        <v>0.55433410568903996</v>
      </c>
      <c r="E32" s="2" cm="1">
        <f t="array" ref="E32">_xlfn.LET(_xlpm.d,E$2:E$26,_xlpm.f,$A$2:$A$26,_xlpm.k,$C32,AVERAGE(_xlfn._xlws.FILTER(_xlpm.d,_xlpm.f=_xlpm.k)))</f>
        <v>0.55801845028949981</v>
      </c>
      <c r="F32" s="2" cm="1">
        <f t="array" ref="F32">_xlfn.LET(_xlpm.d,F$2:F$26,_xlpm.f,$A$2:$A$26,_xlpm.k,$C32,AVERAGE(_xlfn._xlws.FILTER(_xlpm.d,_xlpm.f=_xlpm.k)))</f>
        <v>0.53226694327233193</v>
      </c>
      <c r="G32" s="2" cm="1">
        <f t="array" ref="G32">_xlfn.LET(_xlpm.d,G$2:G$26,_xlpm.f,$A$2:$A$26,_xlpm.k,$C32,AVERAGE(_xlfn._xlws.FILTER(_xlpm.d,_xlpm.f=_xlpm.k)))</f>
        <v>0.45002131534024981</v>
      </c>
      <c r="H32" s="2" cm="1">
        <f t="array" ref="H32">_xlfn.LET(_xlpm.d,H$2:H$26,_xlpm.f,$A$2:$A$26,_xlpm.k,$C32,AVERAGE(_xlfn._xlws.FILTER(_xlpm.d,_xlpm.f=_xlpm.k)))</f>
        <v>0.38925935063412082</v>
      </c>
      <c r="I32" s="2" cm="1">
        <f t="array" ref="I32">_xlfn.LET(_xlpm.d,I$2:I$26,_xlpm.f,$A$2:$A$26,_xlpm.k,$C32,AVERAGE(_xlfn._xlws.FILTER(_xlpm.d,_xlpm.f=_xlpm.k)))</f>
        <v>0.49776200797585241</v>
      </c>
      <c r="J32" s="2" cm="1">
        <f t="array" ref="J32">_xlfn.LET(_xlpm.d,J$2:J$26,_xlpm.f,$A$2:$A$26,_xlpm.k,$C32,AVERAGE(_xlfn._xlws.FILTER(_xlpm.d,_xlpm.f=_xlpm.k)))</f>
        <v>0.29896931208105898</v>
      </c>
      <c r="K32" s="2" cm="1">
        <f t="array" ref="K32">_xlfn.LET(_xlpm.d,K$2:K$26,_xlpm.f,$A$2:$A$26,_xlpm.k,$C32,AVERAGE(_xlfn._xlws.FILTER(_xlpm.d,_xlpm.f=_xlpm.k)))</f>
        <v>0.31645970366705123</v>
      </c>
      <c r="L32" s="2" cm="1">
        <f t="array" ref="L32">_xlfn.LET(_xlpm.d,L$2:L$26,_xlpm.f,$A$2:$A$26,_xlpm.k,$C32,AVERAGE(_xlfn._xlws.FILTER(_xlpm.d,_xlpm.f=_xlpm.k)))</f>
        <v>0.22737090647285058</v>
      </c>
      <c r="M32" s="2" cm="1">
        <f t="array" ref="M32">_xlfn.LET(_xlpm.d,M$2:M$26,_xlpm.f,$A$2:$A$26,_xlpm.k,$C32,AVERAGE(_xlfn._xlws.FILTER(_xlpm.d,_xlpm.f=_xlpm.k)))</f>
        <v>0.3147353411148256</v>
      </c>
      <c r="N32" s="2" cm="1">
        <f t="array" ref="N32">_xlfn.LET(_xlpm.d,N$2:N$26,_xlpm.f,$A$2:$A$26,_xlpm.k,$C32,AVERAGE(_xlfn._xlws.FILTER(_xlpm.d,_xlpm.f=_xlpm.k)))</f>
        <v>0.1493365073122942</v>
      </c>
      <c r="O32" s="2" cm="1">
        <f t="array" ref="O32">_xlfn.LET(_xlpm.d,O$2:O$26,_xlpm.f,$A$2:$A$26,_xlpm.k,$C32,AVERAGE(_xlfn._xlws.FILTER(_xlpm.d,_xlpm.f=_xlpm.k)))</f>
        <v>0.24775908336303062</v>
      </c>
      <c r="P32" s="2" cm="1">
        <f t="array" ref="P32">_xlfn.LET(_xlpm.d,P$2:P$26,_xlpm.f,$A$2:$A$26,_xlpm.k,$C32,AVERAGE(_xlfn._xlws.FILTER(_xlpm.d,_xlpm.f=_xlpm.k)))</f>
        <v>0.2028045251242728</v>
      </c>
      <c r="Q32" s="2" cm="1">
        <f t="array" ref="Q32">_xlfn.LET(_xlpm.d,Q$2:Q$26,_xlpm.f,$A$2:$A$26,_xlpm.k,$C32,AVERAGE(_xlfn._xlws.FILTER(_xlpm.d,_xlpm.f=_xlpm.k)))</f>
        <v>0.36454596556434454</v>
      </c>
    </row>
    <row r="33" spans="3:17" ht="30" customHeight="1">
      <c r="C33" t="s">
        <v>55</v>
      </c>
      <c r="D33" s="2" cm="1">
        <f t="array" ref="D33">_xlfn.LET(_xlpm.d,D$2:D$26,_xlpm.f,$A$2:$A$26,_xlpm.k,$C33,AVERAGE(_xlfn._xlws.FILTER(_xlpm.d,_xlpm.f=_xlpm.k)))</f>
        <v>0.68009922082083007</v>
      </c>
      <c r="E33" s="2" cm="1">
        <f t="array" ref="E33">_xlfn.LET(_xlpm.d,E$2:E$26,_xlpm.f,$A$2:$A$26,_xlpm.k,$C33,AVERAGE(_xlfn._xlws.FILTER(_xlpm.d,_xlpm.f=_xlpm.k)))</f>
        <v>0.67334556967811765</v>
      </c>
      <c r="F33" s="2" cm="1">
        <f t="array" ref="F33">_xlfn.LET(_xlpm.d,F$2:F$26,_xlpm.f,$A$2:$A$26,_xlpm.k,$C33,AVERAGE(_xlfn._xlws.FILTER(_xlpm.d,_xlpm.f=_xlpm.k)))</f>
        <v>0.63343668551748178</v>
      </c>
      <c r="G33" s="2" cm="1">
        <f t="array" ref="G33">_xlfn.LET(_xlpm.d,G$2:G$26,_xlpm.f,$A$2:$A$26,_xlpm.k,$C33,AVERAGE(_xlfn._xlws.FILTER(_xlpm.d,_xlpm.f=_xlpm.k)))</f>
        <v>0.52429476690863752</v>
      </c>
      <c r="H33" s="2" cm="1">
        <f t="array" ref="H33">_xlfn.LET(_xlpm.d,H$2:H$26,_xlpm.f,$A$2:$A$26,_xlpm.k,$C33,AVERAGE(_xlfn._xlws.FILTER(_xlpm.d,_xlpm.f=_xlpm.k)))</f>
        <v>0.51757473403052978</v>
      </c>
      <c r="I33" s="2" cm="1">
        <f t="array" ref="I33">_xlfn.LET(_xlpm.d,I$2:I$26,_xlpm.f,$A$2:$A$26,_xlpm.k,$C33,AVERAGE(_xlfn._xlws.FILTER(_xlpm.d,_xlpm.f=_xlpm.k)))</f>
        <v>0.38245199141365821</v>
      </c>
      <c r="J33" s="2" cm="1">
        <f t="array" ref="J33">_xlfn.LET(_xlpm.d,J$2:J$26,_xlpm.f,$A$2:$A$26,_xlpm.k,$C33,AVERAGE(_xlfn._xlws.FILTER(_xlpm.d,_xlpm.f=_xlpm.k)))</f>
        <v>0.46999174446962827</v>
      </c>
      <c r="K33" s="2" cm="1">
        <f t="array" ref="K33">_xlfn.LET(_xlpm.d,K$2:K$26,_xlpm.f,$A$2:$A$26,_xlpm.k,$C33,AVERAGE(_xlfn._xlws.FILTER(_xlpm.d,_xlpm.f=_xlpm.k)))</f>
        <v>0.34794483439154222</v>
      </c>
      <c r="L33" s="2" cm="1">
        <f t="array" ref="L33">_xlfn.LET(_xlpm.d,L$2:L$26,_xlpm.f,$A$2:$A$26,_xlpm.k,$C33,AVERAGE(_xlfn._xlws.FILTER(_xlpm.d,_xlpm.f=_xlpm.k)))</f>
        <v>0.28029520072157343</v>
      </c>
      <c r="M33" s="2" cm="1">
        <f t="array" ref="M33">_xlfn.LET(_xlpm.d,M$2:M$26,_xlpm.f,$A$2:$A$26,_xlpm.k,$C33,AVERAGE(_xlfn._xlws.FILTER(_xlpm.d,_xlpm.f=_xlpm.k)))</f>
        <v>0.21526230122166901</v>
      </c>
      <c r="N33" s="2" cm="1">
        <f t="array" ref="N33">_xlfn.LET(_xlpm.d,N$2:N$26,_xlpm.f,$A$2:$A$26,_xlpm.k,$C33,AVERAGE(_xlfn._xlws.FILTER(_xlpm.d,_xlpm.f=_xlpm.k)))</f>
        <v>0.37341032202712021</v>
      </c>
      <c r="O33" s="2" cm="1">
        <f t="array" ref="O33">_xlfn.LET(_xlpm.d,O$2:O$26,_xlpm.f,$A$2:$A$26,_xlpm.k,$C33,AVERAGE(_xlfn._xlws.FILTER(_xlpm.d,_xlpm.f=_xlpm.k)))</f>
        <v>0.32415018743265833</v>
      </c>
      <c r="P33" s="2" cm="1">
        <f t="array" ref="P33">_xlfn.LET(_xlpm.d,P$2:P$26,_xlpm.f,$A$2:$A$26,_xlpm.k,$C33,AVERAGE(_xlfn._xlws.FILTER(_xlpm.d,_xlpm.f=_xlpm.k)))</f>
        <v>0.31530377246797003</v>
      </c>
      <c r="Q33" s="2" cm="1">
        <f t="array" ref="Q33">_xlfn.LET(_xlpm.d,Q$2:Q$26,_xlpm.f,$A$2:$A$26,_xlpm.k,$C33,AVERAGE(_xlfn._xlws.FILTER(_xlpm.d,_xlpm.f=_xlpm.k)))</f>
        <v>0.44135087162318581</v>
      </c>
    </row>
    <row r="34" spans="3:17" ht="30" customHeight="1">
      <c r="C34" t="s">
        <v>58</v>
      </c>
      <c r="D34" s="2" cm="1">
        <f t="array" ref="D34">_xlfn.LET(_xlpm.d,D$2:D$26,_xlpm.f,$A$2:$A$26,_xlpm.k,$C34,AVERAGE(_xlfn._xlws.FILTER(_xlpm.d,_xlpm.f=_xlpm.k)))</f>
        <v>0.99479976507022039</v>
      </c>
      <c r="E34" s="2" cm="1">
        <f t="array" ref="E34">_xlfn.LET(_xlpm.d,E$2:E$26,_xlpm.f,$A$2:$A$26,_xlpm.k,$C34,AVERAGE(_xlfn._xlws.FILTER(_xlpm.d,_xlpm.f=_xlpm.k)))</f>
        <v>1</v>
      </c>
      <c r="F34" s="2" cm="1">
        <f t="array" ref="F34">_xlfn.LET(_xlpm.d,F$2:F$26,_xlpm.f,$A$2:$A$26,_xlpm.k,$C34,AVERAGE(_xlfn._xlws.FILTER(_xlpm.d,_xlpm.f=_xlpm.k)))</f>
        <v>0.97940144740695323</v>
      </c>
      <c r="G34" s="2" cm="1">
        <f t="array" ref="G34">_xlfn.LET(_xlpm.d,G$2:G$26,_xlpm.f,$A$2:$A$26,_xlpm.k,$C34,AVERAGE(_xlfn._xlws.FILTER(_xlpm.d,_xlpm.f=_xlpm.k)))</f>
        <v>0.99995238089569138</v>
      </c>
      <c r="H34" s="2" cm="1">
        <f t="array" ref="H34">_xlfn.LET(_xlpm.d,H$2:H$26,_xlpm.f,$A$2:$A$26,_xlpm.k,$C34,AVERAGE(_xlfn._xlws.FILTER(_xlpm.d,_xlpm.f=_xlpm.k)))</f>
        <v>0.99962342588846131</v>
      </c>
      <c r="I34" s="2" cm="1">
        <f t="array" ref="I34">_xlfn.LET(_xlpm.d,I$2:I$26,_xlpm.f,$A$2:$A$26,_xlpm.k,$C34,AVERAGE(_xlfn._xlws.FILTER(_xlpm.d,_xlpm.f=_xlpm.k)))</f>
        <v>0.95881606857422308</v>
      </c>
      <c r="J34" s="2" cm="1">
        <f t="array" ref="J34">_xlfn.LET(_xlpm.d,J$2:J$26,_xlpm.f,$A$2:$A$26,_xlpm.k,$C34,AVERAGE(_xlfn._xlws.FILTER(_xlpm.d,_xlpm.f=_xlpm.k)))</f>
        <v>1</v>
      </c>
      <c r="K34" s="2" cm="1">
        <f t="array" ref="K34">_xlfn.LET(_xlpm.d,K$2:K$26,_xlpm.f,$A$2:$A$26,_xlpm.k,$C34,AVERAGE(_xlfn._xlws.FILTER(_xlpm.d,_xlpm.f=_xlpm.k)))</f>
        <v>1</v>
      </c>
      <c r="L34" s="2" cm="1">
        <f t="array" ref="L34">_xlfn.LET(_xlpm.d,L$2:L$26,_xlpm.f,$A$2:$A$26,_xlpm.k,$C34,AVERAGE(_xlfn._xlws.FILTER(_xlpm.d,_xlpm.f=_xlpm.k)))</f>
        <v>1</v>
      </c>
      <c r="M34" s="2" cm="1">
        <f t="array" ref="M34">_xlfn.LET(_xlpm.d,M$2:M$26,_xlpm.f,$A$2:$A$26,_xlpm.k,$C34,AVERAGE(_xlfn._xlws.FILTER(_xlpm.d,_xlpm.f=_xlpm.k)))</f>
        <v>0.98986843720981921</v>
      </c>
      <c r="N34" s="2" cm="1">
        <f t="array" ref="N34">_xlfn.LET(_xlpm.d,N$2:N$26,_xlpm.f,$A$2:$A$26,_xlpm.k,$C34,AVERAGE(_xlfn._xlws.FILTER(_xlpm.d,_xlpm.f=_xlpm.k)))</f>
        <v>0.99917691756044569</v>
      </c>
      <c r="O34" s="2" cm="1">
        <f t="array" ref="O34">_xlfn.LET(_xlpm.d,O$2:O$26,_xlpm.f,$A$2:$A$26,_xlpm.k,$C34,AVERAGE(_xlfn._xlws.FILTER(_xlpm.d,_xlpm.f=_xlpm.k)))</f>
        <v>0.91715728752538106</v>
      </c>
      <c r="P34" s="2" cm="1">
        <f t="array" ref="P34">_xlfn.LET(_xlpm.d,P$2:P$26,_xlpm.f,$A$2:$A$26,_xlpm.k,$C34,AVERAGE(_xlfn._xlws.FILTER(_xlpm.d,_xlpm.f=_xlpm.k)))</f>
        <v>0.8888885664317373</v>
      </c>
      <c r="Q34" s="2" cm="1">
        <f t="array" ref="Q34">_xlfn.LET(_xlpm.d,Q$2:Q$26,_xlpm.f,$A$2:$A$26,_xlpm.k,$C34,AVERAGE(_xlfn._xlws.FILTER(_xlpm.d,_xlpm.f=_xlpm.k)))</f>
        <v>0.97905263819714872</v>
      </c>
    </row>
    <row r="36" spans="3:17" ht="30" customHeight="1">
      <c r="C36" t="s">
        <v>63</v>
      </c>
    </row>
    <row r="37" spans="3:17" ht="30" customHeight="1">
      <c r="C37" t="s">
        <v>53</v>
      </c>
      <c r="D37" s="2" cm="1">
        <f t="array" ref="D37">_xlfn.LET(_xlpm.d,D$2:D$26,_xlpm.g,$B$2:$B$26,_xlpm.k,$C37,AVERAGE(_xlfn._xlws.FILTER(_xlpm.d,(_xlpm.g=0))))</f>
        <v>0.73552177657390538</v>
      </c>
      <c r="E37" s="2" cm="1">
        <f t="array" ref="E37">_xlfn.LET(_xlpm.d,E$2:E$26,_xlpm.g,$B1:$B25,_xlpm.k,$C37,AVERAGE(_xlfn._xlws.FILTER(_xlpm.d,(_xlpm.g=0))))</f>
        <v>0.73168696427309843</v>
      </c>
      <c r="F37" s="2" cm="1">
        <f t="array" ref="F37">_xlfn.LET(_xlpm.d,F$2:F$26,_xlpm.g,$B1:$B25,_xlpm.k,$C37,AVERAGE(_xlfn._xlws.FILTER(_xlpm.d,(_xlpm.g=0))))</f>
        <v>0.71150207615603756</v>
      </c>
      <c r="G37" s="2" cm="1">
        <f t="array" ref="G37">_xlfn.LET(_xlpm.d,G$2:G$26,_xlpm.g,$B1:$B25,_xlpm.k,$C37,AVERAGE(_xlfn._xlws.FILTER(_xlpm.d,(_xlpm.g=0))))</f>
        <v>0.65870572462126054</v>
      </c>
      <c r="H37" s="2" cm="1">
        <f t="array" ref="H37">_xlfn.LET(_xlpm.d,H$2:H$26,_xlpm.g,$B1:$B25,_xlpm.k,$C37,AVERAGE(_xlfn._xlws.FILTER(_xlpm.d,(_xlpm.g=0))))</f>
        <v>0.67268377590783679</v>
      </c>
      <c r="I37" s="2" cm="1">
        <f t="array" ref="I37">_xlfn.LET(_xlpm.d,I$2:I$26,_xlpm.g,$B1:$B25,_xlpm.k,$C37,AVERAGE(_xlfn._xlws.FILTER(_xlpm.d,(_xlpm.g=0))))</f>
        <v>0.62128210422568064</v>
      </c>
      <c r="J37" s="2" cm="1">
        <f t="array" ref="J37">_xlfn.LET(_xlpm.d,J$2:J$26,_xlpm.g,$B1:$B25,_xlpm.k,$C37,AVERAGE(_xlfn._xlws.FILTER(_xlpm.d,(_xlpm.g=0))))</f>
        <v>0.6159370217502329</v>
      </c>
      <c r="K37" s="2" cm="1">
        <f t="array" ref="K37">_xlfn.LET(_xlpm.d,K$2:K$26,_xlpm.g,$B1:$B25,_xlpm.k,$C37,AVERAGE(_xlfn._xlws.FILTER(_xlpm.d,(_xlpm.g=0))))</f>
        <v>0.5459179790306975</v>
      </c>
      <c r="L37" s="2" cm="1">
        <f t="array" ref="L37">_xlfn.LET(_xlpm.d,L$2:L$26,_xlpm.g,$B1:$B25,_xlpm.k,$C37,AVERAGE(_xlfn._xlws.FILTER(_xlpm.d,(_xlpm.g=0))))</f>
        <v>0.55576063545661003</v>
      </c>
      <c r="M37" s="2" cm="1">
        <f t="array" ref="M37">_xlfn.LET(_xlpm.d,M$2:M$26,_xlpm.g,$B1:$B25,_xlpm.k,$C37,AVERAGE(_xlfn._xlws.FILTER(_xlpm.d,(_xlpm.g=0))))</f>
        <v>0.53669171338596211</v>
      </c>
      <c r="N37" s="2" cm="1">
        <f t="array" ref="N37">_xlfn.LET(_xlpm.d,N$2:N$26,_xlpm.g,$B1:$B25,_xlpm.k,$C37,AVERAGE(_xlfn._xlws.FILTER(_xlpm.d,(_xlpm.g=0))))</f>
        <v>0.53323443984561913</v>
      </c>
      <c r="O37" s="2" cm="1">
        <f t="array" ref="O37">_xlfn.LET(_xlpm.d,O$2:O$26,_xlpm.g,$B1:$B25,_xlpm.k,$C37,AVERAGE(_xlfn._xlws.FILTER(_xlpm.d,(_xlpm.g=0))))</f>
        <v>0.50945678217810209</v>
      </c>
      <c r="P37" s="2" cm="1">
        <f t="array" ref="P37">_xlfn.LET(_xlpm.d,P$2:P$26,_xlpm.g,$B1:$B25,_xlpm.k,$C37,AVERAGE(_xlfn._xlws.FILTER(_xlpm.d,(_xlpm.g=0))))</f>
        <v>0.49894053300540769</v>
      </c>
      <c r="Q37" s="2" cm="1">
        <f t="array" ref="Q37">_xlfn.LET(_xlpm.d,Q$2:Q$26,_xlpm.g,$B1:$B25,_xlpm.k,$C37,AVERAGE(_xlfn._xlws.FILTER(_xlpm.d,(_xlpm.g=0))))</f>
        <v>0.61398324621271982</v>
      </c>
    </row>
    <row r="38" spans="3:17" ht="30" customHeight="1">
      <c r="C38" t="s">
        <v>54</v>
      </c>
      <c r="D38" s="2" cm="1">
        <f t="array" ref="D38">_xlfn.LET(_xlpm.d,D$2:D$26,_xlpm.f,$A$2:$A$26,_xlpm.g,$B$2:$B$26,_xlpm.k,$C38,AVERAGE(_xlfn._xlws.FILTER(_xlpm.d,(_xlpm.f=_xlpm.k)*(_xlpm.g=0))))</f>
        <v>1</v>
      </c>
      <c r="E38" s="2" cm="1">
        <f t="array" ref="E38">_xlfn.LET(_xlpm.d,E$2:E$26,_xlpm.f,$A$2:$A$26,_xlpm.g,$B$2:$B$26,_xlpm.k,$C38,AVERAGE(_xlfn._xlws.FILTER(_xlpm.d,(_xlpm.f=_xlpm.k)*(_xlpm.g=0))))</f>
        <v>1</v>
      </c>
      <c r="F38" s="2" cm="1">
        <f t="array" ref="F38">_xlfn.LET(_xlpm.d,F$2:F$26,_xlpm.f,$A$2:$A$26,_xlpm.g,$B$2:$B$26,_xlpm.k,$C38,AVERAGE(_xlfn._xlws.FILTER(_xlpm.d,(_xlpm.f=_xlpm.k)*(_xlpm.g=0))))</f>
        <v>1</v>
      </c>
      <c r="G38" s="2" cm="1">
        <f t="array" ref="G38">_xlfn.LET(_xlpm.d,G$2:G$26,_xlpm.f,$A$2:$A$26,_xlpm.g,$B$2:$B$26,_xlpm.k,$C38,AVERAGE(_xlfn._xlws.FILTER(_xlpm.d,(_xlpm.f=_xlpm.k)*(_xlpm.g=0))))</f>
        <v>0.98572749520882552</v>
      </c>
      <c r="H38" s="2" cm="1">
        <f t="array" ref="H38">_xlfn.LET(_xlpm.d,H$2:H$26,_xlpm.f,$A$2:$A$26,_xlpm.g,$B$2:$B$26,_xlpm.k,$C38,AVERAGE(_xlfn._xlws.FILTER(_xlpm.d,(_xlpm.f=_xlpm.k)*(_xlpm.g=0))))</f>
        <v>0.99412301945850656</v>
      </c>
      <c r="I38" s="2" cm="1">
        <f t="array" ref="I38">_xlfn.LET(_xlpm.d,I$2:I$26,_xlpm.f,$A$2:$A$26,_xlpm.g,$B$2:$B$26,_xlpm.k,$C38,AVERAGE(_xlfn._xlws.FILTER(_xlpm.d,(_xlpm.f=_xlpm.k)*(_xlpm.g=0))))</f>
        <v>1</v>
      </c>
      <c r="J38" s="2" cm="1">
        <f t="array" ref="J38">_xlfn.LET(_xlpm.d,J$2:J$26,_xlpm.f,$A$2:$A$26,_xlpm.g,$B$2:$B$26,_xlpm.k,$C38,AVERAGE(_xlfn._xlws.FILTER(_xlpm.d,(_xlpm.f=_xlpm.k)*(_xlpm.g=0))))</f>
        <v>0.99844624541670579</v>
      </c>
      <c r="K38" s="2" cm="1">
        <f t="array" ref="K38">_xlfn.LET(_xlpm.d,K$2:K$26,_xlpm.f,$A$2:$A$26,_xlpm.g,$B$2:$B$26,_xlpm.k,$C38,AVERAGE(_xlfn._xlws.FILTER(_xlpm.d,(_xlpm.f=_xlpm.k)*(_xlpm.g=0))))</f>
        <v>0.9914711514583805</v>
      </c>
      <c r="L38" s="2" cm="1">
        <f t="array" ref="L38">_xlfn.LET(_xlpm.d,L$2:L$26,_xlpm.f,$A$2:$A$26,_xlpm.g,$B$2:$B$26,_xlpm.k,$C38,AVERAGE(_xlfn._xlws.FILTER(_xlpm.d,(_xlpm.f=_xlpm.k)*(_xlpm.g=0))))</f>
        <v>0.99575891351406676</v>
      </c>
      <c r="M38" s="2" cm="1">
        <f t="array" ref="M38">_xlfn.LET(_xlpm.d,M$2:M$26,_xlpm.f,$A$2:$A$26,_xlpm.g,$B$2:$B$26,_xlpm.k,$C38,AVERAGE(_xlfn._xlws.FILTER(_xlpm.d,(_xlpm.f=_xlpm.k)*(_xlpm.g=0))))</f>
        <v>1</v>
      </c>
      <c r="N38" s="2" cm="1">
        <f t="array" ref="N38">_xlfn.LET(_xlpm.d,N$2:N$26,_xlpm.f,$A$2:$A$26,_xlpm.g,$B$2:$B$26,_xlpm.k,$C38,AVERAGE(_xlfn._xlws.FILTER(_xlpm.d,(_xlpm.f=_xlpm.k)*(_xlpm.g=0))))</f>
        <v>1</v>
      </c>
      <c r="O38" s="2" cm="1">
        <f t="array" ref="O38">_xlfn.LET(_xlpm.d,O$2:O$26,_xlpm.f,$A$2:$A$26,_xlpm.g,$B$2:$B$26,_xlpm.k,$C38,AVERAGE(_xlfn._xlws.FILTER(_xlpm.d,(_xlpm.f=_xlpm.k)*(_xlpm.g=0))))</f>
        <v>0.99895812226991931</v>
      </c>
      <c r="P38" s="2" cm="1">
        <f t="array" ref="P38">_xlfn.LET(_xlpm.d,P$2:P$26,_xlpm.f,$A$2:$A$26,_xlpm.g,$B$2:$B$26,_xlpm.k,$C38,AVERAGE(_xlfn._xlws.FILTER(_xlpm.d,(_xlpm.f=_xlpm.k)*(_xlpm.g=0))))</f>
        <v>0.9986483326391542</v>
      </c>
      <c r="Q38" s="2" cm="1">
        <f t="array" ref="Q38">_xlfn.LET(_xlpm.d,Q$2:Q$26,_xlpm.f,$A$2:$A$26,_xlpm.g,$B$2:$B$26,_xlpm.k,$C38,AVERAGE(_xlfn._xlws.FILTER(_xlpm.d,(_xlpm.f=_xlpm.k)*(_xlpm.g=0))))</f>
        <v>0.9971640984588892</v>
      </c>
    </row>
    <row r="39" spans="3:17" ht="30" customHeight="1">
      <c r="C39" t="s">
        <v>56</v>
      </c>
      <c r="D39" s="2" cm="1">
        <f t="array" ref="D39">_xlfn.LET(_xlpm.d,D$2:D$26,_xlpm.f,$A$2:$A$26,_xlpm.g,$B$2:$B$26,_xlpm.k,$C39,AVERAGE(_xlfn._xlws.FILTER(_xlpm.d,(_xlpm.f=_xlpm.k)*(_xlpm.g=0))))</f>
        <v>0.59533540996217815</v>
      </c>
      <c r="E39" s="2" cm="1">
        <f t="array" ref="E39">_xlfn.LET(_xlpm.d,E$2:E$26,_xlpm.f,$A$2:$A$26,_xlpm.g,$B$2:$B$26,_xlpm.k,$C39,AVERAGE(_xlfn._xlws.FILTER(_xlpm.d,(_xlpm.f=_xlpm.k)*(_xlpm.g=0))))</f>
        <v>0.3567482934130235</v>
      </c>
      <c r="F39" s="2" cm="1">
        <f t="array" ref="F39">_xlfn.LET(_xlpm.d,F$2:F$26,_xlpm.f,$A$2:$A$26,_xlpm.g,$B$2:$B$26,_xlpm.k,$C39,AVERAGE(_xlfn._xlws.FILTER(_xlpm.d,(_xlpm.f=_xlpm.k)*(_xlpm.g=0))))</f>
        <v>0.3127161143493048</v>
      </c>
      <c r="G39" s="2" cm="1">
        <f t="array" ref="G39">_xlfn.LET(_xlpm.d,G$2:G$26,_xlpm.f,$A$2:$A$26,_xlpm.g,$B$2:$B$26,_xlpm.k,$C39,AVERAGE(_xlfn._xlws.FILTER(_xlpm.d,(_xlpm.f=_xlpm.k)*(_xlpm.g=0))))</f>
        <v>0.29811990739997274</v>
      </c>
      <c r="H39" s="2" cm="1">
        <f t="array" ref="H39">_xlfn.LET(_xlpm.d,H$2:H$26,_xlpm.f,$A$2:$A$26,_xlpm.g,$B$2:$B$26,_xlpm.k,$C39,AVERAGE(_xlfn._xlws.FILTER(_xlpm.d,(_xlpm.f=_xlpm.k)*(_xlpm.g=0))))</f>
        <v>0.39216393652928</v>
      </c>
      <c r="I39" s="2" cm="1">
        <f t="array" ref="I39">_xlfn.LET(_xlpm.d,I$2:I$26,_xlpm.f,$A$2:$A$26,_xlpm.g,$B$2:$B$26,_xlpm.k,$C39,AVERAGE(_xlfn._xlws.FILTER(_xlpm.d,(_xlpm.f=_xlpm.k)*(_xlpm.g=0))))</f>
        <v>0.36606734875322949</v>
      </c>
      <c r="J39" s="2" cm="1">
        <f t="array" ref="J39">_xlfn.LET(_xlpm.d,J$2:J$26,_xlpm.f,$A$2:$A$26,_xlpm.g,$B$2:$B$26,_xlpm.k,$C39,AVERAGE(_xlfn._xlws.FILTER(_xlpm.d,(_xlpm.f=_xlpm.k)*(_xlpm.g=0))))</f>
        <v>0.33503287587297526</v>
      </c>
      <c r="K39" s="2" cm="1">
        <f t="array" ref="K39">_xlfn.LET(_xlpm.d,K$2:K$26,_xlpm.f,$A$2:$A$26,_xlpm.g,$B$2:$B$26,_xlpm.k,$C39,AVERAGE(_xlfn._xlws.FILTER(_xlpm.d,(_xlpm.f=_xlpm.k)*(_xlpm.g=0))))</f>
        <v>0.11737667370461724</v>
      </c>
      <c r="L39" s="2" cm="1">
        <f t="array" ref="L39">_xlfn.LET(_xlpm.d,L$2:L$26,_xlpm.f,$A$2:$A$26,_xlpm.g,$B$2:$B$26,_xlpm.k,$C39,AVERAGE(_xlfn._xlws.FILTER(_xlpm.d,(_xlpm.f=_xlpm.k)*(_xlpm.g=0))))</f>
        <v>0.30687913296347002</v>
      </c>
      <c r="M39" s="2" cm="1">
        <f t="array" ref="M39">_xlfn.LET(_xlpm.d,M$2:M$26,_xlpm.f,$A$2:$A$26,_xlpm.g,$B$2:$B$26,_xlpm.k,$C39,AVERAGE(_xlfn._xlws.FILTER(_xlpm.d,(_xlpm.f=_xlpm.k)*(_xlpm.g=0))))</f>
        <v>0.30781751269264651</v>
      </c>
      <c r="N39" s="2" cm="1">
        <f t="array" ref="N39">_xlfn.LET(_xlpm.d,N$2:N$26,_xlpm.f,$A$2:$A$26,_xlpm.g,$B$2:$B$26,_xlpm.k,$C39,AVERAGE(_xlfn._xlws.FILTER(_xlpm.d,(_xlpm.f=_xlpm.k)*(_xlpm.g=0))))</f>
        <v>0.26807400601660752</v>
      </c>
      <c r="O39" s="2" cm="1">
        <f t="array" ref="O39">_xlfn.LET(_xlpm.d,O$2:O$26,_xlpm.f,$A$2:$A$26,_xlpm.g,$B$2:$B$26,_xlpm.k,$C39,AVERAGE(_xlfn._xlws.FILTER(_xlpm.d,(_xlpm.f=_xlpm.k)*(_xlpm.g=0))))</f>
        <v>0.24729988975076875</v>
      </c>
      <c r="P39" s="2" cm="1">
        <f t="array" ref="P39">_xlfn.LET(_xlpm.d,P$2:P$26,_xlpm.f,$A$2:$A$26,_xlpm.g,$B$2:$B$26,_xlpm.k,$C39,AVERAGE(_xlfn._xlws.FILTER(_xlpm.d,(_xlpm.f=_xlpm.k)*(_xlpm.g=0))))</f>
        <v>0.26628924843480722</v>
      </c>
      <c r="Q39" s="2" cm="1">
        <f t="array" ref="Q39">_xlfn.LET(_xlpm.d,Q$2:Q$26,_xlpm.f,$A$2:$A$26,_xlpm.g,$B$2:$B$26,_xlpm.k,$C39,AVERAGE(_xlfn._xlws.FILTER(_xlpm.d,(_xlpm.f=_xlpm.k)*(_xlpm.g=0))))</f>
        <v>0.32076310383406775</v>
      </c>
    </row>
    <row r="40" spans="3:17" ht="30" customHeight="1">
      <c r="C40" t="s">
        <v>57</v>
      </c>
      <c r="D40" s="2" cm="1">
        <f t="array" ref="D40">_xlfn.LET(_xlpm.d,D$2:D$26,_xlpm.f,$A$2:$A$26,_xlpm.g,$B$2:$B$26,_xlpm.k,$C40,AVERAGE(_xlfn._xlws.FILTER(_xlpm.d,(_xlpm.f=_xlpm.k)*(_xlpm.g=0))))</f>
        <v>0.46487521524356595</v>
      </c>
      <c r="E40" s="2" cm="1">
        <f t="array" ref="E40">_xlfn.LET(_xlpm.d,E$2:E$26,_xlpm.f,$A$2:$A$26,_xlpm.g,$B$2:$B$26,_xlpm.k,$C40,AVERAGE(_xlfn._xlws.FILTER(_xlpm.d,(_xlpm.f=_xlpm.k)*(_xlpm.g=0))))</f>
        <v>0.47771059742740474</v>
      </c>
      <c r="F40" s="2" cm="1">
        <f t="array" ref="F40">_xlfn.LET(_xlpm.d,F$2:F$26,_xlpm.f,$A$2:$A$26,_xlpm.g,$B$2:$B$26,_xlpm.k,$C40,AVERAGE(_xlfn._xlws.FILTER(_xlpm.d,(_xlpm.f=_xlpm.k)*(_xlpm.g=0))))</f>
        <v>0.42507814183323828</v>
      </c>
      <c r="G40" s="2" cm="1">
        <f t="array" ref="G40">_xlfn.LET(_xlpm.d,G$2:G$26,_xlpm.f,$A$2:$A$26,_xlpm.g,$B$2:$B$26,_xlpm.k,$C40,AVERAGE(_xlfn._xlws.FILTER(_xlpm.d,(_xlpm.f=_xlpm.k)*(_xlpm.g=0))))</f>
        <v>0.39397627827298054</v>
      </c>
      <c r="H40" s="2" cm="1">
        <f t="array" ref="H40">_xlfn.LET(_xlpm.d,H$2:H$26,_xlpm.f,$A$2:$A$26,_xlpm.g,$B$2:$B$26,_xlpm.k,$C40,AVERAGE(_xlfn._xlws.FILTER(_xlpm.d,(_xlpm.f=_xlpm.k)*(_xlpm.g=0))))</f>
        <v>0.33028925760350325</v>
      </c>
      <c r="I40" s="2" cm="1">
        <f t="array" ref="I40">_xlfn.LET(_xlpm.d,I$2:I$26,_xlpm.f,$A$2:$A$26,_xlpm.g,$B$2:$B$26,_xlpm.k,$C40,AVERAGE(_xlfn._xlws.FILTER(_xlpm.d,(_xlpm.f=_xlpm.k)*(_xlpm.g=0))))</f>
        <v>0.4667648310430465</v>
      </c>
      <c r="J40" s="2" cm="1">
        <f t="array" ref="J40">_xlfn.LET(_xlpm.d,J$2:J$26,_xlpm.f,$A$2:$A$26,_xlpm.g,$B$2:$B$26,_xlpm.k,$C40,AVERAGE(_xlfn._xlws.FILTER(_xlpm.d,(_xlpm.f=_xlpm.k)*(_xlpm.g=0))))</f>
        <v>0.335216515123401</v>
      </c>
      <c r="K40" s="2" cm="1">
        <f t="array" ref="K40">_xlfn.LET(_xlpm.d,K$2:K$26,_xlpm.f,$A$2:$A$26,_xlpm.g,$B$2:$B$26,_xlpm.k,$C40,AVERAGE(_xlfn._xlws.FILTER(_xlpm.d,(_xlpm.f=_xlpm.k)*(_xlpm.g=0))))</f>
        <v>0.34901212087391076</v>
      </c>
      <c r="L40" s="2" cm="1">
        <f t="array" ref="L40">_xlfn.LET(_xlpm.d,L$2:L$26,_xlpm.f,$A$2:$A$26,_xlpm.g,$B$2:$B$26,_xlpm.k,$C40,AVERAGE(_xlfn._xlws.FILTER(_xlpm.d,(_xlpm.f=_xlpm.k)*(_xlpm.g=0))))</f>
        <v>0.17309763878141177</v>
      </c>
      <c r="M40" s="2" cm="1">
        <f t="array" ref="M40">_xlfn.LET(_xlpm.d,M$2:M$26,_xlpm.f,$A$2:$A$26,_xlpm.g,$B$2:$B$26,_xlpm.k,$C40,AVERAGE(_xlfn._xlws.FILTER(_xlpm.d,(_xlpm.f=_xlpm.k)*(_xlpm.g=0))))</f>
        <v>0.35532458090944175</v>
      </c>
      <c r="N40" s="2" cm="1">
        <f t="array" ref="N40">_xlfn.LET(_xlpm.d,N$2:N$26,_xlpm.f,$A$2:$A$26,_xlpm.g,$B$2:$B$26,_xlpm.k,$C40,AVERAGE(_xlfn._xlws.FILTER(_xlpm.d,(_xlpm.f=_xlpm.k)*(_xlpm.g=0))))</f>
        <v>0.13619534646749676</v>
      </c>
      <c r="O40" s="2" cm="1">
        <f t="array" ref="O40">_xlfn.LET(_xlpm.d,O$2:O$26,_xlpm.f,$A$2:$A$26,_xlpm.g,$B$2:$B$26,_xlpm.k,$C40,AVERAGE(_xlfn._xlws.FILTER(_xlpm.d,(_xlpm.f=_xlpm.k)*(_xlpm.g=0))))</f>
        <v>0.30969885420378829</v>
      </c>
      <c r="P40" s="2" cm="1">
        <f t="array" ref="P40">_xlfn.LET(_xlpm.d,P$2:P$26,_xlpm.f,$A$2:$A$26,_xlpm.g,$B$2:$B$26,_xlpm.k,$C40,AVERAGE(_xlfn._xlws.FILTER(_xlpm.d,(_xlpm.f=_xlpm.k)*(_xlpm.g=0))))</f>
        <v>0.1486305584316365</v>
      </c>
      <c r="Q40" s="2" cm="1">
        <f t="array" ref="Q40">_xlfn.LET(_xlpm.d,Q$2:Q$26,_xlpm.f,$A$2:$A$26,_xlpm.g,$B$2:$B$26,_xlpm.k,$C40,AVERAGE(_xlfn._xlws.FILTER(_xlpm.d,(_xlpm.f=_xlpm.k)*(_xlpm.g=0))))</f>
        <v>0.33583614893960201</v>
      </c>
    </row>
    <row r="41" spans="3:17" ht="30" customHeight="1">
      <c r="C41" t="s">
        <v>55</v>
      </c>
      <c r="D41" s="2" cm="1">
        <f t="array" ref="D41">_xlfn.LET(_xlpm.d,D$2:D$26,_xlpm.f,$A$2:$A$26,_xlpm.g,$B$2:$B$26,_xlpm.k,$C41,AVERAGE(_xlfn._xlws.FILTER(_xlpm.d,(_xlpm.f=_xlpm.k)*(_xlpm.g=0))))</f>
        <v>0.62389855132600747</v>
      </c>
      <c r="E41" s="2" cm="1">
        <f t="array" ref="E41">_xlfn.LET(_xlpm.d,E$2:E$26,_xlpm.f,$A$2:$A$26,_xlpm.g,$B$2:$B$26,_xlpm.k,$C41,AVERAGE(_xlfn._xlws.FILTER(_xlpm.d,(_xlpm.f=_xlpm.k)*(_xlpm.g=0))))</f>
        <v>0.64335777986412501</v>
      </c>
      <c r="F41" s="2" cm="1">
        <f t="array" ref="F41">_xlfn.LET(_xlpm.d,F$2:F$26,_xlpm.f,$A$2:$A$26,_xlpm.g,$B$2:$B$26,_xlpm.k,$C41,AVERAGE(_xlfn._xlws.FILTER(_xlpm.d,(_xlpm.f=_xlpm.k)*(_xlpm.g=0))))</f>
        <v>0.59596430682673329</v>
      </c>
      <c r="G41" s="2" cm="1">
        <f t="array" ref="G41">_xlfn.LET(_xlpm.d,G$2:G$26,_xlpm.f,$A$2:$A$26,_xlpm.g,$B$2:$B$26,_xlpm.k,$C41,AVERAGE(_xlfn._xlws.FILTER(_xlpm.d,(_xlpm.f=_xlpm.k)*(_xlpm.g=0))))</f>
        <v>0.49130598832843125</v>
      </c>
      <c r="H41" s="2" cm="1">
        <f t="array" ref="H41">_xlfn.LET(_xlpm.d,H$2:H$26,_xlpm.f,$A$2:$A$26,_xlpm.g,$B$2:$B$26,_xlpm.k,$C41,AVERAGE(_xlfn._xlws.FILTER(_xlpm.d,(_xlpm.f=_xlpm.k)*(_xlpm.g=0))))</f>
        <v>0.52348801371731168</v>
      </c>
      <c r="I41" s="2" cm="1">
        <f t="array" ref="I41">_xlfn.LET(_xlpm.d,I$2:I$26,_xlpm.f,$A$2:$A$26,_xlpm.g,$B$2:$B$26,_xlpm.k,$C41,AVERAGE(_xlfn._xlws.FILTER(_xlpm.d,(_xlpm.f=_xlpm.k)*(_xlpm.g=0))))</f>
        <v>0.36378042217407047</v>
      </c>
      <c r="J41" s="2" cm="1">
        <f t="array" ref="J41">_xlfn.LET(_xlpm.d,J$2:J$26,_xlpm.f,$A$2:$A$26,_xlpm.g,$B$2:$B$26,_xlpm.k,$C41,AVERAGE(_xlfn._xlws.FILTER(_xlpm.d,(_xlpm.f=_xlpm.k)*(_xlpm.g=0))))</f>
        <v>0.44493169612769273</v>
      </c>
      <c r="K41" s="2" cm="1">
        <f t="array" ref="K41">_xlfn.LET(_xlpm.d,K$2:K$26,_xlpm.f,$A$2:$A$26,_xlpm.g,$B$2:$B$26,_xlpm.k,$C41,AVERAGE(_xlfn._xlws.FILTER(_xlpm.d,(_xlpm.f=_xlpm.k)*(_xlpm.g=0))))</f>
        <v>0.33389776192173426</v>
      </c>
      <c r="L41" s="2" cm="1">
        <f t="array" ref="L41">_xlfn.LET(_xlpm.d,L$2:L$26,_xlpm.f,$A$2:$A$26,_xlpm.g,$B$2:$B$26,_xlpm.k,$C41,AVERAGE(_xlfn._xlws.FILTER(_xlpm.d,(_xlpm.f=_xlpm.k)*(_xlpm.g=0))))</f>
        <v>0.23392907520422473</v>
      </c>
      <c r="M41" s="2" cm="1">
        <f t="array" ref="M41">_xlfn.LET(_xlpm.d,M$2:M$26,_xlpm.f,$A$2:$A$26,_xlpm.g,$B$2:$B$26,_xlpm.k,$C41,AVERAGE(_xlfn._xlws.FILTER(_xlpm.d,(_xlpm.f=_xlpm.k)*(_xlpm.g=0))))</f>
        <v>0.218453037581189</v>
      </c>
      <c r="N41" s="2" cm="1">
        <f t="array" ref="N41">_xlfn.LET(_xlpm.d,N$2:N$26,_xlpm.f,$A$2:$A$26,_xlpm.g,$B$2:$B$26,_xlpm.k,$C41,AVERAGE(_xlfn._xlws.FILTER(_xlpm.d,(_xlpm.f=_xlpm.k)*(_xlpm.g=0))))</f>
        <v>0.36099913669507822</v>
      </c>
      <c r="O41" s="2" cm="1">
        <f t="array" ref="O41">_xlfn.LET(_xlpm.d,O$2:O$26,_xlpm.f,$A$2:$A$26,_xlpm.g,$B$2:$B$26,_xlpm.k,$C41,AVERAGE(_xlfn._xlws.FILTER(_xlpm.d,(_xlpm.f=_xlpm.k)*(_xlpm.g=0))))</f>
        <v>0.36980455519680627</v>
      </c>
      <c r="P41" s="2" cm="1">
        <f t="array" ref="P41">_xlfn.LET(_xlpm.d,P$2:P$26,_xlpm.f,$A$2:$A$26,_xlpm.g,$B$2:$B$26,_xlpm.k,$C41,AVERAGE(_xlfn._xlws.FILTER(_xlpm.d,(_xlpm.f=_xlpm.k)*(_xlpm.g=0))))</f>
        <v>0.30562623933786875</v>
      </c>
      <c r="Q41" s="2" cm="1">
        <f t="array" ref="Q41">_xlfn.LET(_xlpm.d,Q$2:Q$26,_xlpm.f,$A$2:$A$26,_xlpm.g,$B$2:$B$26,_xlpm.k,$C41,AVERAGE(_xlfn._xlws.FILTER(_xlpm.d,(_xlpm.f=_xlpm.k)*(_xlpm.g=0))))</f>
        <v>0.42380281263855946</v>
      </c>
    </row>
    <row r="42" spans="3:17" ht="30" customHeight="1">
      <c r="C42" t="s">
        <v>58</v>
      </c>
      <c r="D42" s="2" cm="1">
        <f t="array" ref="D42">_xlfn.LET(_xlpm.d,D$2:D$26,_xlpm.f,$A$2:$A$26,_xlpm.g,$B$2:$B$26,_xlpm.k,$C42,AVERAGE(_xlfn._xlws.FILTER(_xlpm.d,(_xlpm.f=_xlpm.k)*(_xlpm.g=0))))</f>
        <v>0.99349970633777551</v>
      </c>
      <c r="E42" s="2" cm="1">
        <f t="array" ref="E42">_xlfn.LET(_xlpm.d,E$2:E$26,_xlpm.f,$A$2:$A$26,_xlpm.g,$B$2:$B$26,_xlpm.k,$C42,AVERAGE(_xlfn._xlws.FILTER(_xlpm.d,(_xlpm.f=_xlpm.k)*(_xlpm.g=0))))</f>
        <v>1</v>
      </c>
      <c r="F42" s="2" cm="1">
        <f t="array" ref="F42">_xlfn.LET(_xlpm.d,F$2:F$26,_xlpm.f,$A$2:$A$26,_xlpm.g,$B$2:$B$26,_xlpm.k,$C42,AVERAGE(_xlfn._xlws.FILTER(_xlpm.d,(_xlpm.f=_xlpm.k)*(_xlpm.g=0))))</f>
        <v>0.97425180925869148</v>
      </c>
      <c r="G42" s="2" cm="1">
        <f t="array" ref="G42">_xlfn.LET(_xlpm.d,G$2:G$26,_xlpm.f,$A$2:$A$26,_xlpm.g,$B$2:$B$26,_xlpm.k,$C42,AVERAGE(_xlfn._xlws.FILTER(_xlpm.d,(_xlpm.f=_xlpm.k)*(_xlpm.g=0))))</f>
        <v>0.99994047611961423</v>
      </c>
      <c r="H42" s="2" cm="1">
        <f t="array" ref="H42">_xlfn.LET(_xlpm.d,H$2:H$26,_xlpm.f,$A$2:$A$26,_xlpm.g,$B$2:$B$26,_xlpm.k,$C42,AVERAGE(_xlfn._xlws.FILTER(_xlpm.d,(_xlpm.f=_xlpm.k)*(_xlpm.g=0))))</f>
        <v>0.99952928236057659</v>
      </c>
      <c r="I42" s="2" cm="1">
        <f t="array" ref="I42">_xlfn.LET(_xlpm.d,I$2:I$26,_xlpm.f,$A$2:$A$26,_xlpm.g,$B$2:$B$26,_xlpm.k,$C42,AVERAGE(_xlfn._xlws.FILTER(_xlpm.d,(_xlpm.f=_xlpm.k)*(_xlpm.g=0))))</f>
        <v>0.94852008571777879</v>
      </c>
      <c r="J42" s="2" cm="1">
        <f t="array" ref="J42">_xlfn.LET(_xlpm.d,J$2:J$26,_xlpm.f,$A$2:$A$26,_xlpm.g,$B$2:$B$26,_xlpm.k,$C42,AVERAGE(_xlfn._xlws.FILTER(_xlpm.d,(_xlpm.f=_xlpm.k)*(_xlpm.g=0))))</f>
        <v>1</v>
      </c>
      <c r="K42" s="2" cm="1">
        <f t="array" ref="K42">_xlfn.LET(_xlpm.d,K$2:K$26,_xlpm.f,$A$2:$A$26,_xlpm.g,$B$2:$B$26,_xlpm.k,$C42,AVERAGE(_xlfn._xlws.FILTER(_xlpm.d,(_xlpm.f=_xlpm.k)*(_xlpm.g=0))))</f>
        <v>1</v>
      </c>
      <c r="L42" s="2" cm="1">
        <f t="array" ref="L42">_xlfn.LET(_xlpm.d,L$2:L$26,_xlpm.f,$A$2:$A$26,_xlpm.g,$B$2:$B$26,_xlpm.k,$C42,AVERAGE(_xlfn._xlws.FILTER(_xlpm.d,(_xlpm.f=_xlpm.k)*(_xlpm.g=0))))</f>
        <v>1</v>
      </c>
      <c r="M42" s="2" cm="1">
        <f t="array" ref="M42">_xlfn.LET(_xlpm.d,M$2:M$26,_xlpm.f,$A$2:$A$26,_xlpm.g,$B$2:$B$26,_xlpm.k,$C42,AVERAGE(_xlfn._xlws.FILTER(_xlpm.d,(_xlpm.f=_xlpm.k)*(_xlpm.g=0))))</f>
        <v>0.98733554651227395</v>
      </c>
      <c r="N42" s="2" cm="1">
        <f t="array" ref="N42">_xlfn.LET(_xlpm.d,N$2:N$26,_xlpm.f,$A$2:$A$26,_xlpm.g,$B$2:$B$26,_xlpm.k,$C42,AVERAGE(_xlfn._xlws.FILTER(_xlpm.d,(_xlpm.f=_xlpm.k)*(_xlpm.g=0))))</f>
        <v>0.998971146950557</v>
      </c>
      <c r="O42" s="2" cm="1">
        <f t="array" ref="O42">_xlfn.LET(_xlpm.d,O$2:O$26,_xlpm.f,$A$2:$A$26,_xlpm.g,$B$2:$B$26,_xlpm.k,$C42,AVERAGE(_xlfn._xlws.FILTER(_xlpm.d,(_xlpm.f=_xlpm.k)*(_xlpm.g=0))))</f>
        <v>0.89644660940672627</v>
      </c>
      <c r="P42" s="2" cm="1">
        <f t="array" ref="P42">_xlfn.LET(_xlpm.d,P$2:P$26,_xlpm.f,$A$2:$A$26,_xlpm.g,$B$2:$B$26,_xlpm.k,$C42,AVERAGE(_xlfn._xlws.FILTER(_xlpm.d,(_xlpm.f=_xlpm.k)*(_xlpm.g=0))))</f>
        <v>0.86111070803967149</v>
      </c>
      <c r="Q42" s="2" cm="1">
        <f t="array" ref="Q42">_xlfn.LET(_xlpm.d,Q$2:Q$26,_xlpm.f,$A$2:$A$26,_xlpm.g,$B$2:$B$26,_xlpm.k,$C42,AVERAGE(_xlfn._xlws.FILTER(_xlpm.d,(_xlpm.f=_xlpm.k)*(_xlpm.g=0))))</f>
        <v>0.9738157977464359</v>
      </c>
    </row>
  </sheetData>
  <conditionalFormatting sqref="D2:Q26 S2:S2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5CB1-E98D-4F41-BC23-A67569931093}">
  <dimension ref="A1:S52"/>
  <sheetViews>
    <sheetView workbookViewId="0">
      <pane xSplit="9080" ySplit="3520" topLeftCell="A42" activePane="bottomRight"/>
      <selection activeCell="B1" sqref="B1:C36"/>
      <selection pane="topRight" activeCell="D1" sqref="D1:Q1048576"/>
      <selection pane="bottomLeft" activeCell="C40" sqref="C40"/>
      <selection pane="bottomRight" activeCell="Q46" sqref="Q46"/>
    </sheetView>
  </sheetViews>
  <sheetFormatPr baseColWidth="10" defaultRowHeight="30" customHeight="1"/>
  <cols>
    <col min="1" max="1" width="10.25" customWidth="1"/>
    <col min="2" max="2" width="8" customWidth="1"/>
    <col min="3" max="3" width="15.5" customWidth="1"/>
    <col min="4" max="17" width="6.875" customWidth="1"/>
    <col min="18" max="18" width="7.375" customWidth="1"/>
    <col min="19" max="19" width="8.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_xlfn.LET(_xlpm.c,$C2,_xlfn.TEXTBEFORE(_xlpm.c,"-"))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3">
        <f>_xlfn.LET(_xlpm.d,$D2:$P2,STDEV(_xlpm.d))</f>
        <v>0</v>
      </c>
      <c r="S2" s="1">
        <f>Table13[[#This Row],[average]]-SQRT(Table13[[#This Row],[stdev]])</f>
        <v>1</v>
      </c>
    </row>
    <row r="3" spans="1:19" ht="30" customHeight="1">
      <c r="A3" t="str">
        <f t="shared" ref="A3:A36" si="0">_xlfn.LET(_xlpm.c,$C3,_xlfn.TEXTBEFORE(_xlpm.c,"-"))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ref="Q3:Q36" si="1">_xlfn.LET(_xlpm.d,$D3:$P3,AVERAGE(_xlpm.d))</f>
        <v>1</v>
      </c>
      <c r="R3" s="3">
        <f t="shared" ref="R3:R36" si="2">_xlfn.LET(_xlpm.d,$D3:$P3,STDEV(_xlpm.d))</f>
        <v>0</v>
      </c>
      <c r="S3" s="1">
        <f>Table13[[#This Row],[average]]-SQRT(Table13[[#This Row],[stdev]])</f>
        <v>1</v>
      </c>
    </row>
    <row r="4" spans="1:19" ht="30" customHeight="1">
      <c r="A4" t="str">
        <f t="shared" si="0"/>
        <v>arabic</v>
      </c>
      <c r="B4">
        <f>_xlfn.LET(_xlpm.c,_xlfn.SINGLE(Table13[condition]),IF(RIGHT(_xlpm.c,2)="1g",1,0))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0.99931127919426099</v>
      </c>
      <c r="M4" s="1">
        <v>1</v>
      </c>
      <c r="N4" s="1">
        <v>1</v>
      </c>
      <c r="O4" s="1">
        <v>1</v>
      </c>
      <c r="P4" s="1">
        <v>1</v>
      </c>
      <c r="Q4" s="1">
        <f t="shared" si="1"/>
        <v>0.99994702147648162</v>
      </c>
      <c r="R4" s="3">
        <f t="shared" si="2"/>
        <v>1.9101678304391258E-4</v>
      </c>
      <c r="S4" s="1">
        <f>Table13[[#This Row],[average]]-SQRT(Table13[[#This Row],[stdev]])</f>
        <v>0.98612613933951543</v>
      </c>
    </row>
    <row r="5" spans="1:19" ht="30" customHeight="1">
      <c r="A5" t="str">
        <f t="shared" si="0"/>
        <v>arabic</v>
      </c>
      <c r="B5">
        <f>_xlfn.LET(_xlpm.c,_xlfn.SINGLE(Table13[condition]),IF(RIGHT(_xlpm.c,2)="1g",1,0))</f>
        <v>0</v>
      </c>
      <c r="C5" t="s">
        <v>14</v>
      </c>
      <c r="D5" s="1">
        <v>1</v>
      </c>
      <c r="E5" s="1">
        <v>1</v>
      </c>
      <c r="F5" s="1">
        <v>1</v>
      </c>
      <c r="G5" s="1">
        <v>1</v>
      </c>
      <c r="H5" s="1">
        <v>0.99518280291962202</v>
      </c>
      <c r="I5" s="1">
        <v>1</v>
      </c>
      <c r="J5" s="1">
        <v>1</v>
      </c>
      <c r="K5" s="1">
        <v>0.98898968210386295</v>
      </c>
      <c r="L5" s="1">
        <v>1</v>
      </c>
      <c r="M5" s="1">
        <v>1</v>
      </c>
      <c r="N5" s="1">
        <v>1</v>
      </c>
      <c r="O5" s="1">
        <v>0.99583248907967703</v>
      </c>
      <c r="P5" s="1">
        <v>0.99459333055661703</v>
      </c>
      <c r="Q5" s="1">
        <f t="shared" si="1"/>
        <v>0.99804602343536764</v>
      </c>
      <c r="R5" s="3">
        <f t="shared" si="2"/>
        <v>3.4326665076086357E-3</v>
      </c>
      <c r="S5" s="1">
        <f>Table13[[#This Row],[average]]-SQRT(Table13[[#This Row],[stdev]])</f>
        <v>0.93945706109937266</v>
      </c>
    </row>
    <row r="6" spans="1:19" ht="30" customHeight="1">
      <c r="A6" t="str">
        <f t="shared" si="0"/>
        <v>arabic</v>
      </c>
      <c r="B6">
        <f>_xlfn.LET(_xlpm.c,_xlfn.SINGLE(Table13[condition]),IF(RIGHT(_xlpm.c,2)="1g",1,0))</f>
        <v>0</v>
      </c>
      <c r="C6" t="s">
        <v>15</v>
      </c>
      <c r="D6" s="1">
        <v>1</v>
      </c>
      <c r="E6" s="1">
        <v>1</v>
      </c>
      <c r="F6" s="1">
        <v>1</v>
      </c>
      <c r="G6" s="1">
        <v>0.94290998083530198</v>
      </c>
      <c r="H6" s="1">
        <v>0.98130927491440401</v>
      </c>
      <c r="I6" s="1">
        <v>1</v>
      </c>
      <c r="J6" s="1">
        <v>0.99378498166682305</v>
      </c>
      <c r="K6" s="1">
        <v>0.97689492372965903</v>
      </c>
      <c r="L6" s="1">
        <v>0.98372437486200603</v>
      </c>
      <c r="M6" s="1">
        <v>1</v>
      </c>
      <c r="N6" s="1">
        <v>1</v>
      </c>
      <c r="O6" s="1">
        <v>1</v>
      </c>
      <c r="P6" s="1">
        <v>1</v>
      </c>
      <c r="Q6" s="1">
        <f t="shared" si="1"/>
        <v>0.99066334892370722</v>
      </c>
      <c r="R6" s="3">
        <f t="shared" si="2"/>
        <v>1.6615080437305821E-2</v>
      </c>
      <c r="S6" s="1">
        <f>Table13[[#This Row],[average]]-SQRT(Table13[[#This Row],[stdev]])</f>
        <v>0.86176385149526169</v>
      </c>
    </row>
    <row r="7" spans="1:19" ht="30" customHeight="1">
      <c r="A7" t="str">
        <f t="shared" si="0"/>
        <v>arabic</v>
      </c>
      <c r="B7">
        <f>_xlfn.LET(_xlpm.c,_xlfn.SINGLE(Table13[condition]),IF(RIGHT(_xlpm.c,2)="1g",1,0))</f>
        <v>0</v>
      </c>
      <c r="C7" t="s">
        <v>37</v>
      </c>
      <c r="D7" s="1">
        <v>0.90107935775539305</v>
      </c>
      <c r="E7" s="1">
        <v>1</v>
      </c>
      <c r="F7" s="1">
        <v>0.921105261780926</v>
      </c>
      <c r="G7" s="1">
        <v>0.83918280825137204</v>
      </c>
      <c r="H7" s="1">
        <v>1</v>
      </c>
      <c r="I7" s="1">
        <v>0.92959748758258098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f t="shared" si="1"/>
        <v>0.96853576272079012</v>
      </c>
      <c r="R7" s="3">
        <f t="shared" si="2"/>
        <v>5.3196474772793996E-2</v>
      </c>
      <c r="S7" s="1">
        <f>Table13[[#This Row],[average]]-SQRT(Table13[[#This Row],[stdev]])</f>
        <v>0.73789215285311138</v>
      </c>
    </row>
    <row r="8" spans="1:19" ht="30" customHeight="1">
      <c r="A8" t="str">
        <f t="shared" si="0"/>
        <v>arabic</v>
      </c>
      <c r="B8">
        <f>_xlfn.LET(_xlpm.c,_xlfn.SINGLE(Table13[condition]),IF(RIGHT(_xlpm.c,2)="1g",1,0))</f>
        <v>0</v>
      </c>
      <c r="C8" t="s">
        <v>38</v>
      </c>
      <c r="D8" s="1">
        <v>1</v>
      </c>
      <c r="E8" s="1">
        <v>0.99966498881741594</v>
      </c>
      <c r="F8" s="1">
        <v>0.99952380250494199</v>
      </c>
      <c r="G8" s="1">
        <v>1</v>
      </c>
      <c r="H8" s="1">
        <v>0.92428964069170605</v>
      </c>
      <c r="I8" s="1">
        <v>1</v>
      </c>
      <c r="J8" s="1">
        <v>1</v>
      </c>
      <c r="K8" s="1">
        <v>1</v>
      </c>
      <c r="L8" s="1">
        <v>0.99953051522463898</v>
      </c>
      <c r="M8" s="1">
        <v>1</v>
      </c>
      <c r="N8" s="1">
        <v>1</v>
      </c>
      <c r="O8" s="1">
        <v>0.83250770906883798</v>
      </c>
      <c r="P8" s="1">
        <v>0.85269737078487096</v>
      </c>
      <c r="Q8" s="1">
        <f t="shared" si="1"/>
        <v>0.9698626174686471</v>
      </c>
      <c r="R8" s="3">
        <f t="shared" si="2"/>
        <v>6.0330303523061395E-2</v>
      </c>
      <c r="S8" s="1">
        <f>Table13[[#This Row],[average]]-SQRT(Table13[[#This Row],[stdev]])</f>
        <v>0.7242403393197353</v>
      </c>
    </row>
    <row r="9" spans="1:19" ht="30" customHeight="1">
      <c r="A9" t="str">
        <f t="shared" si="0"/>
        <v>english</v>
      </c>
      <c r="B9">
        <f>_xlfn.LET(_xlpm.c,_xlfn.SINGLE(Table13[condition]),IF(RIGHT(_xlpm.c,2)="1g",1,0))</f>
        <v>1</v>
      </c>
      <c r="C9" t="s">
        <v>16</v>
      </c>
      <c r="D9" s="1">
        <v>0.90272250368998297</v>
      </c>
      <c r="E9" s="1">
        <v>0.80657558095176096</v>
      </c>
      <c r="F9" s="1">
        <v>0.60539256823001897</v>
      </c>
      <c r="G9" s="1">
        <v>0.60212061994449895</v>
      </c>
      <c r="H9" s="1">
        <v>0.62333020131796801</v>
      </c>
      <c r="I9" s="1">
        <v>0.20320007005823801</v>
      </c>
      <c r="J9" s="1">
        <v>0.32814465604892701</v>
      </c>
      <c r="K9" s="1">
        <v>0.28975325420891601</v>
      </c>
      <c r="L9" s="1">
        <v>0.14265251192311201</v>
      </c>
      <c r="M9" s="1">
        <v>0.19754332883006501</v>
      </c>
      <c r="N9" s="1">
        <v>0.183644549215009</v>
      </c>
      <c r="O9" s="1">
        <v>0</v>
      </c>
      <c r="P9" s="1">
        <v>0</v>
      </c>
      <c r="Q9" s="1">
        <f t="shared" si="1"/>
        <v>0.37577537264757671</v>
      </c>
      <c r="R9" s="3">
        <f t="shared" si="2"/>
        <v>0.29908107714596088</v>
      </c>
      <c r="S9" s="1">
        <f>Table13[[#This Row],[average]]-SQRT(Table13[[#This Row],[stdev]])</f>
        <v>-0.17110768354081979</v>
      </c>
    </row>
    <row r="10" spans="1:19" ht="30" customHeight="1">
      <c r="A10" t="str">
        <f t="shared" si="0"/>
        <v>english</v>
      </c>
      <c r="B10">
        <f>_xlfn.LET(_xlpm.c,_xlfn.SINGLE(Table13[condition]),IF(RIGHT(_xlpm.c,2)="1g",1,0))</f>
        <v>0</v>
      </c>
      <c r="C10" t="s">
        <v>17</v>
      </c>
      <c r="D10" s="1">
        <v>0.46351844074543902</v>
      </c>
      <c r="E10" s="1">
        <v>0.450087996838263</v>
      </c>
      <c r="F10" s="1">
        <v>0.25466742007735799</v>
      </c>
      <c r="G10" s="1">
        <v>0.14276229886935701</v>
      </c>
      <c r="H10" s="1">
        <v>0.30243430894659401</v>
      </c>
      <c r="I10" s="1">
        <v>0.28111012313163902</v>
      </c>
      <c r="J10" s="1">
        <v>0.24009947151196301</v>
      </c>
      <c r="K10" s="1">
        <v>0.156456947658729</v>
      </c>
      <c r="L10" s="1">
        <v>0.17868309630082299</v>
      </c>
      <c r="M10" s="1">
        <v>0.27282126049014499</v>
      </c>
      <c r="N10" s="1">
        <v>0.34721766579117702</v>
      </c>
      <c r="O10" s="1">
        <v>0</v>
      </c>
      <c r="P10" s="1">
        <v>0.26833948116858197</v>
      </c>
      <c r="Q10" s="1">
        <f t="shared" si="1"/>
        <v>0.25832296242538993</v>
      </c>
      <c r="R10" s="3">
        <f t="shared" si="2"/>
        <v>0.12473523614766975</v>
      </c>
      <c r="S10" s="1">
        <f>Table13[[#This Row],[average]]-SQRT(Table13[[#This Row],[stdev]])</f>
        <v>-9.4855797054380797E-2</v>
      </c>
    </row>
    <row r="11" spans="1:19" ht="30" customHeight="1">
      <c r="A11" t="str">
        <f t="shared" si="0"/>
        <v>english</v>
      </c>
      <c r="B11">
        <f>_xlfn.LET(_xlpm.c,_xlfn.SINGLE(Table13[condition]),IF(RIGHT(_xlpm.c,2)="1g",1,0))</f>
        <v>0</v>
      </c>
      <c r="C11" t="s">
        <v>18</v>
      </c>
      <c r="D11" s="1">
        <v>0.62741617293416396</v>
      </c>
      <c r="E11" s="1">
        <v>0.43101803037397501</v>
      </c>
      <c r="F11" s="1">
        <v>0.329437420642753</v>
      </c>
      <c r="G11" s="1">
        <v>0.43138983795718</v>
      </c>
      <c r="H11" s="1">
        <v>0.27996184360633702</v>
      </c>
      <c r="I11" s="1">
        <v>0.37836734916912801</v>
      </c>
      <c r="J11" s="1">
        <v>0.15285538227699999</v>
      </c>
      <c r="K11" s="1">
        <v>0</v>
      </c>
      <c r="L11" s="1">
        <v>0.143970466712564</v>
      </c>
      <c r="M11" s="1">
        <v>0.354050447984598</v>
      </c>
      <c r="N11" s="1">
        <v>0.29747449596574799</v>
      </c>
      <c r="O11" s="1">
        <v>0.28566821302480799</v>
      </c>
      <c r="P11" s="1">
        <v>0.22125697411659601</v>
      </c>
      <c r="Q11" s="1">
        <f t="shared" si="1"/>
        <v>0.30252820267421926</v>
      </c>
      <c r="R11" s="3">
        <f t="shared" si="2"/>
        <v>0.15660120491550958</v>
      </c>
      <c r="S11" s="1">
        <f>Table13[[#This Row],[average]]-SQRT(Table13[[#This Row],[stdev]])</f>
        <v>-9.3200498477857385E-2</v>
      </c>
    </row>
    <row r="12" spans="1:19" ht="30" customHeight="1">
      <c r="A12" t="str">
        <f t="shared" si="0"/>
        <v>english</v>
      </c>
      <c r="B12">
        <f>_xlfn.LET(_xlpm.c,_xlfn.SINGLE(Table13[condition]),IF(RIGHT(_xlpm.c,2)="1g",1,0))</f>
        <v>0</v>
      </c>
      <c r="C12" t="s">
        <v>19</v>
      </c>
      <c r="D12" s="1">
        <v>0.66336311919459601</v>
      </c>
      <c r="E12" s="1">
        <v>0</v>
      </c>
      <c r="F12" s="1">
        <v>0.34878973298222798</v>
      </c>
      <c r="G12" s="1">
        <v>0.29254703761045697</v>
      </c>
      <c r="H12" s="1">
        <v>0.428107778436915</v>
      </c>
      <c r="I12" s="1">
        <v>0.31785512545898598</v>
      </c>
      <c r="J12" s="1">
        <v>0.350019052720899</v>
      </c>
      <c r="K12" s="1">
        <v>0.31304974715973999</v>
      </c>
      <c r="L12" s="1">
        <v>0.39034648181720999</v>
      </c>
      <c r="M12" s="1">
        <v>0.25398077943855601</v>
      </c>
      <c r="N12" s="1">
        <v>0.245569074264679</v>
      </c>
      <c r="O12" s="1">
        <v>0.22529770256566301</v>
      </c>
      <c r="P12" s="1">
        <v>0.226665509016728</v>
      </c>
      <c r="Q12" s="1">
        <f t="shared" si="1"/>
        <v>0.31196854928205053</v>
      </c>
      <c r="R12" s="3">
        <f t="shared" si="2"/>
        <v>0.14894364502219426</v>
      </c>
      <c r="S12" s="1">
        <f>Table13[[#This Row],[average]]-SQRT(Table13[[#This Row],[stdev]])</f>
        <v>-7.3963627430638557E-2</v>
      </c>
    </row>
    <row r="13" spans="1:19" ht="30" customHeight="1">
      <c r="A13" t="str">
        <f t="shared" si="0"/>
        <v>english</v>
      </c>
      <c r="B13">
        <f>_xlfn.LET(_xlpm.c,_xlfn.SINGLE(Table13[condition]),IF(RIGHT(_xlpm.c,2)="1g",1,0))</f>
        <v>0</v>
      </c>
      <c r="C13" t="s">
        <v>20</v>
      </c>
      <c r="D13" s="1">
        <v>0.62704390697451395</v>
      </c>
      <c r="E13" s="1">
        <v>0.54588714643985603</v>
      </c>
      <c r="F13" s="1">
        <v>0.31796988369488</v>
      </c>
      <c r="G13" s="1">
        <v>0.325780455162897</v>
      </c>
      <c r="H13" s="1">
        <v>0.55815181512727396</v>
      </c>
      <c r="I13" s="1">
        <v>0.48693679725316502</v>
      </c>
      <c r="J13" s="1">
        <v>0.59715759698203896</v>
      </c>
      <c r="K13" s="1">
        <v>0</v>
      </c>
      <c r="L13" s="1">
        <v>0.51451648702328301</v>
      </c>
      <c r="M13" s="1">
        <v>0.35041756285728698</v>
      </c>
      <c r="N13" s="1">
        <v>0.18203478804482601</v>
      </c>
      <c r="O13" s="1">
        <v>0.47823364341260399</v>
      </c>
      <c r="P13" s="1">
        <v>0.34889502943732298</v>
      </c>
      <c r="Q13" s="1">
        <f t="shared" si="1"/>
        <v>0.41023270095461134</v>
      </c>
      <c r="R13" s="3">
        <f t="shared" si="2"/>
        <v>0.17957423944773812</v>
      </c>
      <c r="S13" s="1">
        <f>Table13[[#This Row],[average]]-SQRT(Table13[[#This Row],[stdev]])</f>
        <v>-1.3529307073170849E-2</v>
      </c>
    </row>
    <row r="14" spans="1:19" ht="30" customHeight="1">
      <c r="A14" t="str">
        <f t="shared" si="0"/>
        <v>english</v>
      </c>
      <c r="B14">
        <f>_xlfn.LET(_xlpm.c,_xlfn.SINGLE(Table13[condition]),IF(RIGHT(_xlpm.c,2)="1g",1,0))</f>
        <v>0</v>
      </c>
      <c r="C14" t="s">
        <v>39</v>
      </c>
      <c r="D14" s="1">
        <v>0.375380216968348</v>
      </c>
      <c r="E14" s="1">
        <v>0.44470715805204503</v>
      </c>
      <c r="F14" s="1">
        <v>0.40939168911415003</v>
      </c>
      <c r="G14" s="1">
        <v>0.37375294753798799</v>
      </c>
      <c r="H14" s="1">
        <v>0.36479441564870602</v>
      </c>
      <c r="I14" s="1">
        <v>0.46112303198666199</v>
      </c>
      <c r="J14" s="1">
        <v>0.34541097263955101</v>
      </c>
      <c r="K14" s="1">
        <v>0.16750072079806899</v>
      </c>
      <c r="L14" s="1">
        <v>0.27472418086459499</v>
      </c>
      <c r="M14" s="1">
        <v>0.18386603153572001</v>
      </c>
      <c r="N14" s="1">
        <v>0.290158735790361</v>
      </c>
      <c r="O14" s="1">
        <v>0.33569451373324799</v>
      </c>
      <c r="P14" s="1">
        <v>0.25397447916527399</v>
      </c>
      <c r="Q14" s="1">
        <f t="shared" si="1"/>
        <v>0.32926762260267051</v>
      </c>
      <c r="R14" s="3">
        <f t="shared" si="2"/>
        <v>9.1417123340437431E-2</v>
      </c>
      <c r="S14" s="1">
        <f>Table13[[#This Row],[average]]-SQRT(Table13[[#This Row],[stdev]])</f>
        <v>2.6914975284282661E-2</v>
      </c>
    </row>
    <row r="15" spans="1:19" ht="30" customHeight="1">
      <c r="A15" t="str">
        <f t="shared" si="0"/>
        <v>english</v>
      </c>
      <c r="B15">
        <f>_xlfn.LET(_xlpm.c,_xlfn.SINGLE(Table13[condition]),IF(RIGHT(_xlpm.c,2)="1g",1,0))</f>
        <v>0</v>
      </c>
      <c r="C15" t="s">
        <v>40</v>
      </c>
      <c r="D15" s="1">
        <v>0.59386418181008704</v>
      </c>
      <c r="E15" s="1">
        <v>0.471738312610612</v>
      </c>
      <c r="F15" s="1">
        <v>0.52863046298960203</v>
      </c>
      <c r="G15" s="1">
        <v>0.45939153885337403</v>
      </c>
      <c r="H15" s="1">
        <v>0.328365590427252</v>
      </c>
      <c r="I15" s="1">
        <v>0.33513269392193501</v>
      </c>
      <c r="J15" s="1">
        <v>0.22721937643520801</v>
      </c>
      <c r="K15" s="1">
        <v>0</v>
      </c>
      <c r="L15" s="1">
        <v>0</v>
      </c>
      <c r="M15" s="1">
        <v>0</v>
      </c>
      <c r="N15" s="1">
        <v>0</v>
      </c>
      <c r="O15" s="1">
        <v>0.263218071105915</v>
      </c>
      <c r="P15" s="1">
        <v>0</v>
      </c>
      <c r="Q15" s="1">
        <f t="shared" si="1"/>
        <v>0.24673540216569118</v>
      </c>
      <c r="R15" s="3">
        <f t="shared" si="2"/>
        <v>0.22644610709549048</v>
      </c>
      <c r="S15" s="1">
        <f>Table13[[#This Row],[average]]-SQRT(Table13[[#This Row],[stdev]])</f>
        <v>-0.22912813614701721</v>
      </c>
    </row>
    <row r="16" spans="1:19" ht="30" customHeight="1">
      <c r="A16" t="str">
        <f t="shared" si="0"/>
        <v>french</v>
      </c>
      <c r="B16">
        <f>_xlfn.LET(_xlpm.c,_xlfn.SINGLE(Table13[condition]),IF(RIGHT(_xlpm.c,2)="1g",1,0))</f>
        <v>1</v>
      </c>
      <c r="C16" t="s">
        <v>21</v>
      </c>
      <c r="D16" s="1">
        <v>0.91216966747093597</v>
      </c>
      <c r="E16" s="1">
        <v>0.87924986173788</v>
      </c>
      <c r="F16" s="1">
        <v>0.96102214902870697</v>
      </c>
      <c r="G16" s="1">
        <v>0.67420146360932698</v>
      </c>
      <c r="H16" s="1">
        <v>0.62513972275659102</v>
      </c>
      <c r="I16" s="1">
        <v>0.62175071570707596</v>
      </c>
      <c r="J16" s="1">
        <v>0.15398049991169099</v>
      </c>
      <c r="K16" s="1">
        <v>0.186250034839613</v>
      </c>
      <c r="L16" s="1">
        <v>0.44446397723860598</v>
      </c>
      <c r="M16" s="1">
        <v>0.152378381936361</v>
      </c>
      <c r="N16" s="1">
        <v>0.20190115069148401</v>
      </c>
      <c r="O16" s="1">
        <v>0</v>
      </c>
      <c r="P16" s="1">
        <v>0.41950039189481803</v>
      </c>
      <c r="Q16" s="1">
        <f t="shared" si="1"/>
        <v>0.47938523206331474</v>
      </c>
      <c r="R16" s="3">
        <f t="shared" si="2"/>
        <v>0.32519188486539141</v>
      </c>
      <c r="S16" s="1">
        <f>Table13[[#This Row],[average]]-SQRT(Table13[[#This Row],[stdev]])</f>
        <v>-9.0870749812712037E-2</v>
      </c>
    </row>
    <row r="17" spans="1:19" ht="30" customHeight="1">
      <c r="A17" t="str">
        <f t="shared" si="0"/>
        <v>french</v>
      </c>
      <c r="B17">
        <f>_xlfn.LET(_xlpm.c,_xlfn.SINGLE(Table13[condition]),IF(RIGHT(_xlpm.c,2)="1g",1,0))</f>
        <v>0</v>
      </c>
      <c r="C17" t="s">
        <v>22</v>
      </c>
      <c r="D17" s="1">
        <v>0.29080667703107999</v>
      </c>
      <c r="E17" s="1">
        <v>0.50221620949718204</v>
      </c>
      <c r="F17" s="1">
        <v>0.132290969010156</v>
      </c>
      <c r="G17" s="1">
        <v>0.41629127269568</v>
      </c>
      <c r="H17" s="1">
        <v>0.243893832746683</v>
      </c>
      <c r="I17" s="1">
        <v>0.44996331448374099</v>
      </c>
      <c r="J17" s="1">
        <v>0.16642149066165099</v>
      </c>
      <c r="K17" s="1">
        <v>0.22613737764415201</v>
      </c>
      <c r="L17" s="1">
        <v>0</v>
      </c>
      <c r="M17" s="1">
        <v>0.33873297410033099</v>
      </c>
      <c r="N17" s="1">
        <v>0</v>
      </c>
      <c r="O17" s="1">
        <v>0.27705819826119199</v>
      </c>
      <c r="P17" s="1">
        <v>0</v>
      </c>
      <c r="Q17" s="1">
        <f t="shared" si="1"/>
        <v>0.23413940893321911</v>
      </c>
      <c r="R17" s="3">
        <f t="shared" si="2"/>
        <v>0.17009782411172555</v>
      </c>
      <c r="S17" s="1">
        <f>Table13[[#This Row],[average]]-SQRT(Table13[[#This Row],[stdev]])</f>
        <v>-0.17828976572798932</v>
      </c>
    </row>
    <row r="18" spans="1:19" ht="30" customHeight="1">
      <c r="A18" t="str">
        <f t="shared" si="0"/>
        <v>french</v>
      </c>
      <c r="B18">
        <f>_xlfn.LET(_xlpm.c,_xlfn.SINGLE(Table13[condition]),IF(RIGHT(_xlpm.c,2)="1g",1,0))</f>
        <v>0</v>
      </c>
      <c r="C18" t="s">
        <v>23</v>
      </c>
      <c r="D18" s="1">
        <v>0.49789643178208398</v>
      </c>
      <c r="E18" s="1">
        <v>0.40351628138508899</v>
      </c>
      <c r="F18" s="1">
        <v>0.40251224997033602</v>
      </c>
      <c r="G18" s="1">
        <v>0.433688337925139</v>
      </c>
      <c r="H18" s="1">
        <v>0.35726386606267801</v>
      </c>
      <c r="I18" s="1">
        <v>0.39009991326135401</v>
      </c>
      <c r="J18" s="1">
        <v>0.154963019024764</v>
      </c>
      <c r="K18" s="1">
        <v>0.225985807927152</v>
      </c>
      <c r="L18" s="1">
        <v>0.30923410644181198</v>
      </c>
      <c r="M18" s="1">
        <v>0.21971312080171401</v>
      </c>
      <c r="N18" s="1">
        <v>0.255026389766216</v>
      </c>
      <c r="O18" s="1">
        <v>0.29311328273228499</v>
      </c>
      <c r="P18" s="1">
        <v>0.41108035072110199</v>
      </c>
      <c r="Q18" s="1">
        <f t="shared" si="1"/>
        <v>0.33493024290782497</v>
      </c>
      <c r="R18" s="3">
        <f t="shared" si="2"/>
        <v>0.10051927125212239</v>
      </c>
      <c r="S18" s="1">
        <f>Table13[[#This Row],[average]]-SQRT(Table13[[#This Row],[stdev]])</f>
        <v>1.7882500048610805E-2</v>
      </c>
    </row>
    <row r="19" spans="1:19" ht="30" customHeight="1">
      <c r="A19" t="str">
        <f t="shared" si="0"/>
        <v>french</v>
      </c>
      <c r="B19">
        <f>_xlfn.LET(_xlpm.c,_xlfn.SINGLE(Table13[condition]),IF(RIGHT(_xlpm.c,2)="1g",1,0))</f>
        <v>0</v>
      </c>
      <c r="C19" t="s">
        <v>24</v>
      </c>
      <c r="D19" s="1">
        <v>0.48095534106962201</v>
      </c>
      <c r="E19" s="1">
        <v>0.51280505390244202</v>
      </c>
      <c r="F19" s="1">
        <v>0.45132299934543402</v>
      </c>
      <c r="G19" s="1">
        <v>0.29723976617231401</v>
      </c>
      <c r="H19" s="1">
        <v>0.48423970229698199</v>
      </c>
      <c r="I19" s="1">
        <v>0.60182595279083795</v>
      </c>
      <c r="J19" s="1">
        <v>0.51364463431432605</v>
      </c>
      <c r="K19" s="1">
        <v>0.51829771070252895</v>
      </c>
      <c r="L19" s="1">
        <v>0</v>
      </c>
      <c r="M19" s="1">
        <v>0.57987720592376901</v>
      </c>
      <c r="N19" s="1">
        <v>0</v>
      </c>
      <c r="O19" s="1">
        <v>0.32138786042668999</v>
      </c>
      <c r="P19" s="1">
        <v>0.18344188300544401</v>
      </c>
      <c r="Q19" s="1">
        <f t="shared" si="1"/>
        <v>0.38038754691926085</v>
      </c>
      <c r="R19" s="3">
        <f t="shared" si="2"/>
        <v>0.20567867838576134</v>
      </c>
      <c r="S19" s="1">
        <f>Table13[[#This Row],[average]]-SQRT(Table13[[#This Row],[stdev]])</f>
        <v>-7.3130565603008013E-2</v>
      </c>
    </row>
    <row r="20" spans="1:19" ht="30" customHeight="1">
      <c r="A20" t="str">
        <f t="shared" si="0"/>
        <v>french</v>
      </c>
      <c r="B20">
        <f>_xlfn.LET(_xlpm.c,_xlfn.SINGLE(Table13[condition]),IF(RIGHT(_xlpm.c,2)="1g",1,0))</f>
        <v>0</v>
      </c>
      <c r="C20" t="s">
        <v>25</v>
      </c>
      <c r="D20" s="1">
        <v>0.58984241109147795</v>
      </c>
      <c r="E20" s="1">
        <v>0.492304844924906</v>
      </c>
      <c r="F20" s="1">
        <v>0.71418634900702704</v>
      </c>
      <c r="G20" s="1">
        <v>0.42868573629878898</v>
      </c>
      <c r="H20" s="1">
        <v>0.23575962930767</v>
      </c>
      <c r="I20" s="1">
        <v>0.425170143636253</v>
      </c>
      <c r="J20" s="1">
        <v>0.505836916492863</v>
      </c>
      <c r="K20" s="1">
        <v>0.42562758722180999</v>
      </c>
      <c r="L20" s="1">
        <v>0.38315644868383503</v>
      </c>
      <c r="M20" s="1">
        <v>0.28297502281195303</v>
      </c>
      <c r="N20" s="1">
        <v>0.28975499610377098</v>
      </c>
      <c r="O20" s="1">
        <v>0.34723607539498602</v>
      </c>
      <c r="P20" s="1">
        <v>0</v>
      </c>
      <c r="Q20" s="1">
        <f t="shared" si="1"/>
        <v>0.3938873969981031</v>
      </c>
      <c r="R20" s="3">
        <f t="shared" si="2"/>
        <v>0.1760666854395421</v>
      </c>
      <c r="S20" s="1">
        <f>Table13[[#This Row],[average]]-SQRT(Table13[[#This Row],[stdev]])</f>
        <v>-2.5715612332790627E-2</v>
      </c>
    </row>
    <row r="21" spans="1:19" ht="30" customHeight="1">
      <c r="A21" t="str">
        <f t="shared" si="0"/>
        <v>french</v>
      </c>
      <c r="B21">
        <f>_xlfn.LET(_xlpm.c,_xlfn.SINGLE(Table13[condition]),IF(RIGHT(_xlpm.c,2)="1g",1,0))</f>
        <v>0</v>
      </c>
      <c r="C21" t="s">
        <v>41</v>
      </c>
      <c r="D21" s="1">
        <v>0.78021108831371999</v>
      </c>
      <c r="E21" s="1">
        <v>0.648562996168359</v>
      </c>
      <c r="F21" s="1">
        <v>0.50466031803580402</v>
      </c>
      <c r="G21" s="1">
        <v>0.55227978536438005</v>
      </c>
      <c r="H21" s="1">
        <v>0.62914242690659306</v>
      </c>
      <c r="I21" s="1">
        <v>0.45392039710203802</v>
      </c>
      <c r="J21" s="1">
        <v>0.350230659267315</v>
      </c>
      <c r="K21" s="1">
        <v>0.43332335861134402</v>
      </c>
      <c r="L21" s="1">
        <v>0.41352724360770099</v>
      </c>
      <c r="M21" s="1">
        <v>0.49476116545459398</v>
      </c>
      <c r="N21" s="1">
        <v>0.540634390470073</v>
      </c>
      <c r="O21" s="1">
        <v>0</v>
      </c>
      <c r="P21" s="1">
        <v>0.22179238352334299</v>
      </c>
      <c r="Q21" s="1">
        <f t="shared" si="1"/>
        <v>0.46331124714040484</v>
      </c>
      <c r="R21" s="3">
        <f t="shared" si="2"/>
        <v>0.19750076232853403</v>
      </c>
      <c r="S21" s="1">
        <f>Table13[[#This Row],[average]]-SQRT(Table13[[#This Row],[stdev]])</f>
        <v>1.8900668588842873E-2</v>
      </c>
    </row>
    <row r="22" spans="1:19" ht="30" customHeight="1">
      <c r="A22" t="str">
        <f t="shared" si="0"/>
        <v>french</v>
      </c>
      <c r="B22">
        <f>_xlfn.LET(_xlpm.c,_xlfn.SINGLE(Table13[condition]),IF(RIGHT(_xlpm.c,2)="1g",1,0))</f>
        <v>0</v>
      </c>
      <c r="C22" t="s">
        <v>42</v>
      </c>
      <c r="D22" s="1">
        <v>0.68660790651289705</v>
      </c>
      <c r="E22" s="1">
        <v>0.66474549546570005</v>
      </c>
      <c r="F22" s="1">
        <v>0.42096713847925099</v>
      </c>
      <c r="G22" s="1">
        <v>0.54988905996167703</v>
      </c>
      <c r="H22" s="1">
        <v>0.421745683486206</v>
      </c>
      <c r="I22" s="1">
        <v>0.28514220609416902</v>
      </c>
      <c r="J22" s="1">
        <v>0.24187886425667601</v>
      </c>
      <c r="K22" s="1">
        <v>0.29608046078628703</v>
      </c>
      <c r="L22" s="1">
        <v>0.22297898892853299</v>
      </c>
      <c r="M22" s="1">
        <v>0.42287401869584901</v>
      </c>
      <c r="N22" s="1">
        <v>0.34064333739210401</v>
      </c>
      <c r="O22" s="1">
        <v>0.16546337199991301</v>
      </c>
      <c r="P22" s="1">
        <v>0.37782636427648902</v>
      </c>
      <c r="Q22" s="1">
        <f t="shared" si="1"/>
        <v>0.39206483817967303</v>
      </c>
      <c r="R22" s="3">
        <f t="shared" si="2"/>
        <v>0.16193382819843508</v>
      </c>
      <c r="S22" s="1">
        <f>Table13[[#This Row],[average]]-SQRT(Table13[[#This Row],[stdev]])</f>
        <v>-1.0345186792910244E-2</v>
      </c>
    </row>
    <row r="23" spans="1:19" ht="30" customHeight="1">
      <c r="A23" t="str">
        <f t="shared" si="0"/>
        <v>german</v>
      </c>
      <c r="B23">
        <f>_xlfn.LET(_xlpm.c,_xlfn.SINGLE(Table13[condition]),IF(RIGHT(_xlpm.c,2)="1g",1,0))</f>
        <v>1</v>
      </c>
      <c r="C23" t="s">
        <v>26</v>
      </c>
      <c r="D23" s="1">
        <v>0.90490189880011995</v>
      </c>
      <c r="E23" s="1">
        <v>0.79329672893408798</v>
      </c>
      <c r="F23" s="1">
        <v>0.78332620028047595</v>
      </c>
      <c r="G23" s="1">
        <v>0.65624988122946304</v>
      </c>
      <c r="H23" s="1">
        <v>0.493921615283402</v>
      </c>
      <c r="I23" s="1">
        <v>0.45713826837200899</v>
      </c>
      <c r="J23" s="1">
        <v>0.57023193783737003</v>
      </c>
      <c r="K23" s="1">
        <v>0.40413312427077402</v>
      </c>
      <c r="L23" s="1">
        <v>0.46575970279096801</v>
      </c>
      <c r="M23" s="1">
        <v>0.20249935578358899</v>
      </c>
      <c r="N23" s="1">
        <v>0.42305506335528797</v>
      </c>
      <c r="O23" s="1">
        <v>0.14153271637606701</v>
      </c>
      <c r="P23" s="1">
        <v>0.35401390498837498</v>
      </c>
      <c r="Q23" s="1">
        <f t="shared" si="1"/>
        <v>0.51154310756169141</v>
      </c>
      <c r="R23" s="3">
        <f t="shared" si="2"/>
        <v>0.2262615489396575</v>
      </c>
      <c r="S23" s="1">
        <f>Table13[[#This Row],[average]]-SQRT(Table13[[#This Row],[stdev]])</f>
        <v>3.5873527979753572E-2</v>
      </c>
    </row>
    <row r="24" spans="1:19" ht="30" customHeight="1">
      <c r="A24" t="str">
        <f t="shared" si="0"/>
        <v>german</v>
      </c>
      <c r="B24">
        <f>_xlfn.LET(_xlpm.c,_xlfn.SINGLE(Table13[condition]),IF(RIGHT(_xlpm.c,2)="1g",1,0))</f>
        <v>0</v>
      </c>
      <c r="C24" t="s">
        <v>27</v>
      </c>
      <c r="D24" s="1">
        <v>0.66623791601519899</v>
      </c>
      <c r="E24" s="1">
        <v>0.53603232691762703</v>
      </c>
      <c r="F24" s="1">
        <v>0.67628457055884506</v>
      </c>
      <c r="G24" s="1">
        <v>0.53439020673359905</v>
      </c>
      <c r="H24" s="1">
        <v>0.373445694092497</v>
      </c>
      <c r="I24" s="1">
        <v>0.32718638698651098</v>
      </c>
      <c r="J24" s="1">
        <v>0.39754204853304898</v>
      </c>
      <c r="K24" s="1">
        <v>0.29213131826774102</v>
      </c>
      <c r="L24" s="1">
        <v>0.15340006382896701</v>
      </c>
      <c r="M24" s="1">
        <v>0.21944698840846399</v>
      </c>
      <c r="N24" s="1">
        <v>0.3868872849228</v>
      </c>
      <c r="O24" s="1">
        <v>0.47362778004297001</v>
      </c>
      <c r="P24" s="1">
        <v>0.34652503614441899</v>
      </c>
      <c r="Q24" s="1">
        <f t="shared" si="1"/>
        <v>0.41408750934251448</v>
      </c>
      <c r="R24" s="3">
        <f t="shared" si="2"/>
        <v>0.15830179287339091</v>
      </c>
      <c r="S24" s="1">
        <f>Table13[[#This Row],[average]]-SQRT(Table13[[#This Row],[stdev]])</f>
        <v>1.6215930974077974E-2</v>
      </c>
    </row>
    <row r="25" spans="1:19" ht="30" customHeight="1">
      <c r="A25" t="str">
        <f t="shared" si="0"/>
        <v>german</v>
      </c>
      <c r="B25">
        <f>_xlfn.LET(_xlpm.c,_xlfn.SINGLE(Table13[condition]),IF(RIGHT(_xlpm.c,2)="1g",1,0))</f>
        <v>0</v>
      </c>
      <c r="C25" t="s">
        <v>28</v>
      </c>
      <c r="D25" s="1">
        <v>0.69236511292257297</v>
      </c>
      <c r="E25" s="1">
        <v>0.73835663390375905</v>
      </c>
      <c r="F25" s="1">
        <v>0.47616324289734202</v>
      </c>
      <c r="G25" s="1">
        <v>0.47768127849203501</v>
      </c>
      <c r="H25" s="1">
        <v>0.69702573903148102</v>
      </c>
      <c r="I25" s="1">
        <v>0.46117553770768599</v>
      </c>
      <c r="J25" s="1">
        <v>0.61647901551014705</v>
      </c>
      <c r="K25" s="1">
        <v>0.166961606871459</v>
      </c>
      <c r="L25" s="1">
        <v>0.15394037732944399</v>
      </c>
      <c r="M25" s="1">
        <v>0.25807068108229098</v>
      </c>
      <c r="N25" s="1">
        <v>0.24969770356086901</v>
      </c>
      <c r="O25" s="1">
        <v>0.41527347919407198</v>
      </c>
      <c r="P25" s="1">
        <v>0.28599480765989299</v>
      </c>
      <c r="Q25" s="1">
        <f t="shared" si="1"/>
        <v>0.4376296320125424</v>
      </c>
      <c r="R25" s="3">
        <f t="shared" si="2"/>
        <v>0.20474318010945797</v>
      </c>
      <c r="S25" s="1">
        <f>Table13[[#This Row],[average]]-SQRT(Table13[[#This Row],[stdev]])</f>
        <v>-1.4855925888986599E-2</v>
      </c>
    </row>
    <row r="26" spans="1:19" ht="30" customHeight="1">
      <c r="A26" t="str">
        <f t="shared" si="0"/>
        <v>german</v>
      </c>
      <c r="B26">
        <f>_xlfn.LET(_xlpm.c,_xlfn.SINGLE(Table13[condition]),IF(RIGHT(_xlpm.c,2)="1g",1,0))</f>
        <v>0</v>
      </c>
      <c r="C26" t="s">
        <v>29</v>
      </c>
      <c r="D26" s="1">
        <v>0.47244152262623901</v>
      </c>
      <c r="E26" s="1">
        <v>0.65295349367325295</v>
      </c>
      <c r="F26" s="1">
        <v>0.70895451404011101</v>
      </c>
      <c r="G26" s="1">
        <v>0.43558199276790099</v>
      </c>
      <c r="H26" s="1">
        <v>0.55519571844313997</v>
      </c>
      <c r="I26" s="1">
        <v>0.30258113592965502</v>
      </c>
      <c r="J26" s="1">
        <v>0.46823222045907598</v>
      </c>
      <c r="K26" s="1">
        <v>0.31216658060360702</v>
      </c>
      <c r="L26" s="1">
        <v>0.34924971026082402</v>
      </c>
      <c r="M26" s="1">
        <v>0.39629448083400098</v>
      </c>
      <c r="N26" s="1">
        <v>0.24927459366104299</v>
      </c>
      <c r="O26" s="1">
        <v>0.33918726552084799</v>
      </c>
      <c r="P26" s="1">
        <v>0.37201990632738602</v>
      </c>
      <c r="Q26" s="1">
        <f t="shared" si="1"/>
        <v>0.43185639501131412</v>
      </c>
      <c r="R26" s="3">
        <f t="shared" si="2"/>
        <v>0.13798987346953828</v>
      </c>
      <c r="S26" s="1">
        <f>Table13[[#This Row],[average]]-SQRT(Table13[[#This Row],[stdev]])</f>
        <v>6.0386512693059058E-2</v>
      </c>
    </row>
    <row r="27" spans="1:19" ht="30" customHeight="1">
      <c r="A27" t="str">
        <f t="shared" si="0"/>
        <v>german</v>
      </c>
      <c r="B27">
        <f>_xlfn.LET(_xlpm.c,_xlfn.SINGLE(Table13[condition]),IF(RIGHT(_xlpm.c,2)="1g",1,0))</f>
        <v>0</v>
      </c>
      <c r="C27" t="s">
        <v>30</v>
      </c>
      <c r="D27" s="1">
        <v>0.66454965374001895</v>
      </c>
      <c r="E27" s="1">
        <v>0.64608866496186101</v>
      </c>
      <c r="F27" s="1">
        <v>0.52245489981063498</v>
      </c>
      <c r="G27" s="1">
        <v>0.51757047532018996</v>
      </c>
      <c r="H27" s="1">
        <v>0.46828490330212902</v>
      </c>
      <c r="I27" s="1">
        <v>0.36417862807243001</v>
      </c>
      <c r="J27" s="1">
        <v>0.29747350000849898</v>
      </c>
      <c r="K27" s="1">
        <v>0.56433154194413004</v>
      </c>
      <c r="L27" s="1">
        <v>0.279126149397664</v>
      </c>
      <c r="M27" s="1">
        <v>0</v>
      </c>
      <c r="N27" s="1">
        <v>0.55813696463560103</v>
      </c>
      <c r="O27" s="1">
        <v>0.25112969602933499</v>
      </c>
      <c r="P27" s="1">
        <v>0.217965207219777</v>
      </c>
      <c r="Q27" s="1">
        <f t="shared" si="1"/>
        <v>0.41163771418786688</v>
      </c>
      <c r="R27" s="3">
        <f t="shared" si="2"/>
        <v>0.19493222208758323</v>
      </c>
      <c r="S27" s="1">
        <f>Table13[[#This Row],[average]]-SQRT(Table13[[#This Row],[stdev]])</f>
        <v>-2.9873579085117508E-2</v>
      </c>
    </row>
    <row r="28" spans="1:19" ht="30" customHeight="1">
      <c r="A28" t="str">
        <f t="shared" si="0"/>
        <v>german</v>
      </c>
      <c r="B28">
        <f>_xlfn.LET(_xlpm.c,_xlfn.SINGLE(Table13[condition]),IF(RIGHT(_xlpm.c,2)="1g",1,0))</f>
        <v>0</v>
      </c>
      <c r="C28" t="s">
        <v>43</v>
      </c>
      <c r="D28" s="1">
        <v>1</v>
      </c>
      <c r="E28" s="1">
        <v>0.56931229544778394</v>
      </c>
      <c r="F28" s="1">
        <v>0.62872175357123505</v>
      </c>
      <c r="G28" s="1">
        <v>0.57397942097941301</v>
      </c>
      <c r="H28" s="1">
        <v>0.36861322510052003</v>
      </c>
      <c r="I28" s="1">
        <v>0.45063900937385898</v>
      </c>
      <c r="J28" s="1">
        <v>0.57840060118176095</v>
      </c>
      <c r="K28" s="1">
        <v>0.47177940595393503</v>
      </c>
      <c r="L28" s="1">
        <v>0.68155485044860198</v>
      </c>
      <c r="M28" s="1">
        <v>0.43640881168923101</v>
      </c>
      <c r="N28" s="1">
        <v>0.29752166564087801</v>
      </c>
      <c r="O28" s="1">
        <v>0.36104701367472503</v>
      </c>
      <c r="P28" s="1">
        <v>0.56492391883204696</v>
      </c>
      <c r="Q28" s="1">
        <f t="shared" si="1"/>
        <v>0.53714630553030684</v>
      </c>
      <c r="R28" s="3">
        <f t="shared" si="2"/>
        <v>0.17960071208384604</v>
      </c>
      <c r="S28" s="1">
        <f>Table13[[#This Row],[average]]-SQRT(Table13[[#This Row],[stdev]])</f>
        <v>0.11335306338993711</v>
      </c>
    </row>
    <row r="29" spans="1:19" ht="30" customHeight="1">
      <c r="A29" t="str">
        <f t="shared" si="0"/>
        <v>german</v>
      </c>
      <c r="B29">
        <f>_xlfn.LET(_xlpm.c,_xlfn.SINGLE(Table13[condition]),IF(RIGHT(_xlpm.c,2)="1g",1,0))</f>
        <v>0</v>
      </c>
      <c r="C29" t="s">
        <v>44</v>
      </c>
      <c r="D29" s="1">
        <v>0.65003132991451895</v>
      </c>
      <c r="E29" s="1">
        <v>0.69506540801727401</v>
      </c>
      <c r="F29" s="1">
        <v>0.54824198513445399</v>
      </c>
      <c r="G29" s="1">
        <v>0.47614755915352702</v>
      </c>
      <c r="H29" s="1">
        <v>0.353553123201991</v>
      </c>
      <c r="I29" s="1">
        <v>0.75225425730575801</v>
      </c>
      <c r="J29" s="1">
        <v>0.28593683945238002</v>
      </c>
      <c r="K29" s="1">
        <v>0.60059287935879702</v>
      </c>
      <c r="L29" s="1">
        <v>0.55468918051080696</v>
      </c>
      <c r="M29" s="1">
        <v>0.34255341676895701</v>
      </c>
      <c r="N29" s="1">
        <v>0.34187002669621502</v>
      </c>
      <c r="O29" s="1">
        <v>0.31641266936047702</v>
      </c>
      <c r="P29" s="1">
        <v>0.24947801326102401</v>
      </c>
      <c r="Q29" s="1">
        <f t="shared" si="1"/>
        <v>0.47437128370278309</v>
      </c>
      <c r="R29" s="3">
        <f t="shared" si="2"/>
        <v>0.16960473523646322</v>
      </c>
      <c r="S29" s="1">
        <f>Table13[[#This Row],[average]]-SQRT(Table13[[#This Row],[stdev]])</f>
        <v>6.2540329018141605E-2</v>
      </c>
    </row>
    <row r="30" spans="1:19" ht="30" customHeight="1">
      <c r="A30" t="str">
        <f t="shared" si="0"/>
        <v>russian</v>
      </c>
      <c r="B30">
        <f>_xlfn.LET(_xlpm.c,_xlfn.SINGLE(Table13[condition]),IF(RIGHT(_xlpm.c,2)="1g",1,0))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 t="shared" si="1"/>
        <v>1</v>
      </c>
      <c r="R30" s="3">
        <f t="shared" si="2"/>
        <v>0</v>
      </c>
      <c r="S30" s="1">
        <f>Table13[[#This Row],[average]]-SQRT(Table13[[#This Row],[stdev]])</f>
        <v>1</v>
      </c>
    </row>
    <row r="31" spans="1:19" ht="30" customHeight="1">
      <c r="A31" t="str">
        <f t="shared" si="0"/>
        <v>russian</v>
      </c>
      <c r="B31">
        <f>_xlfn.LET(_xlpm.c,_xlfn.SINGLE(Table13[condition]),IF(RIGHT(_xlpm.c,2)="1g",1,0))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 t="shared" si="1"/>
        <v>1</v>
      </c>
      <c r="R31" s="3">
        <f t="shared" si="2"/>
        <v>0</v>
      </c>
      <c r="S31" s="1">
        <f>Table13[[#This Row],[average]]-SQRT(Table13[[#This Row],[stdev]])</f>
        <v>1</v>
      </c>
    </row>
    <row r="32" spans="1:19" ht="30" customHeight="1">
      <c r="A32" t="str">
        <f t="shared" si="0"/>
        <v>russian</v>
      </c>
      <c r="B32">
        <f>_xlfn.LET(_xlpm.c,_xlfn.SINGLE(Table13[condition]),IF(RIGHT(_xlpm.c,2)="1g",1,0))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1"/>
        <v>1</v>
      </c>
      <c r="R32" s="3">
        <f t="shared" si="2"/>
        <v>0</v>
      </c>
      <c r="S32" s="1">
        <f>Table13[[#This Row],[average]]-SQRT(Table13[[#This Row],[stdev]])</f>
        <v>1</v>
      </c>
    </row>
    <row r="33" spans="1:19" ht="30" customHeight="1">
      <c r="A33" t="str">
        <f t="shared" si="0"/>
        <v>russian</v>
      </c>
      <c r="B33">
        <f>_xlfn.LET(_xlpm.c,_xlfn.SINGLE(Table13[condition]),IF(RIGHT(_xlpm.c,2)="1g",1,0))</f>
        <v>0</v>
      </c>
      <c r="C33" t="s">
        <v>34</v>
      </c>
      <c r="D33" s="1">
        <v>0.99558758096830202</v>
      </c>
      <c r="E33" s="1">
        <v>1</v>
      </c>
      <c r="F33" s="1">
        <v>1</v>
      </c>
      <c r="G33" s="1">
        <v>0.99976190447845703</v>
      </c>
      <c r="H33" s="1">
        <v>0.99875774863915401</v>
      </c>
      <c r="I33" s="1">
        <v>0.99873733146369303</v>
      </c>
      <c r="J33" s="1">
        <v>1</v>
      </c>
      <c r="K33" s="1">
        <v>1</v>
      </c>
      <c r="L33" s="1">
        <v>1</v>
      </c>
      <c r="M33" s="1">
        <v>0.99046233260439398</v>
      </c>
      <c r="N33" s="1">
        <v>1</v>
      </c>
      <c r="O33" s="1">
        <v>1</v>
      </c>
      <c r="P33" s="1">
        <v>1</v>
      </c>
      <c r="Q33" s="1">
        <f t="shared" si="1"/>
        <v>0.99871591524261549</v>
      </c>
      <c r="R33" s="3">
        <f t="shared" si="2"/>
        <v>2.7718133832694762E-3</v>
      </c>
      <c r="S33" s="1">
        <f>Table13[[#This Row],[average]]-SQRT(Table13[[#This Row],[stdev]])</f>
        <v>0.94606790119394057</v>
      </c>
    </row>
    <row r="34" spans="1:19" ht="30" customHeight="1">
      <c r="A34" t="str">
        <f t="shared" si="0"/>
        <v>russian</v>
      </c>
      <c r="B34">
        <f>_xlfn.LET(_xlpm.c,_xlfn.SINGLE(Table13[condition]),IF(RIGHT(_xlpm.c,2)="1g",1,0))</f>
        <v>0</v>
      </c>
      <c r="C34" t="s">
        <v>35</v>
      </c>
      <c r="D34" s="1">
        <v>0.97841124438280003</v>
      </c>
      <c r="E34" s="1">
        <v>1</v>
      </c>
      <c r="F34" s="1">
        <v>0.89700723703476604</v>
      </c>
      <c r="G34" s="1">
        <v>1</v>
      </c>
      <c r="H34" s="1">
        <v>0.99935938080315201</v>
      </c>
      <c r="I34" s="1">
        <v>0.79534301140742203</v>
      </c>
      <c r="J34" s="1">
        <v>1</v>
      </c>
      <c r="K34" s="1">
        <v>1</v>
      </c>
      <c r="L34" s="1">
        <v>1</v>
      </c>
      <c r="M34" s="1">
        <v>0.95887985344470195</v>
      </c>
      <c r="N34" s="1">
        <v>0.99588458780222799</v>
      </c>
      <c r="O34" s="1">
        <v>0.58578643762690497</v>
      </c>
      <c r="P34" s="1">
        <v>0.44444283215868602</v>
      </c>
      <c r="Q34" s="1">
        <f t="shared" si="1"/>
        <v>0.89654727574312765</v>
      </c>
      <c r="R34" s="3">
        <f t="shared" si="2"/>
        <v>0.1816018681068621</v>
      </c>
      <c r="S34" s="1">
        <f>Table13[[#This Row],[average]]-SQRT(Table13[[#This Row],[stdev]])</f>
        <v>0.47039956883053369</v>
      </c>
    </row>
    <row r="35" spans="1:19" ht="30" customHeight="1">
      <c r="A35" t="str">
        <f t="shared" si="0"/>
        <v>russian</v>
      </c>
      <c r="B35">
        <f>_xlfn.LET(_xlpm.c,_xlfn.SINGLE(Table13[condition]),IF(RIGHT(_xlpm.c,2)="1g",1,0))</f>
        <v>0</v>
      </c>
      <c r="C35" t="s">
        <v>45</v>
      </c>
      <c r="D35" s="1">
        <v>0.98951435777046903</v>
      </c>
      <c r="E35" s="1">
        <v>0.99228495120037197</v>
      </c>
      <c r="F35" s="1">
        <v>0.99641454196788304</v>
      </c>
      <c r="G35" s="1">
        <v>0.91649837685195101</v>
      </c>
      <c r="H35" s="1">
        <v>0.99723930726551502</v>
      </c>
      <c r="I35" s="1">
        <v>0.99785214490059804</v>
      </c>
      <c r="J35" s="1">
        <v>0.98668006274969899</v>
      </c>
      <c r="K35" s="1">
        <v>0.814261334319899</v>
      </c>
      <c r="L35" s="1">
        <v>0.99418966256888897</v>
      </c>
      <c r="M35" s="1">
        <v>1</v>
      </c>
      <c r="N35" s="1">
        <v>0.99579936073401998</v>
      </c>
      <c r="O35" s="1">
        <v>0.99749987498859205</v>
      </c>
      <c r="P35" s="1">
        <v>0.83395963199230705</v>
      </c>
      <c r="Q35" s="1">
        <f t="shared" si="1"/>
        <v>0.96247643133155336</v>
      </c>
      <c r="R35" s="3">
        <f t="shared" si="2"/>
        <v>6.5298148112452659E-2</v>
      </c>
      <c r="S35" s="1">
        <f>Table13[[#This Row],[average]]-SQRT(Table13[[#This Row],[stdev]])</f>
        <v>0.70694140807162398</v>
      </c>
    </row>
    <row r="36" spans="1:19" ht="30" customHeight="1">
      <c r="A36" t="str">
        <f t="shared" si="0"/>
        <v>russian</v>
      </c>
      <c r="B36">
        <f>_xlfn.LET(_xlpm.c,_xlfn.SINGLE(Table13[condition]),IF(RIGHT(_xlpm.c,2)="1g",1,0))</f>
        <v>0</v>
      </c>
      <c r="C36" t="s">
        <v>46</v>
      </c>
      <c r="D36" s="1">
        <v>0.99812345742694997</v>
      </c>
      <c r="E36" s="1">
        <v>0.98840653990989602</v>
      </c>
      <c r="F36" s="1">
        <v>0.99353058198944999</v>
      </c>
      <c r="G36" s="1">
        <v>0.87681505853693198</v>
      </c>
      <c r="H36" s="1">
        <v>0.99963436889598201</v>
      </c>
      <c r="I36" s="1">
        <v>0.82114280109273297</v>
      </c>
      <c r="J36" s="1">
        <v>0.98066577369969599</v>
      </c>
      <c r="K36" s="1">
        <v>0.98221105986053103</v>
      </c>
      <c r="L36" s="1">
        <v>0.98351200240552705</v>
      </c>
      <c r="M36" s="1">
        <v>0.58986743547824905</v>
      </c>
      <c r="N36" s="1">
        <v>0.94259818731117795</v>
      </c>
      <c r="O36" s="1">
        <v>0.99767981438514997</v>
      </c>
      <c r="P36" s="1">
        <v>0.99937888174795697</v>
      </c>
      <c r="Q36" s="1">
        <f t="shared" si="1"/>
        <v>0.93488968944155615</v>
      </c>
      <c r="R36" s="3">
        <f t="shared" si="2"/>
        <v>0.11715528567827493</v>
      </c>
      <c r="S36" s="1">
        <f>Table13[[#This Row],[average]]-SQRT(Table13[[#This Row],[stdev]])</f>
        <v>0.59261014626335951</v>
      </c>
    </row>
    <row r="38" spans="1:19" ht="30" customHeight="1">
      <c r="C38" t="s">
        <v>64</v>
      </c>
    </row>
    <row r="39" spans="1:19" ht="30" customHeight="1">
      <c r="C39" t="s">
        <v>53</v>
      </c>
      <c r="D39" s="2">
        <f>_xlfn.LET(_xlpm.d,D$2:D$36,AVERAGE(_xlpm.d))</f>
        <v>0.78300118565461507</v>
      </c>
      <c r="E39" s="2">
        <f t="shared" ref="E39:Q39" si="3">_xlfn.LET(_xlpm.d,E$2:E$36,AVERAGE(_xlpm.d))</f>
        <v>0.73899648571804</v>
      </c>
      <c r="F39" s="2">
        <f t="shared" si="3"/>
        <v>0.70094199834796489</v>
      </c>
      <c r="G39" s="2">
        <f t="shared" si="3"/>
        <v>0.66362254575980573</v>
      </c>
      <c r="H39" s="2">
        <f t="shared" si="3"/>
        <v>0.65966123884740413</v>
      </c>
      <c r="I39" s="2">
        <f t="shared" si="3"/>
        <v>0.63855496669286171</v>
      </c>
      <c r="J39" s="2">
        <f t="shared" si="3"/>
        <v>0.61437970210409631</v>
      </c>
      <c r="K39" s="2">
        <f t="shared" si="3"/>
        <v>0.56608332756693525</v>
      </c>
      <c r="L39" s="2">
        <f t="shared" si="3"/>
        <v>0.57189262452470491</v>
      </c>
      <c r="M39" s="2">
        <f t="shared" si="3"/>
        <v>0.55709927591299491</v>
      </c>
      <c r="N39" s="2">
        <f t="shared" si="3"/>
        <v>0.56042242890901606</v>
      </c>
      <c r="O39" s="2">
        <f t="shared" si="3"/>
        <v>0.53428251080014177</v>
      </c>
      <c r="P39" s="2">
        <f t="shared" si="3"/>
        <v>0.52710759108568739</v>
      </c>
      <c r="Q39" s="2">
        <f t="shared" si="3"/>
        <v>0.62431122168648223</v>
      </c>
    </row>
    <row r="40" spans="1:19" ht="30" customHeight="1">
      <c r="C40" t="s">
        <v>54</v>
      </c>
      <c r="D40" s="2" cm="1">
        <f t="array" ref="D40">_xlfn.LET(_xlpm.d,D$2:D$36,_xlpm.f,$A$2:$A$36,_xlpm.k,$C40,AVERAGE(_xlfn._xlws.FILTER(_xlpm.d,_xlpm.f=_xlpm.k)))</f>
        <v>0.98586847967934177</v>
      </c>
      <c r="E40" s="2" cm="1">
        <f t="array" ref="E40">_xlfn.LET(_xlpm.d,E$2:E$36,_xlpm.f,$A$2:$A$36,_xlpm.k,$C40,AVERAGE(_xlfn._xlws.FILTER(_xlpm.d,_xlpm.f=_xlpm.k)))</f>
        <v>0.99995214125963083</v>
      </c>
      <c r="F40" s="2" cm="1">
        <f t="array" ref="F40">_xlfn.LET(_xlpm.d,F$2:F$36,_xlpm.f,$A$2:$A$36,_xlpm.k,$C40,AVERAGE(_xlfn._xlws.FILTER(_xlpm.d,_xlpm.f=_xlpm.k)))</f>
        <v>0.98866129489798105</v>
      </c>
      <c r="G40" s="2" cm="1">
        <f t="array" ref="G40">_xlfn.LET(_xlpm.d,G$2:G$36,_xlpm.f,$A$2:$A$36,_xlpm.k,$C40,AVERAGE(_xlfn._xlws.FILTER(_xlpm.d,_xlpm.f=_xlpm.k)))</f>
        <v>0.96887039844095335</v>
      </c>
      <c r="H40" s="2" cm="1">
        <f t="array" ref="H40">_xlfn.LET(_xlpm.d,H$2:H$36,_xlpm.f,$A$2:$A$36,_xlpm.k,$C40,AVERAGE(_xlfn._xlws.FILTER(_xlpm.d,_xlpm.f=_xlpm.k)))</f>
        <v>0.98582595978939025</v>
      </c>
      <c r="I40" s="2" cm="1">
        <f t="array" ref="I40">_xlfn.LET(_xlpm.d,I$2:I$36,_xlpm.f,$A$2:$A$36,_xlpm.k,$C40,AVERAGE(_xlfn._xlws.FILTER(_xlpm.d,_xlpm.f=_xlpm.k)))</f>
        <v>0.98994249822608293</v>
      </c>
      <c r="J40" s="2" cm="1">
        <f t="array" ref="J40">_xlfn.LET(_xlpm.d,J$2:J$36,_xlpm.f,$A$2:$A$36,_xlpm.k,$C40,AVERAGE(_xlfn._xlws.FILTER(_xlpm.d,_xlpm.f=_xlpm.k)))</f>
        <v>0.99911214023811756</v>
      </c>
      <c r="K40" s="2" cm="1">
        <f t="array" ref="K40">_xlfn.LET(_xlpm.d,K$2:K$36,_xlpm.f,$A$2:$A$36,_xlpm.k,$C40,AVERAGE(_xlfn._xlws.FILTER(_xlpm.d,_xlpm.f=_xlpm.k)))</f>
        <v>0.99512637226193168</v>
      </c>
      <c r="L40" s="2" cm="1">
        <f t="array" ref="L40">_xlfn.LET(_xlpm.d,L$2:L$36,_xlpm.f,$A$2:$A$36,_xlpm.k,$C40,AVERAGE(_xlfn._xlws.FILTER(_xlpm.d,_xlpm.f=_xlpm.k)))</f>
        <v>0.99750945275441516</v>
      </c>
      <c r="M40" s="2" cm="1">
        <f t="array" ref="M40">_xlfn.LET(_xlpm.d,M$2:M$36,_xlpm.f,$A$2:$A$36,_xlpm.k,$C40,AVERAGE(_xlfn._xlws.FILTER(_xlpm.d,_xlpm.f=_xlpm.k)))</f>
        <v>1</v>
      </c>
      <c r="N40" s="2" cm="1">
        <f t="array" ref="N40">_xlfn.LET(_xlpm.d,N$2:N$36,_xlpm.f,$A$2:$A$36,_xlpm.k,$C40,AVERAGE(_xlfn._xlws.FILTER(_xlpm.d,_xlpm.f=_xlpm.k)))</f>
        <v>1</v>
      </c>
      <c r="O40" s="2" cm="1">
        <f t="array" ref="O40">_xlfn.LET(_xlpm.d,O$2:O$36,_xlpm.f,$A$2:$A$36,_xlpm.k,$C40,AVERAGE(_xlfn._xlws.FILTER(_xlpm.d,_xlpm.f=_xlpm.k)))</f>
        <v>0.97547717116407362</v>
      </c>
      <c r="P40" s="2" cm="1">
        <f t="array" ref="P40">_xlfn.LET(_xlpm.d,P$2:P$36,_xlpm.f,$A$2:$A$36,_xlpm.k,$C40,AVERAGE(_xlfn._xlws.FILTER(_xlpm.d,_xlpm.f=_xlpm.k)))</f>
        <v>0.97818438590592682</v>
      </c>
      <c r="Q40" s="2" cm="1">
        <f t="array" ref="Q40">_xlfn.LET(_xlpm.d,Q$2:Q$36,_xlpm.f,$A$2:$A$36,_xlpm.k,$C40,AVERAGE(_xlfn._xlws.FILTER(_xlpm.d,_xlpm.f=_xlpm.k)))</f>
        <v>0.98957925343214193</v>
      </c>
    </row>
    <row r="41" spans="1:19" ht="30" customHeight="1">
      <c r="C41" t="s">
        <v>56</v>
      </c>
      <c r="D41" s="2" cm="1">
        <f t="array" ref="D41">_xlfn.LET(_xlpm.d,D$2:D$36,_xlpm.f,$A$2:$A$36,_xlpm.k,$C41,AVERAGE(_xlfn._xlws.FILTER(_xlpm.d,_xlpm.f=_xlpm.k)))</f>
        <v>0.60761550604530434</v>
      </c>
      <c r="E41" s="2" cm="1">
        <f t="array" ref="E41">_xlfn.LET(_xlpm.d,E$2:E$36,_xlpm.f,$A$2:$A$36,_xlpm.k,$C41,AVERAGE(_xlfn._xlws.FILTER(_xlpm.d,_xlpm.f=_xlpm.k)))</f>
        <v>0.45000203218093027</v>
      </c>
      <c r="F41" s="2" cm="1">
        <f t="array" ref="F41">_xlfn.LET(_xlpm.d,F$2:F$36,_xlpm.f,$A$2:$A$36,_xlpm.k,$C41,AVERAGE(_xlfn._xlws.FILTER(_xlpm.d,_xlpm.f=_xlpm.k)))</f>
        <v>0.39918273967585571</v>
      </c>
      <c r="G41" s="2" cm="1">
        <f t="array" ref="G41">_xlfn.LET(_xlpm.d,G$2:G$36,_xlpm.f,$A$2:$A$36,_xlpm.k,$C41,AVERAGE(_xlfn._xlws.FILTER(_xlpm.d,_xlpm.f=_xlpm.k)))</f>
        <v>0.37539210513367888</v>
      </c>
      <c r="H41" s="2" cm="1">
        <f t="array" ref="H41">_xlfn.LET(_xlpm.d,H$2:H$36,_xlpm.f,$A$2:$A$36,_xlpm.k,$C41,AVERAGE(_xlfn._xlws.FILTER(_xlpm.d,_xlpm.f=_xlpm.k)))</f>
        <v>0.41216370764443511</v>
      </c>
      <c r="I41" s="2" cm="1">
        <f t="array" ref="I41">_xlfn.LET(_xlpm.d,I$2:I$36,_xlpm.f,$A$2:$A$36,_xlpm.k,$C41,AVERAGE(_xlfn._xlws.FILTER(_xlpm.d,_xlpm.f=_xlpm.k)))</f>
        <v>0.35196074156853613</v>
      </c>
      <c r="J41" s="2" cm="1">
        <f t="array" ref="J41">_xlfn.LET(_xlpm.d,J$2:J$36,_xlpm.f,$A$2:$A$36,_xlpm.k,$C41,AVERAGE(_xlfn._xlws.FILTER(_xlpm.d,_xlpm.f=_xlpm.k)))</f>
        <v>0.3201295012307982</v>
      </c>
      <c r="K41" s="2" cm="1">
        <f t="array" ref="K41">_xlfn.LET(_xlpm.d,K$2:K$36,_xlpm.f,$A$2:$A$36,_xlpm.k,$C41,AVERAGE(_xlfn._xlws.FILTER(_xlpm.d,_xlpm.f=_xlpm.k)))</f>
        <v>0.1323943814036363</v>
      </c>
      <c r="L41" s="2" cm="1">
        <f t="array" ref="L41">_xlfn.LET(_xlpm.d,L$2:L$36,_xlpm.f,$A$2:$A$36,_xlpm.k,$C41,AVERAGE(_xlfn._xlws.FILTER(_xlpm.d,_xlpm.f=_xlpm.k)))</f>
        <v>0.23498474637736957</v>
      </c>
      <c r="M41" s="2" cm="1">
        <f t="array" ref="M41">_xlfn.LET(_xlpm.d,M$2:M$36,_xlpm.f,$A$2:$A$36,_xlpm.k,$C41,AVERAGE(_xlfn._xlws.FILTER(_xlpm.d,_xlpm.f=_xlpm.k)))</f>
        <v>0.2303827730194816</v>
      </c>
      <c r="N41" s="2" cm="1">
        <f t="array" ref="N41">_xlfn.LET(_xlpm.d,N$2:N$36,_xlpm.f,$A$2:$A$36,_xlpm.k,$C41,AVERAGE(_xlfn._xlws.FILTER(_xlpm.d,_xlpm.f=_xlpm.k)))</f>
        <v>0.22087132986740002</v>
      </c>
      <c r="O41" s="2" cm="1">
        <f t="array" ref="O41">_xlfn.LET(_xlpm.d,O$2:O$36,_xlpm.f,$A$2:$A$36,_xlpm.k,$C41,AVERAGE(_xlfn._xlws.FILTER(_xlpm.d,_xlpm.f=_xlpm.k)))</f>
        <v>0.22687316340603397</v>
      </c>
      <c r="P41" s="2" cm="1">
        <f t="array" ref="P41">_xlfn.LET(_xlpm.d,P$2:P$36,_xlpm.f,$A$2:$A$36,_xlpm.k,$C41,AVERAGE(_xlfn._xlws.FILTER(_xlpm.d,_xlpm.f=_xlpm.k)))</f>
        <v>0.18844735327207185</v>
      </c>
      <c r="Q41" s="2" cm="1">
        <f t="array" ref="Q41">_xlfn.LET(_xlpm.d,Q$2:Q$36,_xlpm.f,$A$2:$A$36,_xlpm.k,$C41,AVERAGE(_xlfn._xlws.FILTER(_xlpm.d,_xlpm.f=_xlpm.k)))</f>
        <v>0.31926154467888707</v>
      </c>
    </row>
    <row r="42" spans="1:19" ht="30" customHeight="1">
      <c r="C42" t="s">
        <v>57</v>
      </c>
      <c r="D42" s="2" cm="1">
        <f t="array" ref="D42">_xlfn.LET(_xlpm.d,D$2:D$36,_xlpm.f,$A$2:$A$36,_xlpm.k,$C42,AVERAGE(_xlfn._xlws.FILTER(_xlpm.d,_xlpm.f=_xlpm.k)))</f>
        <v>0.60549850332454525</v>
      </c>
      <c r="E42" s="2" cm="1">
        <f t="array" ref="E42">_xlfn.LET(_xlpm.d,E$2:E$36,_xlpm.f,$A$2:$A$36,_xlpm.k,$C42,AVERAGE(_xlfn._xlws.FILTER(_xlpm.d,_xlpm.f=_xlpm.k)))</f>
        <v>0.58620010615450824</v>
      </c>
      <c r="F42" s="2" cm="1">
        <f t="array" ref="F42">_xlfn.LET(_xlpm.d,F$2:F$36,_xlpm.f,$A$2:$A$36,_xlpm.k,$C42,AVERAGE(_xlfn._xlws.FILTER(_xlpm.d,_xlpm.f=_xlpm.k)))</f>
        <v>0.51242316755381645</v>
      </c>
      <c r="G42" s="2" cm="1">
        <f t="array" ref="G42">_xlfn.LET(_xlpm.d,G$2:G$36,_xlpm.f,$A$2:$A$36,_xlpm.k,$C42,AVERAGE(_xlfn._xlws.FILTER(_xlpm.d,_xlpm.f=_xlpm.k)))</f>
        <v>0.47889648886104375</v>
      </c>
      <c r="H42" s="2" cm="1">
        <f t="array" ref="H42">_xlfn.LET(_xlpm.d,H$2:H$36,_xlpm.f,$A$2:$A$36,_xlpm.k,$C42,AVERAGE(_xlfn._xlws.FILTER(_xlpm.d,_xlpm.f=_xlpm.k)))</f>
        <v>0.42816926622334328</v>
      </c>
      <c r="I42" s="2" cm="1">
        <f t="array" ref="I42">_xlfn.LET(_xlpm.d,I$2:I$36,_xlpm.f,$A$2:$A$36,_xlpm.k,$C42,AVERAGE(_xlfn._xlws.FILTER(_xlpm.d,_xlpm.f=_xlpm.k)))</f>
        <v>0.46112466329649554</v>
      </c>
      <c r="J42" s="2" cm="1">
        <f t="array" ref="J42">_xlfn.LET(_xlpm.d,J$2:J$36,_xlpm.f,$A$2:$A$36,_xlpm.k,$C42,AVERAGE(_xlfn._xlws.FILTER(_xlpm.d,_xlpm.f=_xlpm.k)))</f>
        <v>0.29813658341846944</v>
      </c>
      <c r="K42" s="2" cm="1">
        <f t="array" ref="K42">_xlfn.LET(_xlpm.d,K$2:K$36,_xlpm.f,$A$2:$A$36,_xlpm.k,$C42,AVERAGE(_xlfn._xlws.FILTER(_xlpm.d,_xlpm.f=_xlpm.k)))</f>
        <v>0.33024319110469819</v>
      </c>
      <c r="L42" s="2" cm="1">
        <f t="array" ref="L42">_xlfn.LET(_xlpm.d,L$2:L$36,_xlpm.f,$A$2:$A$36,_xlpm.k,$C42,AVERAGE(_xlfn._xlws.FILTER(_xlpm.d,_xlpm.f=_xlpm.k)))</f>
        <v>0.253337252128641</v>
      </c>
      <c r="M42" s="2" cm="1">
        <f t="array" ref="M42">_xlfn.LET(_xlpm.d,M$2:M$36,_xlpm.f,$A$2:$A$36,_xlpm.k,$C42,AVERAGE(_xlfn._xlws.FILTER(_xlpm.d,_xlpm.f=_xlpm.k)))</f>
        <v>0.35590169853208159</v>
      </c>
      <c r="N42" s="2" cm="1">
        <f t="array" ref="N42">_xlfn.LET(_xlpm.d,N$2:N$36,_xlpm.f,$A$2:$A$36,_xlpm.k,$C42,AVERAGE(_xlfn._xlws.FILTER(_xlpm.d,_xlpm.f=_xlpm.k)))</f>
        <v>0.23256575206052116</v>
      </c>
      <c r="O42" s="2" cm="1">
        <f t="array" ref="O42">_xlfn.LET(_xlpm.d,O$2:O$36,_xlpm.f,$A$2:$A$36,_xlpm.k,$C42,AVERAGE(_xlfn._xlws.FILTER(_xlpm.d,_xlpm.f=_xlpm.k)))</f>
        <v>0.2006083984021523</v>
      </c>
      <c r="P42" s="2" cm="1">
        <f t="array" ref="P42">_xlfn.LET(_xlpm.d,P$2:P$36,_xlpm.f,$A$2:$A$36,_xlpm.k,$C42,AVERAGE(_xlfn._xlws.FILTER(_xlpm.d,_xlpm.f=_xlpm.k)))</f>
        <v>0.23052019620302802</v>
      </c>
      <c r="Q42" s="2" cm="1">
        <f t="array" ref="Q42">_xlfn.LET(_xlpm.d,Q$2:Q$36,_xlpm.f,$A$2:$A$36,_xlpm.k,$C42,AVERAGE(_xlfn._xlws.FILTER(_xlpm.d,_xlpm.f=_xlpm.k)))</f>
        <v>0.38258655902025723</v>
      </c>
    </row>
    <row r="43" spans="1:19" ht="30" customHeight="1">
      <c r="C43" t="s">
        <v>55</v>
      </c>
      <c r="D43" s="2" cm="1">
        <f t="array" ref="D43">_xlfn.LET(_xlpm.d,D$2:D$36,_xlpm.f,$A$2:$A$36,_xlpm.k,$C43,AVERAGE(_xlfn._xlws.FILTER(_xlpm.d,_xlpm.f=_xlpm.k)))</f>
        <v>0.72150391914552414</v>
      </c>
      <c r="E43" s="2" cm="1">
        <f t="array" ref="E43">_xlfn.LET(_xlpm.d,E$2:E$36,_xlpm.f,$A$2:$A$36,_xlpm.k,$C43,AVERAGE(_xlfn._xlws.FILTER(_xlpm.d,_xlpm.f=_xlpm.k)))</f>
        <v>0.66158650740794944</v>
      </c>
      <c r="F43" s="2" cm="1">
        <f t="array" ref="F43">_xlfn.LET(_xlpm.d,F$2:F$36,_xlpm.f,$A$2:$A$36,_xlpm.k,$C43,AVERAGE(_xlfn._xlws.FILTER(_xlpm.d,_xlpm.f=_xlpm.k)))</f>
        <v>0.62059245232758542</v>
      </c>
      <c r="G43" s="2" cm="1">
        <f t="array" ref="G43">_xlfn.LET(_xlpm.d,G$2:G$36,_xlpm.f,$A$2:$A$36,_xlpm.k,$C43,AVERAGE(_xlfn._xlws.FILTER(_xlpm.d,_xlpm.f=_xlpm.k)))</f>
        <v>0.52451440209658973</v>
      </c>
      <c r="H43" s="2" cm="1">
        <f t="array" ref="H43">_xlfn.LET(_xlpm.d,H$2:H$36,_xlpm.f,$A$2:$A$36,_xlpm.k,$C43,AVERAGE(_xlfn._xlws.FILTER(_xlpm.d,_xlpm.f=_xlpm.k)))</f>
        <v>0.47286285977930859</v>
      </c>
      <c r="I43" s="2" cm="1">
        <f t="array" ref="I43">_xlfn.LET(_xlpm.d,I$2:I$36,_xlpm.f,$A$2:$A$36,_xlpm.k,$C43,AVERAGE(_xlfn._xlws.FILTER(_xlpm.d,_xlpm.f=_xlpm.k)))</f>
        <v>0.44502188910684393</v>
      </c>
      <c r="J43" s="2" cm="1">
        <f t="array" ref="J43">_xlfn.LET(_xlpm.d,J$2:J$36,_xlpm.f,$A$2:$A$36,_xlpm.k,$C43,AVERAGE(_xlfn._xlws.FILTER(_xlpm.d,_xlpm.f=_xlpm.k)))</f>
        <v>0.45918516614032606</v>
      </c>
      <c r="K43" s="2" cm="1">
        <f t="array" ref="K43">_xlfn.LET(_xlpm.d,K$2:K$36,_xlpm.f,$A$2:$A$36,_xlpm.k,$C43,AVERAGE(_xlfn._xlws.FILTER(_xlpm.d,_xlpm.f=_xlpm.k)))</f>
        <v>0.40172806532434902</v>
      </c>
      <c r="L43" s="2" cm="1">
        <f t="array" ref="L43">_xlfn.LET(_xlpm.d,L$2:L$36,_xlpm.f,$A$2:$A$36,_xlpm.k,$C43,AVERAGE(_xlfn._xlws.FILTER(_xlpm.d,_xlpm.f=_xlpm.k)))</f>
        <v>0.37681714779532516</v>
      </c>
      <c r="M43" s="2" cm="1">
        <f t="array" ref="M43">_xlfn.LET(_xlpm.d,M$2:M$36,_xlpm.f,$A$2:$A$36,_xlpm.k,$C43,AVERAGE(_xlfn._xlws.FILTER(_xlpm.d,_xlpm.f=_xlpm.k)))</f>
        <v>0.26503910493807614</v>
      </c>
      <c r="N43" s="2" cm="1">
        <f t="array" ref="N43">_xlfn.LET(_xlpm.d,N$2:N$36,_xlpm.f,$A$2:$A$36,_xlpm.k,$C43,AVERAGE(_xlfn._xlws.FILTER(_xlpm.d,_xlpm.f=_xlpm.k)))</f>
        <v>0.35806332892467063</v>
      </c>
      <c r="O43" s="2" cm="1">
        <f t="array" ref="O43">_xlfn.LET(_xlpm.d,O$2:O$36,_xlpm.f,$A$2:$A$36,_xlpm.k,$C43,AVERAGE(_xlfn._xlws.FILTER(_xlpm.d,_xlpm.f=_xlpm.k)))</f>
        <v>0.32831580288549916</v>
      </c>
      <c r="P43" s="2" cm="1">
        <f t="array" ref="P43">_xlfn.LET(_xlpm.d,P$2:P$36,_xlpm.f,$A$2:$A$36,_xlpm.k,$C43,AVERAGE(_xlfn._xlws.FILTER(_xlpm.d,_xlpm.f=_xlpm.k)))</f>
        <v>0.34156011349041732</v>
      </c>
      <c r="Q43" s="2" cm="1">
        <f t="array" ref="Q43">_xlfn.LET(_xlpm.d,Q$2:Q$36,_xlpm.f,$A$2:$A$36,_xlpm.k,$C43,AVERAGE(_xlfn._xlws.FILTER(_xlpm.d,_xlpm.f=_xlpm.k)))</f>
        <v>0.4597531353355741</v>
      </c>
    </row>
    <row r="44" spans="1:19" ht="30" customHeight="1">
      <c r="C44" t="s">
        <v>58</v>
      </c>
      <c r="D44" s="2" cm="1">
        <f t="array" ref="D44">_xlfn.LET(_xlpm.d,D$2:D$36,_xlpm.f,$A$2:$A$36,_xlpm.k,$C44,AVERAGE(_xlfn._xlws.FILTER(_xlpm.d,_xlpm.f=_xlpm.k)))</f>
        <v>0.9945195200783602</v>
      </c>
      <c r="E44" s="2" cm="1">
        <f t="array" ref="E44">_xlfn.LET(_xlpm.d,E$2:E$36,_xlpm.f,$A$2:$A$36,_xlpm.k,$C44,AVERAGE(_xlfn._xlws.FILTER(_xlpm.d,_xlpm.f=_xlpm.k)))</f>
        <v>0.99724164158718109</v>
      </c>
      <c r="F44" s="2" cm="1">
        <f t="array" ref="F44">_xlfn.LET(_xlpm.d,F$2:F$36,_xlpm.f,$A$2:$A$36,_xlpm.k,$C44,AVERAGE(_xlfn._xlws.FILTER(_xlpm.d,_xlpm.f=_xlpm.k)))</f>
        <v>0.9838503372845856</v>
      </c>
      <c r="G44" s="2" cm="1">
        <f t="array" ref="G44">_xlfn.LET(_xlpm.d,G$2:G$36,_xlpm.f,$A$2:$A$36,_xlpm.k,$C44,AVERAGE(_xlfn._xlws.FILTER(_xlpm.d,_xlpm.f=_xlpm.k)))</f>
        <v>0.97043933426676288</v>
      </c>
      <c r="H44" s="2" cm="1">
        <f t="array" ref="H44">_xlfn.LET(_xlpm.d,H$2:H$36,_xlpm.f,$A$2:$A$36,_xlpm.k,$C44,AVERAGE(_xlfn._xlws.FILTER(_xlpm.d,_xlpm.f=_xlpm.k)))</f>
        <v>0.99928440080054326</v>
      </c>
      <c r="I44" s="2" cm="1">
        <f t="array" ref="I44">_xlfn.LET(_xlpm.d,I$2:I$36,_xlpm.f,$A$2:$A$36,_xlpm.k,$C44,AVERAGE(_xlfn._xlws.FILTER(_xlpm.d,_xlpm.f=_xlpm.k)))</f>
        <v>0.94472504126634949</v>
      </c>
      <c r="J44" s="2" cm="1">
        <f t="array" ref="J44">_xlfn.LET(_xlpm.d,J$2:J$36,_xlpm.f,$A$2:$A$36,_xlpm.k,$C44,AVERAGE(_xlfn._xlws.FILTER(_xlpm.d,_xlpm.f=_xlpm.k)))</f>
        <v>0.99533511949277076</v>
      </c>
      <c r="K44" s="2" cm="1">
        <f t="array" ref="K44">_xlfn.LET(_xlpm.d,K$2:K$36,_xlpm.f,$A$2:$A$36,_xlpm.k,$C44,AVERAGE(_xlfn._xlws.FILTER(_xlpm.d,_xlpm.f=_xlpm.k)))</f>
        <v>0.9709246277400615</v>
      </c>
      <c r="L44" s="2" cm="1">
        <f t="array" ref="L44">_xlfn.LET(_xlpm.d,L$2:L$36,_xlpm.f,$A$2:$A$36,_xlpm.k,$C44,AVERAGE(_xlfn._xlws.FILTER(_xlpm.d,_xlpm.f=_xlpm.k)))</f>
        <v>0.99681452356777378</v>
      </c>
      <c r="M44" s="2" cm="1">
        <f t="array" ref="M44">_xlfn.LET(_xlpm.d,M$2:M$36,_xlpm.f,$A$2:$A$36,_xlpm.k,$C44,AVERAGE(_xlfn._xlws.FILTER(_xlpm.d,_xlpm.f=_xlpm.k)))</f>
        <v>0.93417280307533501</v>
      </c>
      <c r="N44" s="2" cm="1">
        <f t="array" ref="N44">_xlfn.LET(_xlpm.d,N$2:N$36,_xlpm.f,$A$2:$A$36,_xlpm.k,$C44,AVERAGE(_xlfn._xlws.FILTER(_xlpm.d,_xlpm.f=_xlpm.k)))</f>
        <v>0.99061173369248956</v>
      </c>
      <c r="O44" s="2" cm="1">
        <f t="array" ref="O44">_xlfn.LET(_xlpm.d,O$2:O$36,_xlpm.f,$A$2:$A$36,_xlpm.k,$C44,AVERAGE(_xlfn._xlws.FILTER(_xlpm.d,_xlpm.f=_xlpm.k)))</f>
        <v>0.94013801814294962</v>
      </c>
      <c r="P44" s="2" cm="1">
        <f t="array" ref="P44">_xlfn.LET(_xlpm.d,P$2:P$36,_xlpm.f,$A$2:$A$36,_xlpm.k,$C44,AVERAGE(_xlfn._xlws.FILTER(_xlpm.d,_xlpm.f=_xlpm.k)))</f>
        <v>0.89682590655699279</v>
      </c>
      <c r="Q44" s="2" cm="1">
        <f t="array" ref="Q44">_xlfn.LET(_xlpm.d,Q$2:Q$36,_xlpm.f,$A$2:$A$36,_xlpm.k,$C44,AVERAGE(_xlfn._xlws.FILTER(_xlpm.d,_xlpm.f=_xlpm.k)))</f>
        <v>0.97037561596555044</v>
      </c>
    </row>
    <row r="46" spans="1:19" ht="30" customHeight="1">
      <c r="C46" t="s">
        <v>63</v>
      </c>
    </row>
    <row r="47" spans="1:19" ht="30" customHeight="1">
      <c r="C47" t="s">
        <v>53</v>
      </c>
      <c r="D47" s="2" cm="1">
        <f t="array" ref="D47">_xlfn.LET(_xlpm.d,D$2:D$36,_xlpm.g,$B$2:$B$36,AVERAGE(_xlfn._xlws.FILTER(_xlpm.d,_xlpm.g=0)))</f>
        <v>0.75617491426501648</v>
      </c>
      <c r="E47" s="2" cm="1">
        <f t="array" ref="E47">_xlfn.LET(_xlpm.d,E$2:E$36,_xlpm.g,$B$2:$B$36,AVERAGE(_xlfn._xlws.FILTER(_xlpm.d,_xlpm.g=0)))</f>
        <v>0.71285849428358916</v>
      </c>
      <c r="F47" s="2" cm="1">
        <f t="array" ref="F47">_xlfn.LET(_xlpm.d,F$2:F$36,_xlpm.g,$B$2:$B$36,AVERAGE(_xlfn._xlws.FILTER(_xlpm.d,_xlpm.g=0)))</f>
        <v>0.67277430082131895</v>
      </c>
      <c r="G47" s="2" cm="1">
        <f t="array" ref="G47">_xlfn.LET(_xlpm.d,G$2:G$36,_xlpm.g,$B$2:$B$36,AVERAGE(_xlfn._xlws.FILTER(_xlpm.d,_xlpm.g=0)))</f>
        <v>0.64314057122699697</v>
      </c>
      <c r="H47" s="2" cm="1">
        <f t="array" ref="H47">_xlfn.LET(_xlpm.d,H$2:H$36,_xlpm.g,$B$2:$B$36,AVERAGE(_xlfn._xlws.FILTER(_xlpm.d,_xlpm.g=0)))</f>
        <v>0.64485839401003953</v>
      </c>
      <c r="I47" s="2" cm="1">
        <f t="array" ref="I47">_xlfn.LET(_xlpm.d,I$2:I$36,_xlpm.g,$B$2:$B$36,AVERAGE(_xlfn._xlws.FILTER(_xlpm.d,_xlpm.g=0)))</f>
        <v>0.63557782600376111</v>
      </c>
      <c r="J47" s="2" cm="1">
        <f t="array" ref="J47">_xlfn.LET(_xlpm.d,J$2:J$36,_xlpm.g,$B$2:$B$36,AVERAGE(_xlfn._xlws.FILTER(_xlpm.d,_xlpm.g=0)))</f>
        <v>0.61503108266151285</v>
      </c>
      <c r="K47" s="2" cm="1">
        <f t="array" ref="K47">_xlfn.LET(_xlpm.d,K$2:K$36,_xlpm.g,$B$2:$B$36,AVERAGE(_xlfn._xlws.FILTER(_xlpm.d,_xlpm.g=0)))</f>
        <v>0.56442600171744783</v>
      </c>
      <c r="L47" s="2" cm="1">
        <f t="array" ref="L47">_xlfn.LET(_xlpm.d,L$2:L$36,_xlpm.g,$B$2:$B$36,AVERAGE(_xlfn._xlws.FILTER(_xlpm.d,_xlpm.g=0)))</f>
        <v>0.56544552221373279</v>
      </c>
      <c r="M47" s="2" cm="1">
        <f t="array" ref="M47">_xlfn.LET(_xlpm.d,M$2:M$36,_xlpm.g,$B$2:$B$36,AVERAGE(_xlfn._xlws.FILTER(_xlpm.d,_xlpm.g=0)))</f>
        <v>0.56486845301349364</v>
      </c>
      <c r="N47" s="2" cm="1">
        <f t="array" ref="N47">_xlfn.LET(_xlpm.d,N$2:N$36,_xlpm.g,$B$2:$B$36,AVERAGE(_xlfn._xlws.FILTER(_xlpm.d,_xlpm.g=0)))</f>
        <v>0.56020614161845961</v>
      </c>
      <c r="O47" s="2" cm="1">
        <f t="array" ref="O47">_xlfn.LET(_xlpm.d,O$2:O$36,_xlpm.g,$B$2:$B$36,AVERAGE(_xlfn._xlws.FILTER(_xlpm.d,_xlpm.g=0)))</f>
        <v>0.55194517205429638</v>
      </c>
      <c r="P47" s="2" cm="1">
        <f t="array" ref="P47">_xlfn.LET(_xlpm.d,P$2:P$36,_xlpm.g,$B$2:$B$36,AVERAGE(_xlfn._xlws.FILTER(_xlpm.d,_xlpm.g=0)))</f>
        <v>0.5225083797038621</v>
      </c>
      <c r="Q47" s="2" cm="1">
        <f t="array" ref="Q47">_xlfn.LET(_xlpm.d,Q$2:Q$36,_xlpm.g,$B$2:$B$36,AVERAGE(_xlfn._xlws.FILTER(_xlpm.d,_xlpm.g=0)))</f>
        <v>0.61613963489180967</v>
      </c>
    </row>
    <row r="48" spans="1:19" ht="30" customHeight="1">
      <c r="C48" t="s">
        <v>54</v>
      </c>
      <c r="D48" s="2" cm="1">
        <f t="array" ref="D48">_xlfn.LET(_xlpm.d,D$2:D$36,_xlpm.f,$A$2:$A$36,_xlpm.g,$B$2:$B$36,_xlpm.k,$C48,AVERAGE(_xlfn._xlws.FILTER(_xlpm.d,(_xlpm.f=_xlpm.k)*(_xlpm.g=0))))</f>
        <v>0.98351322629256543</v>
      </c>
      <c r="E48" s="2" cm="1">
        <f t="array" ref="E48">_xlfn.LET(_xlpm.d,E$2:E$36,_xlpm.f,$A$2:$A$36,_xlpm.g,$B$2:$B$36,_xlpm.k,$C48,AVERAGE(_xlfn._xlws.FILTER(_xlpm.d,(_xlpm.f=_xlpm.k)*(_xlpm.g=0))))</f>
        <v>0.9999441648029026</v>
      </c>
      <c r="F48" s="2" cm="1">
        <f t="array" ref="F48">_xlfn.LET(_xlpm.d,F$2:F$36,_xlpm.f,$A$2:$A$36,_xlpm.g,$B$2:$B$36,_xlpm.k,$C48,AVERAGE(_xlfn._xlws.FILTER(_xlpm.d,(_xlpm.f=_xlpm.k)*(_xlpm.g=0))))</f>
        <v>0.98677151071431124</v>
      </c>
      <c r="G48" s="2" cm="1">
        <f t="array" ref="G48">_xlfn.LET(_xlpm.d,G$2:G$36,_xlpm.f,$A$2:$A$36,_xlpm.g,$B$2:$B$36,_xlpm.k,$C48,AVERAGE(_xlfn._xlws.FILTER(_xlpm.d,(_xlpm.f=_xlpm.k)*(_xlpm.g=0))))</f>
        <v>0.96368213151444559</v>
      </c>
      <c r="H48" s="2" cm="1">
        <f t="array" ref="H48">_xlfn.LET(_xlpm.d,H$2:H$36,_xlpm.f,$A$2:$A$36,_xlpm.g,$B$2:$B$36,_xlpm.k,$C48,AVERAGE(_xlfn._xlws.FILTER(_xlpm.d,(_xlpm.f=_xlpm.k)*(_xlpm.g=0))))</f>
        <v>0.98346361975428864</v>
      </c>
      <c r="I48" s="2" cm="1">
        <f t="array" ref="I48">_xlfn.LET(_xlpm.d,I$2:I$36,_xlpm.f,$A$2:$A$36,_xlpm.g,$B$2:$B$36,_xlpm.k,$C48,AVERAGE(_xlfn._xlws.FILTER(_xlpm.d,(_xlpm.f=_xlpm.k)*(_xlpm.g=0))))</f>
        <v>0.98826624793043016</v>
      </c>
      <c r="J48" s="2" cm="1">
        <f t="array" ref="J48">_xlfn.LET(_xlpm.d,J$2:J$36,_xlpm.f,$A$2:$A$36,_xlpm.g,$B$2:$B$36,_xlpm.k,$C48,AVERAGE(_xlfn._xlws.FILTER(_xlpm.d,(_xlpm.f=_xlpm.k)*(_xlpm.g=0))))</f>
        <v>0.99896416361113716</v>
      </c>
      <c r="K48" s="2" cm="1">
        <f t="array" ref="K48">_xlfn.LET(_xlpm.d,K$2:K$36,_xlpm.f,$A$2:$A$36,_xlpm.g,$B$2:$B$36,_xlpm.k,$C48,AVERAGE(_xlfn._xlws.FILTER(_xlpm.d,(_xlpm.f=_xlpm.k)*(_xlpm.g=0))))</f>
        <v>0.9943141009722537</v>
      </c>
      <c r="L48" s="2" cm="1">
        <f t="array" ref="L48">_xlfn.LET(_xlpm.d,L$2:L$36,_xlpm.f,$A$2:$A$36,_xlpm.g,$B$2:$B$36,_xlpm.k,$C48,AVERAGE(_xlfn._xlws.FILTER(_xlpm.d,(_xlpm.f=_xlpm.k)*(_xlpm.g=0))))</f>
        <v>0.99709436154681763</v>
      </c>
      <c r="M48" s="2" cm="1">
        <f t="array" ref="M48">_xlfn.LET(_xlpm.d,M$2:M$36,_xlpm.f,$A$2:$A$36,_xlpm.g,$B$2:$B$36,_xlpm.k,$C48,AVERAGE(_xlfn._xlws.FILTER(_xlpm.d,(_xlpm.f=_xlpm.k)*(_xlpm.g=0))))</f>
        <v>1</v>
      </c>
      <c r="N48" s="2" cm="1">
        <f t="array" ref="N48">_xlfn.LET(_xlpm.d,N$2:N$36,_xlpm.f,$A$2:$A$36,_xlpm.g,$B$2:$B$36,_xlpm.k,$C48,AVERAGE(_xlfn._xlws.FILTER(_xlpm.d,(_xlpm.f=_xlpm.k)*(_xlpm.g=0))))</f>
        <v>1</v>
      </c>
      <c r="O48" s="2" cm="1">
        <f t="array" ref="O48">_xlfn.LET(_xlpm.d,O$2:O$36,_xlpm.f,$A$2:$A$36,_xlpm.g,$B$2:$B$36,_xlpm.k,$C48,AVERAGE(_xlfn._xlws.FILTER(_xlpm.d,(_xlpm.f=_xlpm.k)*(_xlpm.g=0))))</f>
        <v>0.97139003302475257</v>
      </c>
      <c r="P48" s="2" cm="1">
        <f t="array" ref="P48">_xlfn.LET(_xlpm.d,P$2:P$36,_xlpm.f,$A$2:$A$36,_xlpm.g,$B$2:$B$36,_xlpm.k,$C48,AVERAGE(_xlfn._xlws.FILTER(_xlpm.d,(_xlpm.f=_xlpm.k)*(_xlpm.g=0))))</f>
        <v>0.97454845022358139</v>
      </c>
      <c r="Q48" s="2" cm="1">
        <f t="array" ref="Q48">_xlfn.LET(_xlpm.d,Q$2:Q$36,_xlpm.f,$A$2:$A$36,_xlpm.g,$B$2:$B$36,_xlpm.k,$C48,AVERAGE(_xlfn._xlws.FILTER(_xlpm.d,(_xlpm.f=_xlpm.k)*(_xlpm.g=0))))</f>
        <v>0.98784246233749895</v>
      </c>
    </row>
    <row r="49" spans="3:17" ht="30" customHeight="1">
      <c r="C49" t="s">
        <v>56</v>
      </c>
      <c r="D49" s="2" cm="1">
        <f t="array" ref="D49">_xlfn.LET(_xlpm.d,D$2:D$36,_xlpm.f,$A$2:$A$36,_xlpm.g,$B$2:$B$36,_xlpm.k,$C49,AVERAGE(_xlfn._xlws.FILTER(_xlpm.d,(_xlpm.f=_xlpm.k)*(_xlpm.g=0))))</f>
        <v>0.55843100643785792</v>
      </c>
      <c r="E49" s="2" cm="1">
        <f t="array" ref="E49">_xlfn.LET(_xlpm.d,E$2:E$36,_xlpm.f,$A$2:$A$36,_xlpm.g,$B$2:$B$36,_xlpm.k,$C49,AVERAGE(_xlfn._xlws.FILTER(_xlpm.d,(_xlpm.f=_xlpm.k)*(_xlpm.g=0))))</f>
        <v>0.39057310738579182</v>
      </c>
      <c r="F49" s="2" cm="1">
        <f t="array" ref="F49">_xlfn.LET(_xlpm.d,F$2:F$36,_xlpm.f,$A$2:$A$36,_xlpm.g,$B$2:$B$36,_xlpm.k,$C49,AVERAGE(_xlfn._xlws.FILTER(_xlpm.d,(_xlpm.f=_xlpm.k)*(_xlpm.g=0))))</f>
        <v>0.36481443491682852</v>
      </c>
      <c r="G49" s="2" cm="1">
        <f t="array" ref="G49">_xlfn.LET(_xlpm.d,G$2:G$36,_xlpm.f,$A$2:$A$36,_xlpm.g,$B$2:$B$36,_xlpm.k,$C49,AVERAGE(_xlfn._xlws.FILTER(_xlpm.d,(_xlpm.f=_xlpm.k)*(_xlpm.g=0))))</f>
        <v>0.33760401933187545</v>
      </c>
      <c r="H49" s="2" cm="1">
        <f t="array" ref="H49">_xlfn.LET(_xlpm.d,H$2:H$36,_xlpm.f,$A$2:$A$36,_xlpm.g,$B$2:$B$36,_xlpm.k,$C49,AVERAGE(_xlfn._xlws.FILTER(_xlpm.d,(_xlpm.f=_xlpm.k)*(_xlpm.g=0))))</f>
        <v>0.37696929203217966</v>
      </c>
      <c r="I49" s="2" cm="1">
        <f t="array" ref="I49">_xlfn.LET(_xlpm.d,I$2:I$36,_xlpm.f,$A$2:$A$36,_xlpm.g,$B$2:$B$36,_xlpm.k,$C49,AVERAGE(_xlfn._xlws.FILTER(_xlpm.d,(_xlpm.f=_xlpm.k)*(_xlpm.g=0))))</f>
        <v>0.37675418682025247</v>
      </c>
      <c r="J49" s="2" cm="1">
        <f t="array" ref="J49">_xlfn.LET(_xlpm.d,J$2:J$36,_xlpm.f,$A$2:$A$36,_xlpm.g,$B$2:$B$36,_xlpm.k,$C49,AVERAGE(_xlfn._xlws.FILTER(_xlpm.d,(_xlpm.f=_xlpm.k)*(_xlpm.g=0))))</f>
        <v>0.31879364209444333</v>
      </c>
      <c r="K49" s="2" cm="1">
        <f t="array" ref="K49">_xlfn.LET(_xlpm.d,K$2:K$36,_xlpm.f,$A$2:$A$36,_xlpm.g,$B$2:$B$36,_xlpm.k,$C49,AVERAGE(_xlfn._xlws.FILTER(_xlpm.d,(_xlpm.f=_xlpm.k)*(_xlpm.g=0))))</f>
        <v>0.10616790260275633</v>
      </c>
      <c r="L49" s="2" cm="1">
        <f t="array" ref="L49">_xlfn.LET(_xlpm.d,L$2:L$36,_xlpm.f,$A$2:$A$36,_xlpm.g,$B$2:$B$36,_xlpm.k,$C49,AVERAGE(_xlfn._xlws.FILTER(_xlpm.d,(_xlpm.f=_xlpm.k)*(_xlpm.g=0))))</f>
        <v>0.25037345211974588</v>
      </c>
      <c r="M49" s="2" cm="1">
        <f t="array" ref="M49">_xlfn.LET(_xlpm.d,M$2:M$36,_xlpm.f,$A$2:$A$36,_xlpm.g,$B$2:$B$36,_xlpm.k,$C49,AVERAGE(_xlfn._xlws.FILTER(_xlpm.d,(_xlpm.f=_xlpm.k)*(_xlpm.g=0))))</f>
        <v>0.23585601371771769</v>
      </c>
      <c r="N49" s="2" cm="1">
        <f t="array" ref="N49">_xlfn.LET(_xlpm.d,N$2:N$36,_xlpm.f,$A$2:$A$36,_xlpm.g,$B$2:$B$36,_xlpm.k,$C49,AVERAGE(_xlfn._xlws.FILTER(_xlpm.d,(_xlpm.f=_xlpm.k)*(_xlpm.g=0))))</f>
        <v>0.22707579330946517</v>
      </c>
      <c r="O49" s="2" cm="1">
        <f t="array" ref="O49">_xlfn.LET(_xlpm.d,O$2:O$36,_xlpm.f,$A$2:$A$36,_xlpm.g,$B$2:$B$36,_xlpm.k,$C49,AVERAGE(_xlfn._xlws.FILTER(_xlpm.d,(_xlpm.f=_xlpm.k)*(_xlpm.g=0))))</f>
        <v>0.26468535730703963</v>
      </c>
      <c r="P49" s="2" cm="1">
        <f t="array" ref="P49">_xlfn.LET(_xlpm.d,P$2:P$36,_xlpm.f,$A$2:$A$36,_xlpm.g,$B$2:$B$36,_xlpm.k,$C49,AVERAGE(_xlfn._xlws.FILTER(_xlpm.d,(_xlpm.f=_xlpm.k)*(_xlpm.g=0))))</f>
        <v>0.21985524548408383</v>
      </c>
      <c r="Q49" s="2" cm="1">
        <f t="array" ref="Q49">_xlfn.LET(_xlpm.d,Q$2:Q$36,_xlpm.f,$A$2:$A$36,_xlpm.g,$B$2:$B$36,_xlpm.k,$C49,AVERAGE(_xlfn._xlws.FILTER(_xlpm.d,(_xlpm.f=_xlpm.k)*(_xlpm.g=0))))</f>
        <v>0.30984257335077209</v>
      </c>
    </row>
    <row r="50" spans="3:17" ht="30" customHeight="1">
      <c r="C50" t="s">
        <v>57</v>
      </c>
      <c r="D50" s="2" cm="1">
        <f t="array" ref="D50">_xlfn.LET(_xlpm.d,D$2:D$36,_xlpm.f,$A$2:$A$36,_xlpm.g,$B$2:$B$36,_xlpm.k,$C50,AVERAGE(_xlfn._xlws.FILTER(_xlpm.d,(_xlpm.f=_xlpm.k)*(_xlpm.g=0))))</f>
        <v>0.55438664263348014</v>
      </c>
      <c r="E50" s="2" cm="1">
        <f t="array" ref="E50">_xlfn.LET(_xlpm.d,E$2:E$36,_xlpm.f,$A$2:$A$36,_xlpm.g,$B$2:$B$36,_xlpm.k,$C50,AVERAGE(_xlfn._xlws.FILTER(_xlpm.d,(_xlpm.f=_xlpm.k)*(_xlpm.g=0))))</f>
        <v>0.53735848022394628</v>
      </c>
      <c r="F50" s="2" cm="1">
        <f t="array" ref="F50">_xlfn.LET(_xlpm.d,F$2:F$36,_xlpm.f,$A$2:$A$36,_xlpm.g,$B$2:$B$36,_xlpm.k,$C50,AVERAGE(_xlfn._xlws.FILTER(_xlpm.d,(_xlpm.f=_xlpm.k)*(_xlpm.g=0))))</f>
        <v>0.43765667064133468</v>
      </c>
      <c r="G50" s="2" cm="1">
        <f t="array" ref="G50">_xlfn.LET(_xlpm.d,G$2:G$36,_xlpm.f,$A$2:$A$36,_xlpm.g,$B$2:$B$36,_xlpm.k,$C50,AVERAGE(_xlfn._xlws.FILTER(_xlpm.d,(_xlpm.f=_xlpm.k)*(_xlpm.g=0))))</f>
        <v>0.44634565973632984</v>
      </c>
      <c r="H50" s="2" cm="1">
        <f t="array" ref="H50">_xlfn.LET(_xlpm.d,H$2:H$36,_xlpm.f,$A$2:$A$36,_xlpm.g,$B$2:$B$36,_xlpm.k,$C50,AVERAGE(_xlfn._xlws.FILTER(_xlpm.d,(_xlpm.f=_xlpm.k)*(_xlpm.g=0))))</f>
        <v>0.39534085680113534</v>
      </c>
      <c r="I50" s="2" cm="1">
        <f t="array" ref="I50">_xlfn.LET(_xlpm.d,I$2:I$36,_xlpm.f,$A$2:$A$36,_xlpm.g,$B$2:$B$36,_xlpm.k,$C50,AVERAGE(_xlfn._xlws.FILTER(_xlpm.d,(_xlpm.f=_xlpm.k)*(_xlpm.g=0))))</f>
        <v>0.43435365456139879</v>
      </c>
      <c r="J50" s="2" cm="1">
        <f t="array" ref="J50">_xlfn.LET(_xlpm.d,J$2:J$36,_xlpm.f,$A$2:$A$36,_xlpm.g,$B$2:$B$36,_xlpm.k,$C50,AVERAGE(_xlfn._xlws.FILTER(_xlpm.d,(_xlpm.f=_xlpm.k)*(_xlpm.g=0))))</f>
        <v>0.32216259733626584</v>
      </c>
      <c r="K50" s="2" cm="1">
        <f t="array" ref="K50">_xlfn.LET(_xlpm.d,K$2:K$36,_xlpm.f,$A$2:$A$36,_xlpm.g,$B$2:$B$36,_xlpm.k,$C50,AVERAGE(_xlfn._xlws.FILTER(_xlpm.d,(_xlpm.f=_xlpm.k)*(_xlpm.g=0))))</f>
        <v>0.35424205048221236</v>
      </c>
      <c r="L50" s="2" cm="1">
        <f t="array" ref="L50">_xlfn.LET(_xlpm.d,L$2:L$36,_xlpm.f,$A$2:$A$36,_xlpm.g,$B$2:$B$36,_xlpm.k,$C50,AVERAGE(_xlfn._xlws.FILTER(_xlpm.d,(_xlpm.f=_xlpm.k)*(_xlpm.g=0))))</f>
        <v>0.22148279794364686</v>
      </c>
      <c r="M50" s="2" cm="1">
        <f t="array" ref="M50">_xlfn.LET(_xlpm.d,M$2:M$36,_xlpm.f,$A$2:$A$36,_xlpm.g,$B$2:$B$36,_xlpm.k,$C50,AVERAGE(_xlfn._xlws.FILTER(_xlpm.d,(_xlpm.f=_xlpm.k)*(_xlpm.g=0))))</f>
        <v>0.38982225129803499</v>
      </c>
      <c r="N50" s="2" cm="1">
        <f t="array" ref="N50">_xlfn.LET(_xlpm.d,N$2:N$36,_xlpm.f,$A$2:$A$36,_xlpm.g,$B$2:$B$36,_xlpm.k,$C50,AVERAGE(_xlfn._xlws.FILTER(_xlpm.d,(_xlpm.f=_xlpm.k)*(_xlpm.g=0))))</f>
        <v>0.23767651895536068</v>
      </c>
      <c r="O50" s="2" cm="1">
        <f t="array" ref="O50">_xlfn.LET(_xlpm.d,O$2:O$36,_xlpm.f,$A$2:$A$36,_xlpm.g,$B$2:$B$36,_xlpm.k,$C50,AVERAGE(_xlfn._xlws.FILTER(_xlpm.d,(_xlpm.f=_xlpm.k)*(_xlpm.g=0))))</f>
        <v>0.23404313146917768</v>
      </c>
      <c r="P50" s="2" cm="1">
        <f t="array" ref="P50">_xlfn.LET(_xlpm.d,P$2:P$36,_xlpm.f,$A$2:$A$36,_xlpm.g,$B$2:$B$36,_xlpm.k,$C50,AVERAGE(_xlfn._xlws.FILTER(_xlpm.d,(_xlpm.f=_xlpm.k)*(_xlpm.g=0))))</f>
        <v>0.199023496921063</v>
      </c>
      <c r="Q50" s="2" cm="1">
        <f t="array" ref="Q50">_xlfn.LET(_xlpm.d,Q$2:Q$36,_xlpm.f,$A$2:$A$36,_xlpm.g,$B$2:$B$36,_xlpm.k,$C50,AVERAGE(_xlfn._xlws.FILTER(_xlpm.d,(_xlpm.f=_xlpm.k)*(_xlpm.g=0))))</f>
        <v>0.36645344684641429</v>
      </c>
    </row>
    <row r="51" spans="3:17" ht="30" customHeight="1">
      <c r="C51" t="s">
        <v>55</v>
      </c>
      <c r="D51" s="2" cm="1">
        <f t="array" ref="D51">_xlfn.LET(_xlpm.d,D$2:D$36,_xlpm.f,$A$2:$A$36,_xlpm.g,$B$2:$B$36,_xlpm.k,$C51,AVERAGE(_xlfn._xlws.FILTER(_xlpm.d,(_xlpm.f=_xlpm.k)*(_xlpm.g=0))))</f>
        <v>0.69093758920309145</v>
      </c>
      <c r="E51" s="2" cm="1">
        <f t="array" ref="E51">_xlfn.LET(_xlpm.d,E$2:E$36,_xlpm.f,$A$2:$A$36,_xlpm.g,$B$2:$B$36,_xlpm.k,$C51,AVERAGE(_xlfn._xlws.FILTER(_xlpm.d,(_xlpm.f=_xlpm.k)*(_xlpm.g=0))))</f>
        <v>0.63963480382025972</v>
      </c>
      <c r="F51" s="2" cm="1">
        <f t="array" ref="F51">_xlfn.LET(_xlpm.d,F$2:F$36,_xlpm.f,$A$2:$A$36,_xlpm.g,$B$2:$B$36,_xlpm.k,$C51,AVERAGE(_xlfn._xlws.FILTER(_xlpm.d,(_xlpm.f=_xlpm.k)*(_xlpm.g=0))))</f>
        <v>0.5934701610021037</v>
      </c>
      <c r="G51" s="2" cm="1">
        <f t="array" ref="G51">_xlfn.LET(_xlpm.d,G$2:G$36,_xlpm.f,$A$2:$A$36,_xlpm.g,$B$2:$B$36,_xlpm.k,$C51,AVERAGE(_xlfn._xlws.FILTER(_xlpm.d,(_xlpm.f=_xlpm.k)*(_xlpm.g=0))))</f>
        <v>0.50255848890777755</v>
      </c>
      <c r="H51" s="2" cm="1">
        <f t="array" ref="H51">_xlfn.LET(_xlpm.d,H$2:H$36,_xlpm.f,$A$2:$A$36,_xlpm.g,$B$2:$B$36,_xlpm.k,$C51,AVERAGE(_xlfn._xlws.FILTER(_xlpm.d,(_xlpm.f=_xlpm.k)*(_xlpm.g=0))))</f>
        <v>0.46935306719529296</v>
      </c>
      <c r="I51" s="2" cm="1">
        <f t="array" ref="I51">_xlfn.LET(_xlpm.d,I$2:I$36,_xlpm.f,$A$2:$A$36,_xlpm.g,$B$2:$B$36,_xlpm.k,$C51,AVERAGE(_xlfn._xlws.FILTER(_xlpm.d,(_xlpm.f=_xlpm.k)*(_xlpm.g=0))))</f>
        <v>0.44300249256264984</v>
      </c>
      <c r="J51" s="2" cm="1">
        <f t="array" ref="J51">_xlfn.LET(_xlpm.d,J$2:J$36,_xlpm.f,$A$2:$A$36,_xlpm.g,$B$2:$B$36,_xlpm.k,$C51,AVERAGE(_xlfn._xlws.FILTER(_xlpm.d,(_xlpm.f=_xlpm.k)*(_xlpm.g=0))))</f>
        <v>0.44067737085748532</v>
      </c>
      <c r="K51" s="2" cm="1">
        <f t="array" ref="K51">_xlfn.LET(_xlpm.d,K$2:K$36,_xlpm.f,$A$2:$A$36,_xlpm.g,$B$2:$B$36,_xlpm.k,$C51,AVERAGE(_xlfn._xlws.FILTER(_xlpm.d,(_xlpm.f=_xlpm.k)*(_xlpm.g=0))))</f>
        <v>0.40132722216661154</v>
      </c>
      <c r="L51" s="2" cm="1">
        <f t="array" ref="L51">_xlfn.LET(_xlpm.d,L$2:L$36,_xlpm.f,$A$2:$A$36,_xlpm.g,$B$2:$B$36,_xlpm.k,$C51,AVERAGE(_xlfn._xlws.FILTER(_xlpm.d,(_xlpm.f=_xlpm.k)*(_xlpm.g=0))))</f>
        <v>0.36199338862938468</v>
      </c>
      <c r="M51" s="2" cm="1">
        <f t="array" ref="M51">_xlfn.LET(_xlpm.d,M$2:M$36,_xlpm.f,$A$2:$A$36,_xlpm.g,$B$2:$B$36,_xlpm.k,$C51,AVERAGE(_xlfn._xlws.FILTER(_xlpm.d,(_xlpm.f=_xlpm.k)*(_xlpm.g=0))))</f>
        <v>0.27546239646382403</v>
      </c>
      <c r="N51" s="2" cm="1">
        <f t="array" ref="N51">_xlfn.LET(_xlpm.d,N$2:N$36,_xlpm.f,$A$2:$A$36,_xlpm.g,$B$2:$B$36,_xlpm.k,$C51,AVERAGE(_xlfn._xlws.FILTER(_xlpm.d,(_xlpm.f=_xlpm.k)*(_xlpm.g=0))))</f>
        <v>0.34723137318623437</v>
      </c>
      <c r="O51" s="2" cm="1">
        <f t="array" ref="O51">_xlfn.LET(_xlpm.d,O$2:O$36,_xlpm.f,$A$2:$A$36,_xlpm.g,$B$2:$B$36,_xlpm.k,$C51,AVERAGE(_xlfn._xlws.FILTER(_xlpm.d,(_xlpm.f=_xlpm.k)*(_xlpm.g=0))))</f>
        <v>0.35944631730373788</v>
      </c>
      <c r="P51" s="2" cm="1">
        <f t="array" ref="P51">_xlfn.LET(_xlpm.d,P$2:P$36,_xlpm.f,$A$2:$A$36,_xlpm.g,$B$2:$B$36,_xlpm.k,$C51,AVERAGE(_xlfn._xlws.FILTER(_xlpm.d,(_xlpm.f=_xlpm.k)*(_xlpm.g=0))))</f>
        <v>0.339484481574091</v>
      </c>
      <c r="Q51" s="2" cm="1">
        <f t="array" ref="Q51">_xlfn.LET(_xlpm.d,Q$2:Q$36,_xlpm.f,$A$2:$A$36,_xlpm.g,$B$2:$B$36,_xlpm.k,$C51,AVERAGE(_xlfn._xlws.FILTER(_xlpm.d,(_xlpm.f=_xlpm.k)*(_xlpm.g=0))))</f>
        <v>0.45112147329788793</v>
      </c>
    </row>
    <row r="52" spans="3:17" ht="30" customHeight="1">
      <c r="C52" t="s">
        <v>58</v>
      </c>
      <c r="D52" s="2" cm="1">
        <f t="array" ref="D52">_xlfn.LET(_xlpm.d,D$2:D$36,_xlpm.f,$A$2:$A$36,_xlpm.g,$B$2:$B$36,_xlpm.k,$C52,AVERAGE(_xlfn._xlws.FILTER(_xlpm.d,(_xlpm.f=_xlpm.k)*(_xlpm.g=0))))</f>
        <v>0.99360610675808692</v>
      </c>
      <c r="E52" s="2" cm="1">
        <f t="array" ref="E52">_xlfn.LET(_xlpm.d,E$2:E$36,_xlpm.f,$A$2:$A$36,_xlpm.g,$B$2:$B$36,_xlpm.k,$C52,AVERAGE(_xlfn._xlws.FILTER(_xlpm.d,(_xlpm.f=_xlpm.k)*(_xlpm.g=0))))</f>
        <v>0.99678191518504455</v>
      </c>
      <c r="F52" s="2" cm="1">
        <f t="array" ref="F52">_xlfn.LET(_xlpm.d,F$2:F$36,_xlpm.f,$A$2:$A$36,_xlpm.g,$B$2:$B$36,_xlpm.k,$C52,AVERAGE(_xlfn._xlws.FILTER(_xlpm.d,(_xlpm.f=_xlpm.k)*(_xlpm.g=0))))</f>
        <v>0.98115872683201655</v>
      </c>
      <c r="G52" s="2" cm="1">
        <f t="array" ref="G52">_xlfn.LET(_xlpm.d,G$2:G$36,_xlpm.f,$A$2:$A$36,_xlpm.g,$B$2:$B$36,_xlpm.k,$C52,AVERAGE(_xlfn._xlws.FILTER(_xlpm.d,(_xlpm.f=_xlpm.k)*(_xlpm.g=0))))</f>
        <v>0.96551255664455671</v>
      </c>
      <c r="H52" s="2" cm="1">
        <f t="array" ref="H52">_xlfn.LET(_xlpm.d,H$2:H$36,_xlpm.f,$A$2:$A$36,_xlpm.g,$B$2:$B$36,_xlpm.k,$C52,AVERAGE(_xlfn._xlws.FILTER(_xlpm.d,(_xlpm.f=_xlpm.k)*(_xlpm.g=0))))</f>
        <v>0.99916513426730047</v>
      </c>
      <c r="I52" s="2" cm="1">
        <f t="array" ref="I52">_xlfn.LET(_xlpm.d,I$2:I$36,_xlpm.f,$A$2:$A$36,_xlpm.g,$B$2:$B$36,_xlpm.k,$C52,AVERAGE(_xlfn._xlws.FILTER(_xlpm.d,(_xlpm.f=_xlpm.k)*(_xlpm.g=0))))</f>
        <v>0.93551254814407425</v>
      </c>
      <c r="J52" s="2" cm="1">
        <f t="array" ref="J52">_xlfn.LET(_xlpm.d,J$2:J$36,_xlpm.f,$A$2:$A$36,_xlpm.g,$B$2:$B$36,_xlpm.k,$C52,AVERAGE(_xlfn._xlws.FILTER(_xlpm.d,(_xlpm.f=_xlpm.k)*(_xlpm.g=0))))</f>
        <v>0.9945576394082325</v>
      </c>
      <c r="K52" s="2" cm="1">
        <f t="array" ref="K52">_xlfn.LET(_xlpm.d,K$2:K$36,_xlpm.f,$A$2:$A$36,_xlpm.g,$B$2:$B$36,_xlpm.k,$C52,AVERAGE(_xlfn._xlws.FILTER(_xlpm.d,(_xlpm.f=_xlpm.k)*(_xlpm.g=0))))</f>
        <v>0.96607873236340502</v>
      </c>
      <c r="L52" s="2" cm="1">
        <f t="array" ref="L52">_xlfn.LET(_xlpm.d,L$2:L$36,_xlpm.f,$A$2:$A$36,_xlpm.g,$B$2:$B$36,_xlpm.k,$C52,AVERAGE(_xlfn._xlws.FILTER(_xlpm.d,(_xlpm.f=_xlpm.k)*(_xlpm.g=0))))</f>
        <v>0.99628361082906947</v>
      </c>
      <c r="M52" s="2" cm="1">
        <f t="array" ref="M52">_xlfn.LET(_xlpm.d,M$2:M$36,_xlpm.f,$A$2:$A$36,_xlpm.g,$B$2:$B$36,_xlpm.k,$C52,AVERAGE(_xlfn._xlws.FILTER(_xlpm.d,(_xlpm.f=_xlpm.k)*(_xlpm.g=0))))</f>
        <v>0.92320160358789083</v>
      </c>
      <c r="N52" s="2" cm="1">
        <f t="array" ref="N52">_xlfn.LET(_xlpm.d,N$2:N$36,_xlpm.f,$A$2:$A$36,_xlpm.g,$B$2:$B$36,_xlpm.k,$C52,AVERAGE(_xlfn._xlws.FILTER(_xlpm.d,(_xlpm.f=_xlpm.k)*(_xlpm.g=0))))</f>
        <v>0.98904702264123756</v>
      </c>
      <c r="O52" s="2" cm="1">
        <f t="array" ref="O52">_xlfn.LET(_xlpm.d,O$2:O$36,_xlpm.f,$A$2:$A$36,_xlpm.g,$B$2:$B$36,_xlpm.k,$C52,AVERAGE(_xlfn._xlws.FILTER(_xlpm.d,(_xlpm.f=_xlpm.k)*(_xlpm.g=0))))</f>
        <v>0.93016102116677457</v>
      </c>
      <c r="P52" s="2" cm="1">
        <f t="array" ref="P52">_xlfn.LET(_xlpm.d,P$2:P$36,_xlpm.f,$A$2:$A$36,_xlpm.g,$B$2:$B$36,_xlpm.k,$C52,AVERAGE(_xlfn._xlws.FILTER(_xlpm.d,(_xlpm.f=_xlpm.k)*(_xlpm.g=0))))</f>
        <v>0.87963022431649163</v>
      </c>
      <c r="Q52" s="2" cm="1">
        <f t="array" ref="Q52">_xlfn.LET(_xlpm.d,Q$2:Q$36,_xlpm.f,$A$2:$A$36,_xlpm.g,$B$2:$B$36,_xlpm.k,$C52,AVERAGE(_xlfn._xlws.FILTER(_xlpm.d,(_xlpm.f=_xlpm.k)*(_xlpm.g=0))))</f>
        <v>0.9654382186264755</v>
      </c>
    </row>
  </sheetData>
  <conditionalFormatting sqref="D2:P36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52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Q2:Q36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S2:S36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V49"/>
  <sheetViews>
    <sheetView workbookViewId="0">
      <pane xSplit="9080" ySplit="3520" topLeftCell="B37" activePane="bottomRight"/>
      <selection activeCell="B1" sqref="B1:B1048576"/>
      <selection pane="topRight" activeCell="G2" sqref="G2:S36"/>
      <selection pane="bottomLeft" activeCell="C31" sqref="C31"/>
      <selection pane="bottomRight" activeCell="C47" sqref="C47"/>
    </sheetView>
  </sheetViews>
  <sheetFormatPr baseColWidth="10" defaultRowHeight="30" customHeight="1"/>
  <cols>
    <col min="1" max="1" width="16.625" customWidth="1"/>
    <col min="2" max="2" width="9" customWidth="1"/>
    <col min="3" max="5" width="7.875" customWidth="1"/>
    <col min="6" max="6" width="9.5" customWidth="1"/>
    <col min="7" max="19" width="7.375" customWidth="1"/>
    <col min="20" max="20" width="8.75" customWidth="1"/>
    <col min="21" max="21" width="9.125" customWidth="1"/>
    <col min="22" max="22" width="8.75" customWidth="1"/>
  </cols>
  <sheetData>
    <row r="1" spans="1:22" ht="30" customHeight="1">
      <c r="A1" t="s">
        <v>0</v>
      </c>
      <c r="B1" t="s">
        <v>59</v>
      </c>
      <c r="C1" t="s">
        <v>50</v>
      </c>
      <c r="D1" t="s">
        <v>51</v>
      </c>
      <c r="E1" t="s">
        <v>60</v>
      </c>
      <c r="F1" t="s">
        <v>52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47</v>
      </c>
      <c r="P1" t="s">
        <v>9</v>
      </c>
      <c r="Q1" t="s">
        <v>48</v>
      </c>
      <c r="R1" t="s">
        <v>49</v>
      </c>
      <c r="S1" t="s">
        <v>10</v>
      </c>
      <c r="T1" t="s">
        <v>36</v>
      </c>
      <c r="U1" t="s">
        <v>61</v>
      </c>
      <c r="V1" t="s">
        <v>62</v>
      </c>
    </row>
    <row r="2" spans="1:22" ht="30" customHeight="1">
      <c r="A2" t="s">
        <v>11</v>
      </c>
      <c r="B2" t="str">
        <f>_xlfn.TEXTBEFORE(Table1[[#This Row],[condition]],"-")</f>
        <v>arabic</v>
      </c>
      <c r="C2" t="b">
        <f>LEFT(Table1[[#This Row],[encoding]],3)=C$1</f>
        <v>0</v>
      </c>
      <c r="D2" t="b">
        <f>LEFT(Table1[[#This Row],[encoding]],2)=D$1</f>
        <v>0</v>
      </c>
      <c r="E2" t="b">
        <f>NOT(OR(C2,D2))</f>
        <v>1</v>
      </c>
      <c r="F2" t="str">
        <f>_xlfn.TEXTAFTER(Table1[[#This Row],[condition]],"-")</f>
        <v>1g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>_xlfn.LET(_xlpm.d,$G2:$S2,AVERAGE(_xlpm.d))</f>
        <v>1</v>
      </c>
      <c r="U2" s="3">
        <f>_xlfn.LET(_xlpm.d,$G2:$S2,STDEV(_xlpm.d))</f>
        <v>0</v>
      </c>
      <c r="V2" s="1">
        <f>Table1[[#This Row],[average]]-SQRT(Table1[[#This Row],[stdev]])</f>
        <v>1</v>
      </c>
    </row>
    <row r="3" spans="1:22" ht="30" customHeight="1">
      <c r="A3" t="s">
        <v>12</v>
      </c>
      <c r="B3" t="str">
        <f>_xlfn.TEXTBEFORE(Table1[[#This Row],[condition]],"-")</f>
        <v>arabic</v>
      </c>
      <c r="C3" t="b">
        <f>LEFT(Table1[[#This Row],[encoding]],3)=C$1</f>
        <v>0</v>
      </c>
      <c r="D3" t="b">
        <f>LEFT(Table1[[#This Row],[encoding]],2)=D$1</f>
        <v>0</v>
      </c>
      <c r="E3" t="b">
        <f t="shared" ref="E3:E36" si="0">NOT(OR(C3,D3))</f>
        <v>1</v>
      </c>
      <c r="F3" t="str">
        <f>_xlfn.TEXTAFTER(Table1[[#This Row],[condition]],"-")</f>
        <v>2g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36" si="1">_xlfn.LET(_xlpm.d,$G3:$S3,AVERAGE(_xlpm.d))</f>
        <v>1</v>
      </c>
      <c r="U3" s="3">
        <f t="shared" ref="U3:U36" si="2">_xlfn.LET(_xlpm.d,$G3:$S3,STDEV(_xlpm.d))</f>
        <v>0</v>
      </c>
      <c r="V3" s="1">
        <f>Table1[[#This Row],[average]]-SQRT(Table1[[#This Row],[stdev]])</f>
        <v>1</v>
      </c>
    </row>
    <row r="4" spans="1:22" ht="30" customHeight="1">
      <c r="A4" t="s">
        <v>13</v>
      </c>
      <c r="B4" t="str">
        <f>_xlfn.TEXTBEFORE(Table1[[#This Row],[condition]],"-")</f>
        <v>arabic</v>
      </c>
      <c r="C4" t="b">
        <f>LEFT(Table1[[#This Row],[encoding]],3)=C$1</f>
        <v>0</v>
      </c>
      <c r="D4" t="b">
        <f>LEFT(Table1[[#This Row],[encoding]],2)=D$1</f>
        <v>0</v>
      </c>
      <c r="E4" t="b">
        <f t="shared" si="0"/>
        <v>1</v>
      </c>
      <c r="F4" t="str">
        <f>_xlfn.TEXTAFTER(Table1[[#This Row],[condition]],"-")</f>
        <v>3g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0.99931127919426099</v>
      </c>
      <c r="P4" s="1">
        <v>1</v>
      </c>
      <c r="Q4" s="1">
        <v>1</v>
      </c>
      <c r="R4" s="1">
        <v>1</v>
      </c>
      <c r="S4" s="1">
        <v>1</v>
      </c>
      <c r="T4" s="1">
        <f t="shared" si="1"/>
        <v>0.99994702147648162</v>
      </c>
      <c r="U4" s="3">
        <f t="shared" si="2"/>
        <v>1.9101678304391258E-4</v>
      </c>
      <c r="V4" s="1">
        <f>Table1[[#This Row],[average]]-SQRT(Table1[[#This Row],[stdev]])</f>
        <v>0.98612613933951543</v>
      </c>
    </row>
    <row r="5" spans="1:22" ht="30" customHeight="1">
      <c r="A5" t="s">
        <v>14</v>
      </c>
      <c r="B5" t="str">
        <f>_xlfn.TEXTBEFORE(Table1[[#This Row],[condition]],"-")</f>
        <v>arabic</v>
      </c>
      <c r="C5" t="b">
        <f>LEFT(Table1[[#This Row],[encoding]],3)=C$1</f>
        <v>0</v>
      </c>
      <c r="D5" t="b">
        <f>LEFT(Table1[[#This Row],[encoding]],2)=D$1</f>
        <v>1</v>
      </c>
      <c r="E5" t="b">
        <f t="shared" si="0"/>
        <v>0</v>
      </c>
      <c r="F5" t="str">
        <f>_xlfn.TEXTAFTER(Table1[[#This Row],[condition]],"-")</f>
        <v>sk2g</v>
      </c>
      <c r="G5" s="1">
        <v>1</v>
      </c>
      <c r="H5" s="1">
        <v>1</v>
      </c>
      <c r="I5" s="1">
        <v>1</v>
      </c>
      <c r="J5" s="1">
        <v>1</v>
      </c>
      <c r="K5" s="1">
        <v>0.99518280291962202</v>
      </c>
      <c r="L5" s="1">
        <v>1</v>
      </c>
      <c r="M5" s="1">
        <v>1</v>
      </c>
      <c r="N5" s="1">
        <v>0.98898968210386295</v>
      </c>
      <c r="O5" s="1">
        <v>1</v>
      </c>
      <c r="P5" s="1">
        <v>1</v>
      </c>
      <c r="Q5" s="1">
        <v>1</v>
      </c>
      <c r="R5" s="1">
        <v>0.99583248907967703</v>
      </c>
      <c r="S5" s="1">
        <v>0.99459333055661703</v>
      </c>
      <c r="T5" s="1">
        <f t="shared" si="1"/>
        <v>0.99804602343536764</v>
      </c>
      <c r="U5" s="3">
        <f t="shared" si="2"/>
        <v>3.4326665076086357E-3</v>
      </c>
      <c r="V5" s="1">
        <f>Table1[[#This Row],[average]]-SQRT(Table1[[#This Row],[stdev]])</f>
        <v>0.93945706109937266</v>
      </c>
    </row>
    <row r="6" spans="1:22" ht="30" customHeight="1">
      <c r="A6" t="s">
        <v>15</v>
      </c>
      <c r="B6" t="str">
        <f>_xlfn.TEXTBEFORE(Table1[[#This Row],[condition]],"-")</f>
        <v>arabic</v>
      </c>
      <c r="C6" t="b">
        <f>LEFT(Table1[[#This Row],[encoding]],3)=C$1</f>
        <v>0</v>
      </c>
      <c r="D6" t="b">
        <f>LEFT(Table1[[#This Row],[encoding]],2)=D$1</f>
        <v>1</v>
      </c>
      <c r="E6" t="b">
        <f t="shared" si="0"/>
        <v>0</v>
      </c>
      <c r="F6" t="str">
        <f>_xlfn.TEXTAFTER(Table1[[#This Row],[condition]],"-")</f>
        <v>sk3g</v>
      </c>
      <c r="G6" s="1">
        <v>1</v>
      </c>
      <c r="H6" s="1">
        <v>1</v>
      </c>
      <c r="I6" s="1">
        <v>1</v>
      </c>
      <c r="J6" s="1">
        <v>0.94290998083530198</v>
      </c>
      <c r="K6" s="1">
        <v>0.98130927491440401</v>
      </c>
      <c r="L6" s="1">
        <v>1</v>
      </c>
      <c r="M6" s="1">
        <v>0.99378498166682305</v>
      </c>
      <c r="N6" s="1">
        <v>0.97689492372965903</v>
      </c>
      <c r="O6" s="1">
        <v>0.98372437486200603</v>
      </c>
      <c r="P6" s="1">
        <v>1</v>
      </c>
      <c r="Q6" s="1">
        <v>1</v>
      </c>
      <c r="R6" s="1">
        <v>1</v>
      </c>
      <c r="S6" s="1">
        <v>1</v>
      </c>
      <c r="T6" s="1">
        <f t="shared" si="1"/>
        <v>0.99066334892370722</v>
      </c>
      <c r="U6" s="3">
        <f t="shared" si="2"/>
        <v>1.6615080437305821E-2</v>
      </c>
      <c r="V6" s="1">
        <f>Table1[[#This Row],[average]]-SQRT(Table1[[#This Row],[stdev]])</f>
        <v>0.86176385149526169</v>
      </c>
    </row>
    <row r="7" spans="1:22" ht="30" customHeight="1">
      <c r="A7" t="s">
        <v>37</v>
      </c>
      <c r="B7" t="str">
        <f>_xlfn.TEXTBEFORE(Table1[[#This Row],[condition]],"-")</f>
        <v>arabic</v>
      </c>
      <c r="C7" t="b">
        <f>LEFT(Table1[[#This Row],[encoding]],3)=C$1</f>
        <v>1</v>
      </c>
      <c r="D7" t="b">
        <f>LEFT(Table1[[#This Row],[encoding]],2)=D$1</f>
        <v>0</v>
      </c>
      <c r="E7" t="b">
        <f t="shared" si="0"/>
        <v>0</v>
      </c>
      <c r="F7" t="str">
        <f>_xlfn.TEXTAFTER(Table1[[#This Row],[condition]],"-")</f>
        <v>xsk2g</v>
      </c>
      <c r="G7" s="1">
        <v>0.90107935775539305</v>
      </c>
      <c r="H7" s="1">
        <v>1</v>
      </c>
      <c r="I7" s="1">
        <v>0.921105261780926</v>
      </c>
      <c r="J7" s="1">
        <v>0.83918280825137204</v>
      </c>
      <c r="K7" s="1">
        <v>1</v>
      </c>
      <c r="L7" s="1">
        <v>0.92959748758258098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f t="shared" si="1"/>
        <v>0.96853576272079012</v>
      </c>
      <c r="U7" s="3">
        <f t="shared" si="2"/>
        <v>5.3196474772793996E-2</v>
      </c>
      <c r="V7" s="1">
        <f>Table1[[#This Row],[average]]-SQRT(Table1[[#This Row],[stdev]])</f>
        <v>0.73789215285311138</v>
      </c>
    </row>
    <row r="8" spans="1:22" ht="30" customHeight="1">
      <c r="A8" t="s">
        <v>38</v>
      </c>
      <c r="B8" t="str">
        <f>_xlfn.TEXTBEFORE(Table1[[#This Row],[condition]],"-")</f>
        <v>arabic</v>
      </c>
      <c r="C8" t="b">
        <f>LEFT(Table1[[#This Row],[encoding]],3)=C$1</f>
        <v>1</v>
      </c>
      <c r="D8" t="b">
        <f>LEFT(Table1[[#This Row],[encoding]],2)=D$1</f>
        <v>0</v>
      </c>
      <c r="E8" t="b">
        <f t="shared" si="0"/>
        <v>0</v>
      </c>
      <c r="F8" t="str">
        <f>_xlfn.TEXTAFTER(Table1[[#This Row],[condition]],"-")</f>
        <v>xsk3g</v>
      </c>
      <c r="G8" s="1">
        <v>1</v>
      </c>
      <c r="H8" s="1">
        <v>0.99966498881741594</v>
      </c>
      <c r="I8" s="1">
        <v>0.99952380250494199</v>
      </c>
      <c r="J8" s="1">
        <v>1</v>
      </c>
      <c r="K8" s="1">
        <v>0.92428964069170605</v>
      </c>
      <c r="L8" s="1">
        <v>1</v>
      </c>
      <c r="M8" s="1">
        <v>1</v>
      </c>
      <c r="N8" s="1">
        <v>1</v>
      </c>
      <c r="O8" s="1">
        <v>0.99953051522463898</v>
      </c>
      <c r="P8" s="1">
        <v>1</v>
      </c>
      <c r="Q8" s="1">
        <v>1</v>
      </c>
      <c r="R8" s="1">
        <v>0.83250770906883798</v>
      </c>
      <c r="S8" s="1">
        <v>0.85269737078487096</v>
      </c>
      <c r="T8" s="1">
        <f t="shared" si="1"/>
        <v>0.9698626174686471</v>
      </c>
      <c r="U8" s="3">
        <f t="shared" si="2"/>
        <v>6.0330303523061395E-2</v>
      </c>
      <c r="V8" s="1">
        <f>Table1[[#This Row],[average]]-SQRT(Table1[[#This Row],[stdev]])</f>
        <v>0.7242403393197353</v>
      </c>
    </row>
    <row r="9" spans="1:22" ht="30" customHeight="1">
      <c r="A9" t="s">
        <v>16</v>
      </c>
      <c r="B9" t="str">
        <f>_xlfn.TEXTBEFORE(Table1[[#This Row],[condition]],"-")</f>
        <v>english</v>
      </c>
      <c r="C9" t="b">
        <f>LEFT(Table1[[#This Row],[encoding]],3)=C$1</f>
        <v>0</v>
      </c>
      <c r="D9" t="b">
        <f>LEFT(Table1[[#This Row],[encoding]],2)=D$1</f>
        <v>0</v>
      </c>
      <c r="E9" t="b">
        <f t="shared" si="0"/>
        <v>1</v>
      </c>
      <c r="F9" t="str">
        <f>_xlfn.TEXTAFTER(Table1[[#This Row],[condition]],"-")</f>
        <v>1g</v>
      </c>
      <c r="G9" s="1">
        <v>0.90272250368998297</v>
      </c>
      <c r="H9" s="1">
        <v>0.80657558095176096</v>
      </c>
      <c r="I9" s="1">
        <v>0.60539256823001897</v>
      </c>
      <c r="J9" s="1">
        <v>0.60212061994449895</v>
      </c>
      <c r="K9" s="1">
        <v>0.62333020131796801</v>
      </c>
      <c r="L9" s="1">
        <v>0.20320007005823801</v>
      </c>
      <c r="M9" s="1">
        <v>0.32814465604892701</v>
      </c>
      <c r="N9" s="1">
        <v>0.28975325420891601</v>
      </c>
      <c r="O9" s="1">
        <v>0.14265251192311201</v>
      </c>
      <c r="P9" s="1">
        <v>0.19754332883006501</v>
      </c>
      <c r="Q9" s="1">
        <v>0.183644549215009</v>
      </c>
      <c r="R9" s="1">
        <v>0</v>
      </c>
      <c r="S9" s="1">
        <v>0</v>
      </c>
      <c r="T9" s="1">
        <f t="shared" si="1"/>
        <v>0.37577537264757671</v>
      </c>
      <c r="U9" s="3">
        <f t="shared" si="2"/>
        <v>0.29908107714596088</v>
      </c>
      <c r="V9" s="1">
        <f>Table1[[#This Row],[average]]-SQRT(Table1[[#This Row],[stdev]])</f>
        <v>-0.17110768354081979</v>
      </c>
    </row>
    <row r="10" spans="1:22" ht="30" customHeight="1">
      <c r="A10" t="s">
        <v>17</v>
      </c>
      <c r="B10" t="str">
        <f>_xlfn.TEXTBEFORE(Table1[[#This Row],[condition]],"-")</f>
        <v>english</v>
      </c>
      <c r="C10" t="b">
        <f>LEFT(Table1[[#This Row],[encoding]],3)=C$1</f>
        <v>0</v>
      </c>
      <c r="D10" t="b">
        <f>LEFT(Table1[[#This Row],[encoding]],2)=D$1</f>
        <v>0</v>
      </c>
      <c r="E10" t="b">
        <f t="shared" si="0"/>
        <v>1</v>
      </c>
      <c r="F10" t="str">
        <f>_xlfn.TEXTAFTER(Table1[[#This Row],[condition]],"-")</f>
        <v>2g</v>
      </c>
      <c r="G10" s="1">
        <v>0.46351844074543902</v>
      </c>
      <c r="H10" s="1">
        <v>0.450087996838263</v>
      </c>
      <c r="I10" s="1">
        <v>0.25466742007735799</v>
      </c>
      <c r="J10" s="1">
        <v>0.14276229886935701</v>
      </c>
      <c r="K10" s="1">
        <v>0.30243430894659401</v>
      </c>
      <c r="L10" s="1">
        <v>0.28111012313163902</v>
      </c>
      <c r="M10" s="1">
        <v>0.24009947151196301</v>
      </c>
      <c r="N10" s="1">
        <v>0.156456947658729</v>
      </c>
      <c r="O10" s="1">
        <v>0.17868309630082299</v>
      </c>
      <c r="P10" s="1">
        <v>0.27282126049014499</v>
      </c>
      <c r="Q10" s="1">
        <v>0.34721766579117702</v>
      </c>
      <c r="R10" s="1">
        <v>0</v>
      </c>
      <c r="S10" s="1">
        <v>0.26833948116858197</v>
      </c>
      <c r="T10" s="1">
        <f t="shared" si="1"/>
        <v>0.25832296242538993</v>
      </c>
      <c r="U10" s="3">
        <f t="shared" si="2"/>
        <v>0.12473523614766975</v>
      </c>
      <c r="V10" s="1">
        <f>Table1[[#This Row],[average]]-SQRT(Table1[[#This Row],[stdev]])</f>
        <v>-9.4855797054380797E-2</v>
      </c>
    </row>
    <row r="11" spans="1:22" ht="30" customHeight="1">
      <c r="A11" t="s">
        <v>18</v>
      </c>
      <c r="B11" t="str">
        <f>_xlfn.TEXTBEFORE(Table1[[#This Row],[condition]],"-")</f>
        <v>english</v>
      </c>
      <c r="C11" t="b">
        <f>LEFT(Table1[[#This Row],[encoding]],3)=C$1</f>
        <v>0</v>
      </c>
      <c r="D11" t="b">
        <f>LEFT(Table1[[#This Row],[encoding]],2)=D$1</f>
        <v>0</v>
      </c>
      <c r="E11" t="b">
        <f t="shared" si="0"/>
        <v>1</v>
      </c>
      <c r="F11" t="str">
        <f>_xlfn.TEXTAFTER(Table1[[#This Row],[condition]],"-")</f>
        <v>3g</v>
      </c>
      <c r="G11" s="1">
        <v>0.62741617293416396</v>
      </c>
      <c r="H11" s="1">
        <v>0.43101803037397501</v>
      </c>
      <c r="I11" s="1">
        <v>0.329437420642753</v>
      </c>
      <c r="J11" s="1">
        <v>0.43138983795718</v>
      </c>
      <c r="K11" s="1">
        <v>0.27996184360633702</v>
      </c>
      <c r="L11" s="1">
        <v>0.37836734916912801</v>
      </c>
      <c r="M11" s="1">
        <v>0.15285538227699999</v>
      </c>
      <c r="N11" s="1">
        <v>0</v>
      </c>
      <c r="O11" s="1">
        <v>0.143970466712564</v>
      </c>
      <c r="P11" s="1">
        <v>0.354050447984598</v>
      </c>
      <c r="Q11" s="1">
        <v>0.29747449596574799</v>
      </c>
      <c r="R11" s="1">
        <v>0.28566821302480799</v>
      </c>
      <c r="S11" s="1">
        <v>0.22125697411659601</v>
      </c>
      <c r="T11" s="1">
        <f t="shared" si="1"/>
        <v>0.30252820267421926</v>
      </c>
      <c r="U11" s="3">
        <f t="shared" si="2"/>
        <v>0.15660120491550958</v>
      </c>
      <c r="V11" s="1">
        <f>Table1[[#This Row],[average]]-SQRT(Table1[[#This Row],[stdev]])</f>
        <v>-9.3200498477857385E-2</v>
      </c>
    </row>
    <row r="12" spans="1:22" ht="30" customHeight="1">
      <c r="A12" t="s">
        <v>19</v>
      </c>
      <c r="B12" t="str">
        <f>_xlfn.TEXTBEFORE(Table1[[#This Row],[condition]],"-")</f>
        <v>english</v>
      </c>
      <c r="C12" t="b">
        <f>LEFT(Table1[[#This Row],[encoding]],3)=C$1</f>
        <v>0</v>
      </c>
      <c r="D12" t="b">
        <f>LEFT(Table1[[#This Row],[encoding]],2)=D$1</f>
        <v>1</v>
      </c>
      <c r="E12" t="b">
        <f t="shared" si="0"/>
        <v>0</v>
      </c>
      <c r="F12" t="str">
        <f>_xlfn.TEXTAFTER(Table1[[#This Row],[condition]],"-")</f>
        <v>sk2g</v>
      </c>
      <c r="G12" s="1">
        <v>0.66336311919459601</v>
      </c>
      <c r="H12" s="1">
        <v>0</v>
      </c>
      <c r="I12" s="1">
        <v>0.34878973298222798</v>
      </c>
      <c r="J12" s="1">
        <v>0.29254703761045697</v>
      </c>
      <c r="K12" s="1">
        <v>0.428107778436915</v>
      </c>
      <c r="L12" s="1">
        <v>0.31785512545898598</v>
      </c>
      <c r="M12" s="1">
        <v>0.350019052720899</v>
      </c>
      <c r="N12" s="1">
        <v>0.31304974715973999</v>
      </c>
      <c r="O12" s="1">
        <v>0.39034648181720999</v>
      </c>
      <c r="P12" s="1">
        <v>0.25398077943855601</v>
      </c>
      <c r="Q12" s="1">
        <v>0.245569074264679</v>
      </c>
      <c r="R12" s="1">
        <v>0.22529770256566301</v>
      </c>
      <c r="S12" s="1">
        <v>0.226665509016728</v>
      </c>
      <c r="T12" s="1">
        <f t="shared" si="1"/>
        <v>0.31196854928205053</v>
      </c>
      <c r="U12" s="3">
        <f t="shared" si="2"/>
        <v>0.14894364502219426</v>
      </c>
      <c r="V12" s="1">
        <f>Table1[[#This Row],[average]]-SQRT(Table1[[#This Row],[stdev]])</f>
        <v>-7.3963627430638557E-2</v>
      </c>
    </row>
    <row r="13" spans="1:22" ht="30" customHeight="1">
      <c r="A13" t="s">
        <v>20</v>
      </c>
      <c r="B13" t="str">
        <f>_xlfn.TEXTBEFORE(Table1[[#This Row],[condition]],"-")</f>
        <v>english</v>
      </c>
      <c r="C13" t="b">
        <f>LEFT(Table1[[#This Row],[encoding]],3)=C$1</f>
        <v>0</v>
      </c>
      <c r="D13" t="b">
        <f>LEFT(Table1[[#This Row],[encoding]],2)=D$1</f>
        <v>1</v>
      </c>
      <c r="E13" t="b">
        <f t="shared" si="0"/>
        <v>0</v>
      </c>
      <c r="F13" t="str">
        <f>_xlfn.TEXTAFTER(Table1[[#This Row],[condition]],"-")</f>
        <v>sk3g</v>
      </c>
      <c r="G13" s="1">
        <v>0.62704390697451395</v>
      </c>
      <c r="H13" s="1">
        <v>0.54588714643985603</v>
      </c>
      <c r="I13" s="1">
        <v>0.31796988369488</v>
      </c>
      <c r="J13" s="1">
        <v>0.325780455162897</v>
      </c>
      <c r="K13" s="1">
        <v>0.55815181512727396</v>
      </c>
      <c r="L13" s="1">
        <v>0.48693679725316502</v>
      </c>
      <c r="M13" s="1">
        <v>0.59715759698203896</v>
      </c>
      <c r="N13" s="1">
        <v>0</v>
      </c>
      <c r="O13" s="1">
        <v>0.51451648702328301</v>
      </c>
      <c r="P13" s="1">
        <v>0.35041756285728698</v>
      </c>
      <c r="Q13" s="1">
        <v>0.18203478804482601</v>
      </c>
      <c r="R13" s="1">
        <v>0.47823364341260399</v>
      </c>
      <c r="S13" s="1">
        <v>0.34889502943732298</v>
      </c>
      <c r="T13" s="1">
        <f t="shared" si="1"/>
        <v>0.41023270095461134</v>
      </c>
      <c r="U13" s="3">
        <f t="shared" si="2"/>
        <v>0.17957423944773812</v>
      </c>
      <c r="V13" s="1">
        <f>Table1[[#This Row],[average]]-SQRT(Table1[[#This Row],[stdev]])</f>
        <v>-1.3529307073170849E-2</v>
      </c>
    </row>
    <row r="14" spans="1:22" ht="30" customHeight="1">
      <c r="A14" t="s">
        <v>39</v>
      </c>
      <c r="B14" t="str">
        <f>_xlfn.TEXTBEFORE(Table1[[#This Row],[condition]],"-")</f>
        <v>english</v>
      </c>
      <c r="C14" t="b">
        <f>LEFT(Table1[[#This Row],[encoding]],3)=C$1</f>
        <v>1</v>
      </c>
      <c r="D14" t="b">
        <f>LEFT(Table1[[#This Row],[encoding]],2)=D$1</f>
        <v>0</v>
      </c>
      <c r="E14" t="b">
        <f t="shared" si="0"/>
        <v>0</v>
      </c>
      <c r="F14" t="str">
        <f>_xlfn.TEXTAFTER(Table1[[#This Row],[condition]],"-")</f>
        <v>xsk2g</v>
      </c>
      <c r="G14" s="1">
        <v>0.375380216968348</v>
      </c>
      <c r="H14" s="1">
        <v>0.44470715805204503</v>
      </c>
      <c r="I14" s="1">
        <v>0.40939168911415003</v>
      </c>
      <c r="J14" s="1">
        <v>0.37375294753798799</v>
      </c>
      <c r="K14" s="1">
        <v>0.36479441564870602</v>
      </c>
      <c r="L14" s="1">
        <v>0.46112303198666199</v>
      </c>
      <c r="M14" s="1">
        <v>0.34541097263955101</v>
      </c>
      <c r="N14" s="1">
        <v>0.16750072079806899</v>
      </c>
      <c r="O14" s="1">
        <v>0.27472418086459499</v>
      </c>
      <c r="P14" s="1">
        <v>0.18386603153572001</v>
      </c>
      <c r="Q14" s="1">
        <v>0.290158735790361</v>
      </c>
      <c r="R14" s="1">
        <v>0.33569451373324799</v>
      </c>
      <c r="S14" s="1">
        <v>0.25397447916527399</v>
      </c>
      <c r="T14" s="1">
        <f t="shared" si="1"/>
        <v>0.32926762260267051</v>
      </c>
      <c r="U14" s="3">
        <f t="shared" si="2"/>
        <v>9.1417123340437431E-2</v>
      </c>
      <c r="V14" s="1">
        <f>Table1[[#This Row],[average]]-SQRT(Table1[[#This Row],[stdev]])</f>
        <v>2.6914975284282661E-2</v>
      </c>
    </row>
    <row r="15" spans="1:22" ht="30" customHeight="1">
      <c r="A15" t="s">
        <v>40</v>
      </c>
      <c r="B15" t="str">
        <f>_xlfn.TEXTBEFORE(Table1[[#This Row],[condition]],"-")</f>
        <v>english</v>
      </c>
      <c r="C15" t="b">
        <f>LEFT(Table1[[#This Row],[encoding]],3)=C$1</f>
        <v>1</v>
      </c>
      <c r="D15" t="b">
        <f>LEFT(Table1[[#This Row],[encoding]],2)=D$1</f>
        <v>0</v>
      </c>
      <c r="E15" t="b">
        <f t="shared" si="0"/>
        <v>0</v>
      </c>
      <c r="F15" t="str">
        <f>_xlfn.TEXTAFTER(Table1[[#This Row],[condition]],"-")</f>
        <v>xsk3g</v>
      </c>
      <c r="G15" s="1">
        <v>0.59386418181008704</v>
      </c>
      <c r="H15" s="1">
        <v>0.471738312610612</v>
      </c>
      <c r="I15" s="1">
        <v>0.52863046298960203</v>
      </c>
      <c r="J15" s="1">
        <v>0.45939153885337403</v>
      </c>
      <c r="K15" s="1">
        <v>0.328365590427252</v>
      </c>
      <c r="L15" s="1">
        <v>0.33513269392193501</v>
      </c>
      <c r="M15" s="1">
        <v>0.22721937643520801</v>
      </c>
      <c r="N15" s="1">
        <v>0</v>
      </c>
      <c r="O15" s="1">
        <v>0</v>
      </c>
      <c r="P15" s="1">
        <v>0</v>
      </c>
      <c r="Q15" s="1">
        <v>0</v>
      </c>
      <c r="R15" s="1">
        <v>0.263218071105915</v>
      </c>
      <c r="S15" s="1">
        <v>0</v>
      </c>
      <c r="T15" s="1">
        <f t="shared" si="1"/>
        <v>0.24673540216569118</v>
      </c>
      <c r="U15" s="3">
        <f t="shared" si="2"/>
        <v>0.22644610709549048</v>
      </c>
      <c r="V15" s="1">
        <f>Table1[[#This Row],[average]]-SQRT(Table1[[#This Row],[stdev]])</f>
        <v>-0.22912813614701721</v>
      </c>
    </row>
    <row r="16" spans="1:22" ht="30" customHeight="1">
      <c r="A16" t="s">
        <v>21</v>
      </c>
      <c r="B16" t="str">
        <f>_xlfn.TEXTBEFORE(Table1[[#This Row],[condition]],"-")</f>
        <v>french</v>
      </c>
      <c r="C16" t="b">
        <f>LEFT(Table1[[#This Row],[encoding]],3)=C$1</f>
        <v>0</v>
      </c>
      <c r="D16" t="b">
        <f>LEFT(Table1[[#This Row],[encoding]],2)=D$1</f>
        <v>0</v>
      </c>
      <c r="E16" t="b">
        <f t="shared" si="0"/>
        <v>1</v>
      </c>
      <c r="F16" t="str">
        <f>_xlfn.TEXTAFTER(Table1[[#This Row],[condition]],"-")</f>
        <v>1g</v>
      </c>
      <c r="G16" s="1">
        <v>0.91216966747093597</v>
      </c>
      <c r="H16" s="1">
        <v>0.87924986173788</v>
      </c>
      <c r="I16" s="1">
        <v>0.96102214902870697</v>
      </c>
      <c r="J16" s="1">
        <v>0.67420146360932698</v>
      </c>
      <c r="K16" s="1">
        <v>0.62513972275659102</v>
      </c>
      <c r="L16" s="1">
        <v>0.62175071570707596</v>
      </c>
      <c r="M16" s="1">
        <v>0.15398049991169099</v>
      </c>
      <c r="N16" s="1">
        <v>0.186250034839613</v>
      </c>
      <c r="O16" s="1">
        <v>0.44446397723860598</v>
      </c>
      <c r="P16" s="1">
        <v>0.152378381936361</v>
      </c>
      <c r="Q16" s="1">
        <v>0.20190115069148401</v>
      </c>
      <c r="R16" s="1">
        <v>0</v>
      </c>
      <c r="S16" s="1">
        <v>0.41950039189481803</v>
      </c>
      <c r="T16" s="1">
        <f t="shared" si="1"/>
        <v>0.47938523206331474</v>
      </c>
      <c r="U16" s="3">
        <f t="shared" si="2"/>
        <v>0.32519188486539141</v>
      </c>
      <c r="V16" s="1">
        <f>Table1[[#This Row],[average]]-SQRT(Table1[[#This Row],[stdev]])</f>
        <v>-9.0870749812712037E-2</v>
      </c>
    </row>
    <row r="17" spans="1:22" ht="30" customHeight="1">
      <c r="A17" t="s">
        <v>22</v>
      </c>
      <c r="B17" t="str">
        <f>_xlfn.TEXTBEFORE(Table1[[#This Row],[condition]],"-")</f>
        <v>french</v>
      </c>
      <c r="C17" t="b">
        <f>LEFT(Table1[[#This Row],[encoding]],3)=C$1</f>
        <v>0</v>
      </c>
      <c r="D17" t="b">
        <f>LEFT(Table1[[#This Row],[encoding]],2)=D$1</f>
        <v>0</v>
      </c>
      <c r="E17" t="b">
        <f t="shared" si="0"/>
        <v>1</v>
      </c>
      <c r="F17" t="str">
        <f>_xlfn.TEXTAFTER(Table1[[#This Row],[condition]],"-")</f>
        <v>2g</v>
      </c>
      <c r="G17" s="1">
        <v>0.29080667703107999</v>
      </c>
      <c r="H17" s="1">
        <v>0.50221620949718204</v>
      </c>
      <c r="I17" s="1">
        <v>0.132290969010156</v>
      </c>
      <c r="J17" s="1">
        <v>0.41629127269568</v>
      </c>
      <c r="K17" s="1">
        <v>0.243893832746683</v>
      </c>
      <c r="L17" s="1">
        <v>0.44996331448374099</v>
      </c>
      <c r="M17" s="1">
        <v>0.16642149066165099</v>
      </c>
      <c r="N17" s="1">
        <v>0.22613737764415201</v>
      </c>
      <c r="O17" s="1">
        <v>0</v>
      </c>
      <c r="P17" s="1">
        <v>0.33873297410033099</v>
      </c>
      <c r="Q17" s="1">
        <v>0</v>
      </c>
      <c r="R17" s="1">
        <v>0.27705819826119199</v>
      </c>
      <c r="S17" s="1">
        <v>0</v>
      </c>
      <c r="T17" s="1">
        <f t="shared" si="1"/>
        <v>0.23413940893321911</v>
      </c>
      <c r="U17" s="3">
        <f t="shared" si="2"/>
        <v>0.17009782411172555</v>
      </c>
      <c r="V17" s="1">
        <f>Table1[[#This Row],[average]]-SQRT(Table1[[#This Row],[stdev]])</f>
        <v>-0.17828976572798932</v>
      </c>
    </row>
    <row r="18" spans="1:22" ht="30" customHeight="1">
      <c r="A18" t="s">
        <v>23</v>
      </c>
      <c r="B18" t="str">
        <f>_xlfn.TEXTBEFORE(Table1[[#This Row],[condition]],"-")</f>
        <v>french</v>
      </c>
      <c r="C18" t="b">
        <f>LEFT(Table1[[#This Row],[encoding]],3)=C$1</f>
        <v>0</v>
      </c>
      <c r="D18" t="b">
        <f>LEFT(Table1[[#This Row],[encoding]],2)=D$1</f>
        <v>0</v>
      </c>
      <c r="E18" t="b">
        <f t="shared" si="0"/>
        <v>1</v>
      </c>
      <c r="F18" t="str">
        <f>_xlfn.TEXTAFTER(Table1[[#This Row],[condition]],"-")</f>
        <v>3g</v>
      </c>
      <c r="G18" s="1">
        <v>0.49789643178208398</v>
      </c>
      <c r="H18" s="1">
        <v>0.40351628138508899</v>
      </c>
      <c r="I18" s="1">
        <v>0.40251224997033602</v>
      </c>
      <c r="J18" s="1">
        <v>0.433688337925139</v>
      </c>
      <c r="K18" s="1">
        <v>0.35726386606267801</v>
      </c>
      <c r="L18" s="1">
        <v>0.39009991326135401</v>
      </c>
      <c r="M18" s="1">
        <v>0.154963019024764</v>
      </c>
      <c r="N18" s="1">
        <v>0.225985807927152</v>
      </c>
      <c r="O18" s="1">
        <v>0.30923410644181198</v>
      </c>
      <c r="P18" s="1">
        <v>0.21971312080171401</v>
      </c>
      <c r="Q18" s="1">
        <v>0.255026389766216</v>
      </c>
      <c r="R18" s="1">
        <v>0.29311328273228499</v>
      </c>
      <c r="S18" s="1">
        <v>0.41108035072110199</v>
      </c>
      <c r="T18" s="1">
        <f t="shared" si="1"/>
        <v>0.33493024290782497</v>
      </c>
      <c r="U18" s="3">
        <f t="shared" si="2"/>
        <v>0.10051927125212239</v>
      </c>
      <c r="V18" s="1">
        <f>Table1[[#This Row],[average]]-SQRT(Table1[[#This Row],[stdev]])</f>
        <v>1.7882500048610805E-2</v>
      </c>
    </row>
    <row r="19" spans="1:22" ht="30" customHeight="1">
      <c r="A19" t="s">
        <v>24</v>
      </c>
      <c r="B19" t="str">
        <f>_xlfn.TEXTBEFORE(Table1[[#This Row],[condition]],"-")</f>
        <v>french</v>
      </c>
      <c r="C19" t="b">
        <f>LEFT(Table1[[#This Row],[encoding]],3)=C$1</f>
        <v>0</v>
      </c>
      <c r="D19" t="b">
        <f>LEFT(Table1[[#This Row],[encoding]],2)=D$1</f>
        <v>1</v>
      </c>
      <c r="E19" t="b">
        <f t="shared" si="0"/>
        <v>0</v>
      </c>
      <c r="F19" t="str">
        <f>_xlfn.TEXTAFTER(Table1[[#This Row],[condition]],"-")</f>
        <v>sk2g</v>
      </c>
      <c r="G19" s="1">
        <v>0.48095534106962201</v>
      </c>
      <c r="H19" s="1">
        <v>0.51280505390244202</v>
      </c>
      <c r="I19" s="1">
        <v>0.45132299934543402</v>
      </c>
      <c r="J19" s="1">
        <v>0.29723976617231401</v>
      </c>
      <c r="K19" s="1">
        <v>0.48423970229698199</v>
      </c>
      <c r="L19" s="1">
        <v>0.60182595279083795</v>
      </c>
      <c r="M19" s="1">
        <v>0.51364463431432605</v>
      </c>
      <c r="N19" s="1">
        <v>0.51829771070252895</v>
      </c>
      <c r="O19" s="1">
        <v>0</v>
      </c>
      <c r="P19" s="1">
        <v>0.57987720592376901</v>
      </c>
      <c r="Q19" s="1">
        <v>0</v>
      </c>
      <c r="R19" s="1">
        <v>0.32138786042668999</v>
      </c>
      <c r="S19" s="1">
        <v>0.18344188300544401</v>
      </c>
      <c r="T19" s="1">
        <f t="shared" si="1"/>
        <v>0.38038754691926085</v>
      </c>
      <c r="U19" s="3">
        <f t="shared" si="2"/>
        <v>0.20567867838576134</v>
      </c>
      <c r="V19" s="1">
        <f>Table1[[#This Row],[average]]-SQRT(Table1[[#This Row],[stdev]])</f>
        <v>-7.3130565603008013E-2</v>
      </c>
    </row>
    <row r="20" spans="1:22" ht="30" customHeight="1">
      <c r="A20" t="s">
        <v>25</v>
      </c>
      <c r="B20" t="str">
        <f>_xlfn.TEXTBEFORE(Table1[[#This Row],[condition]],"-")</f>
        <v>french</v>
      </c>
      <c r="C20" t="b">
        <f>LEFT(Table1[[#This Row],[encoding]],3)=C$1</f>
        <v>0</v>
      </c>
      <c r="D20" t="b">
        <f>LEFT(Table1[[#This Row],[encoding]],2)=D$1</f>
        <v>1</v>
      </c>
      <c r="E20" t="b">
        <f t="shared" si="0"/>
        <v>0</v>
      </c>
      <c r="F20" t="str">
        <f>_xlfn.TEXTAFTER(Table1[[#This Row],[condition]],"-")</f>
        <v>sk3g</v>
      </c>
      <c r="G20" s="1">
        <v>0.58984241109147795</v>
      </c>
      <c r="H20" s="1">
        <v>0.492304844924906</v>
      </c>
      <c r="I20" s="1">
        <v>0.71418634900702704</v>
      </c>
      <c r="J20" s="1">
        <v>0.42868573629878898</v>
      </c>
      <c r="K20" s="1">
        <v>0.23575962930767</v>
      </c>
      <c r="L20" s="1">
        <v>0.425170143636253</v>
      </c>
      <c r="M20" s="1">
        <v>0.505836916492863</v>
      </c>
      <c r="N20" s="1">
        <v>0.42562758722180999</v>
      </c>
      <c r="O20" s="1">
        <v>0.38315644868383503</v>
      </c>
      <c r="P20" s="1">
        <v>0.28297502281195303</v>
      </c>
      <c r="Q20" s="1">
        <v>0.28975499610377098</v>
      </c>
      <c r="R20" s="1">
        <v>0.34723607539498602</v>
      </c>
      <c r="S20" s="1">
        <v>0</v>
      </c>
      <c r="T20" s="1">
        <f t="shared" si="1"/>
        <v>0.3938873969981031</v>
      </c>
      <c r="U20" s="3">
        <f t="shared" si="2"/>
        <v>0.1760666854395421</v>
      </c>
      <c r="V20" s="1">
        <f>Table1[[#This Row],[average]]-SQRT(Table1[[#This Row],[stdev]])</f>
        <v>-2.5715612332790627E-2</v>
      </c>
    </row>
    <row r="21" spans="1:22" ht="30" customHeight="1">
      <c r="A21" t="s">
        <v>41</v>
      </c>
      <c r="B21" t="str">
        <f>_xlfn.TEXTBEFORE(Table1[[#This Row],[condition]],"-")</f>
        <v>french</v>
      </c>
      <c r="C21" t="b">
        <f>LEFT(Table1[[#This Row],[encoding]],3)=C$1</f>
        <v>1</v>
      </c>
      <c r="D21" t="b">
        <f>LEFT(Table1[[#This Row],[encoding]],2)=D$1</f>
        <v>0</v>
      </c>
      <c r="E21" t="b">
        <f t="shared" si="0"/>
        <v>0</v>
      </c>
      <c r="F21" t="str">
        <f>_xlfn.TEXTAFTER(Table1[[#This Row],[condition]],"-")</f>
        <v>xsk2g</v>
      </c>
      <c r="G21" s="1">
        <v>0.78021108831371999</v>
      </c>
      <c r="H21" s="1">
        <v>0.648562996168359</v>
      </c>
      <c r="I21" s="1">
        <v>0.50466031803580402</v>
      </c>
      <c r="J21" s="1">
        <v>0.55227978536438005</v>
      </c>
      <c r="K21" s="1">
        <v>0.62914242690659306</v>
      </c>
      <c r="L21" s="1">
        <v>0.45392039710203802</v>
      </c>
      <c r="M21" s="1">
        <v>0.350230659267315</v>
      </c>
      <c r="N21" s="1">
        <v>0.43332335861134402</v>
      </c>
      <c r="O21" s="1">
        <v>0.41352724360770099</v>
      </c>
      <c r="P21" s="1">
        <v>0.49476116545459398</v>
      </c>
      <c r="Q21" s="1">
        <v>0.540634390470073</v>
      </c>
      <c r="R21" s="1">
        <v>0</v>
      </c>
      <c r="S21" s="1">
        <v>0.22179238352334299</v>
      </c>
      <c r="T21" s="1">
        <f t="shared" si="1"/>
        <v>0.46331124714040484</v>
      </c>
      <c r="U21" s="3">
        <f t="shared" si="2"/>
        <v>0.19750076232853403</v>
      </c>
      <c r="V21" s="1">
        <f>Table1[[#This Row],[average]]-SQRT(Table1[[#This Row],[stdev]])</f>
        <v>1.8900668588842873E-2</v>
      </c>
    </row>
    <row r="22" spans="1:22" ht="30" customHeight="1">
      <c r="A22" t="s">
        <v>42</v>
      </c>
      <c r="B22" t="str">
        <f>_xlfn.TEXTBEFORE(Table1[[#This Row],[condition]],"-")</f>
        <v>french</v>
      </c>
      <c r="C22" t="b">
        <f>LEFT(Table1[[#This Row],[encoding]],3)=C$1</f>
        <v>1</v>
      </c>
      <c r="D22" t="b">
        <f>LEFT(Table1[[#This Row],[encoding]],2)=D$1</f>
        <v>0</v>
      </c>
      <c r="E22" t="b">
        <f t="shared" si="0"/>
        <v>0</v>
      </c>
      <c r="F22" t="str">
        <f>_xlfn.TEXTAFTER(Table1[[#This Row],[condition]],"-")</f>
        <v>xsk3g</v>
      </c>
      <c r="G22" s="1">
        <v>0.68660790651289705</v>
      </c>
      <c r="H22" s="1">
        <v>0.66474549546570005</v>
      </c>
      <c r="I22" s="1">
        <v>0.42096713847925099</v>
      </c>
      <c r="J22" s="1">
        <v>0.54988905996167703</v>
      </c>
      <c r="K22" s="1">
        <v>0.421745683486206</v>
      </c>
      <c r="L22" s="1">
        <v>0.28514220609416902</v>
      </c>
      <c r="M22" s="1">
        <v>0.24187886425667601</v>
      </c>
      <c r="N22" s="1">
        <v>0.29608046078628703</v>
      </c>
      <c r="O22" s="1">
        <v>0.22297898892853299</v>
      </c>
      <c r="P22" s="1">
        <v>0.42287401869584901</v>
      </c>
      <c r="Q22" s="1">
        <v>0.34064333739210401</v>
      </c>
      <c r="R22" s="1">
        <v>0.16546337199991301</v>
      </c>
      <c r="S22" s="1">
        <v>0.37782636427648902</v>
      </c>
      <c r="T22" s="1">
        <f t="shared" si="1"/>
        <v>0.39206483817967303</v>
      </c>
      <c r="U22" s="3">
        <f t="shared" si="2"/>
        <v>0.16193382819843508</v>
      </c>
      <c r="V22" s="1">
        <f>Table1[[#This Row],[average]]-SQRT(Table1[[#This Row],[stdev]])</f>
        <v>-1.0345186792910244E-2</v>
      </c>
    </row>
    <row r="23" spans="1:22" ht="30" customHeight="1">
      <c r="A23" t="s">
        <v>26</v>
      </c>
      <c r="B23" t="str">
        <f>_xlfn.TEXTBEFORE(Table1[[#This Row],[condition]],"-")</f>
        <v>german</v>
      </c>
      <c r="C23" t="b">
        <f>LEFT(Table1[[#This Row],[encoding]],3)=C$1</f>
        <v>0</v>
      </c>
      <c r="D23" t="b">
        <f>LEFT(Table1[[#This Row],[encoding]],2)=D$1</f>
        <v>0</v>
      </c>
      <c r="E23" t="b">
        <f t="shared" si="0"/>
        <v>1</v>
      </c>
      <c r="F23" t="str">
        <f>_xlfn.TEXTAFTER(Table1[[#This Row],[condition]],"-")</f>
        <v>1g</v>
      </c>
      <c r="G23" s="1">
        <v>0.90490189880011995</v>
      </c>
      <c r="H23" s="1">
        <v>0.79329672893408798</v>
      </c>
      <c r="I23" s="1">
        <v>0.78332620028047595</v>
      </c>
      <c r="J23" s="1">
        <v>0.65624988122946304</v>
      </c>
      <c r="K23" s="1">
        <v>0.493921615283402</v>
      </c>
      <c r="L23" s="1">
        <v>0.45713826837200899</v>
      </c>
      <c r="M23" s="1">
        <v>0.57023193783737003</v>
      </c>
      <c r="N23" s="1">
        <v>0.40413312427077402</v>
      </c>
      <c r="O23" s="1">
        <v>0.46575970279096801</v>
      </c>
      <c r="P23" s="1">
        <v>0.20249935578358899</v>
      </c>
      <c r="Q23" s="1">
        <v>0.42305506335528797</v>
      </c>
      <c r="R23" s="1">
        <v>0.14153271637606701</v>
      </c>
      <c r="S23" s="1">
        <v>0.35401390498837498</v>
      </c>
      <c r="T23" s="1">
        <f t="shared" si="1"/>
        <v>0.51154310756169141</v>
      </c>
      <c r="U23" s="3">
        <f t="shared" si="2"/>
        <v>0.2262615489396575</v>
      </c>
      <c r="V23" s="1">
        <f>Table1[[#This Row],[average]]-SQRT(Table1[[#This Row],[stdev]])</f>
        <v>3.5873527979753572E-2</v>
      </c>
    </row>
    <row r="24" spans="1:22" ht="30" customHeight="1">
      <c r="A24" t="s">
        <v>27</v>
      </c>
      <c r="B24" t="str">
        <f>_xlfn.TEXTBEFORE(Table1[[#This Row],[condition]],"-")</f>
        <v>german</v>
      </c>
      <c r="C24" t="b">
        <f>LEFT(Table1[[#This Row],[encoding]],3)=C$1</f>
        <v>0</v>
      </c>
      <c r="D24" t="b">
        <f>LEFT(Table1[[#This Row],[encoding]],2)=D$1</f>
        <v>0</v>
      </c>
      <c r="E24" t="b">
        <f t="shared" si="0"/>
        <v>1</v>
      </c>
      <c r="F24" t="str">
        <f>_xlfn.TEXTAFTER(Table1[[#This Row],[condition]],"-")</f>
        <v>2g</v>
      </c>
      <c r="G24" s="1">
        <v>0.66623791601519899</v>
      </c>
      <c r="H24" s="1">
        <v>0.53603232691762703</v>
      </c>
      <c r="I24" s="1">
        <v>0.67628457055884506</v>
      </c>
      <c r="J24" s="1">
        <v>0.53439020673359905</v>
      </c>
      <c r="K24" s="1">
        <v>0.373445694092497</v>
      </c>
      <c r="L24" s="1">
        <v>0.32718638698651098</v>
      </c>
      <c r="M24" s="1">
        <v>0.39754204853304898</v>
      </c>
      <c r="N24" s="1">
        <v>0.29213131826774102</v>
      </c>
      <c r="O24" s="1">
        <v>0.15340006382896701</v>
      </c>
      <c r="P24" s="1">
        <v>0.21944698840846399</v>
      </c>
      <c r="Q24" s="1">
        <v>0.3868872849228</v>
      </c>
      <c r="R24" s="1">
        <v>0.47362778004297001</v>
      </c>
      <c r="S24" s="1">
        <v>0.34652503614441899</v>
      </c>
      <c r="T24" s="1">
        <f t="shared" si="1"/>
        <v>0.41408750934251448</v>
      </c>
      <c r="U24" s="3">
        <f t="shared" si="2"/>
        <v>0.15830179287339091</v>
      </c>
      <c r="V24" s="1">
        <f>Table1[[#This Row],[average]]-SQRT(Table1[[#This Row],[stdev]])</f>
        <v>1.6215930974077974E-2</v>
      </c>
    </row>
    <row r="25" spans="1:22" ht="30" customHeight="1">
      <c r="A25" t="s">
        <v>28</v>
      </c>
      <c r="B25" t="str">
        <f>_xlfn.TEXTBEFORE(Table1[[#This Row],[condition]],"-")</f>
        <v>german</v>
      </c>
      <c r="C25" t="b">
        <f>LEFT(Table1[[#This Row],[encoding]],3)=C$1</f>
        <v>0</v>
      </c>
      <c r="D25" t="b">
        <f>LEFT(Table1[[#This Row],[encoding]],2)=D$1</f>
        <v>0</v>
      </c>
      <c r="E25" t="b">
        <f t="shared" si="0"/>
        <v>1</v>
      </c>
      <c r="F25" t="str">
        <f>_xlfn.TEXTAFTER(Table1[[#This Row],[condition]],"-")</f>
        <v>3g</v>
      </c>
      <c r="G25" s="1">
        <v>0.69236511292257297</v>
      </c>
      <c r="H25" s="1">
        <v>0.73835663390375905</v>
      </c>
      <c r="I25" s="1">
        <v>0.47616324289734202</v>
      </c>
      <c r="J25" s="1">
        <v>0.47768127849203501</v>
      </c>
      <c r="K25" s="1">
        <v>0.69702573903148102</v>
      </c>
      <c r="L25" s="1">
        <v>0.46117553770768599</v>
      </c>
      <c r="M25" s="1">
        <v>0.61647901551014705</v>
      </c>
      <c r="N25" s="1">
        <v>0.166961606871459</v>
      </c>
      <c r="O25" s="1">
        <v>0.15394037732944399</v>
      </c>
      <c r="P25" s="1">
        <v>0.25807068108229098</v>
      </c>
      <c r="Q25" s="1">
        <v>0.24969770356086901</v>
      </c>
      <c r="R25" s="1">
        <v>0.41527347919407198</v>
      </c>
      <c r="S25" s="1">
        <v>0.28599480765989299</v>
      </c>
      <c r="T25" s="1">
        <f t="shared" si="1"/>
        <v>0.4376296320125424</v>
      </c>
      <c r="U25" s="3">
        <f t="shared" si="2"/>
        <v>0.20474318010945797</v>
      </c>
      <c r="V25" s="1">
        <f>Table1[[#This Row],[average]]-SQRT(Table1[[#This Row],[stdev]])</f>
        <v>-1.4855925888986599E-2</v>
      </c>
    </row>
    <row r="26" spans="1:22" ht="30" customHeight="1">
      <c r="A26" t="s">
        <v>29</v>
      </c>
      <c r="B26" t="str">
        <f>_xlfn.TEXTBEFORE(Table1[[#This Row],[condition]],"-")</f>
        <v>german</v>
      </c>
      <c r="C26" t="b">
        <f>LEFT(Table1[[#This Row],[encoding]],3)=C$1</f>
        <v>0</v>
      </c>
      <c r="D26" t="b">
        <f>LEFT(Table1[[#This Row],[encoding]],2)=D$1</f>
        <v>1</v>
      </c>
      <c r="E26" t="b">
        <f t="shared" si="0"/>
        <v>0</v>
      </c>
      <c r="F26" t="str">
        <f>_xlfn.TEXTAFTER(Table1[[#This Row],[condition]],"-")</f>
        <v>sk2g</v>
      </c>
      <c r="G26" s="1">
        <v>0.47244152262623901</v>
      </c>
      <c r="H26" s="1">
        <v>0.65295349367325295</v>
      </c>
      <c r="I26" s="1">
        <v>0.70895451404011101</v>
      </c>
      <c r="J26" s="1">
        <v>0.43558199276790099</v>
      </c>
      <c r="K26" s="1">
        <v>0.55519571844313997</v>
      </c>
      <c r="L26" s="1">
        <v>0.30258113592965502</v>
      </c>
      <c r="M26" s="1">
        <v>0.46823222045907598</v>
      </c>
      <c r="N26" s="1">
        <v>0.31216658060360702</v>
      </c>
      <c r="O26" s="1">
        <v>0.34924971026082402</v>
      </c>
      <c r="P26" s="1">
        <v>0.39629448083400098</v>
      </c>
      <c r="Q26" s="1">
        <v>0.24927459366104299</v>
      </c>
      <c r="R26" s="1">
        <v>0.33918726552084799</v>
      </c>
      <c r="S26" s="1">
        <v>0.37201990632738602</v>
      </c>
      <c r="T26" s="1">
        <f t="shared" si="1"/>
        <v>0.43185639501131412</v>
      </c>
      <c r="U26" s="3">
        <f t="shared" si="2"/>
        <v>0.13798987346953828</v>
      </c>
      <c r="V26" s="1">
        <f>Table1[[#This Row],[average]]-SQRT(Table1[[#This Row],[stdev]])</f>
        <v>6.0386512693059058E-2</v>
      </c>
    </row>
    <row r="27" spans="1:22" ht="30" customHeight="1">
      <c r="A27" t="s">
        <v>30</v>
      </c>
      <c r="B27" t="str">
        <f>_xlfn.TEXTBEFORE(Table1[[#This Row],[condition]],"-")</f>
        <v>german</v>
      </c>
      <c r="C27" t="b">
        <f>LEFT(Table1[[#This Row],[encoding]],3)=C$1</f>
        <v>0</v>
      </c>
      <c r="D27" t="b">
        <f>LEFT(Table1[[#This Row],[encoding]],2)=D$1</f>
        <v>1</v>
      </c>
      <c r="E27" t="b">
        <f t="shared" si="0"/>
        <v>0</v>
      </c>
      <c r="F27" t="str">
        <f>_xlfn.TEXTAFTER(Table1[[#This Row],[condition]],"-")</f>
        <v>sk3g</v>
      </c>
      <c r="G27" s="1">
        <v>0.66454965374001895</v>
      </c>
      <c r="H27" s="1">
        <v>0.64608866496186101</v>
      </c>
      <c r="I27" s="1">
        <v>0.52245489981063498</v>
      </c>
      <c r="J27" s="1">
        <v>0.51757047532018996</v>
      </c>
      <c r="K27" s="1">
        <v>0.46828490330212902</v>
      </c>
      <c r="L27" s="1">
        <v>0.36417862807243001</v>
      </c>
      <c r="M27" s="1">
        <v>0.29747350000849898</v>
      </c>
      <c r="N27" s="1">
        <v>0.56433154194413004</v>
      </c>
      <c r="O27" s="1">
        <v>0.279126149397664</v>
      </c>
      <c r="P27" s="1">
        <v>0</v>
      </c>
      <c r="Q27" s="1">
        <v>0.55813696463560103</v>
      </c>
      <c r="R27" s="1">
        <v>0.25112969602933499</v>
      </c>
      <c r="S27" s="1">
        <v>0.217965207219777</v>
      </c>
      <c r="T27" s="1">
        <f t="shared" si="1"/>
        <v>0.41163771418786688</v>
      </c>
      <c r="U27" s="3">
        <f t="shared" si="2"/>
        <v>0.19493222208758323</v>
      </c>
      <c r="V27" s="1">
        <f>Table1[[#This Row],[average]]-SQRT(Table1[[#This Row],[stdev]])</f>
        <v>-2.9873579085117508E-2</v>
      </c>
    </row>
    <row r="28" spans="1:22" ht="30" customHeight="1">
      <c r="A28" t="s">
        <v>43</v>
      </c>
      <c r="B28" t="str">
        <f>_xlfn.TEXTBEFORE(Table1[[#This Row],[condition]],"-")</f>
        <v>german</v>
      </c>
      <c r="C28" t="b">
        <f>LEFT(Table1[[#This Row],[encoding]],3)=C$1</f>
        <v>1</v>
      </c>
      <c r="D28" t="b">
        <f>LEFT(Table1[[#This Row],[encoding]],2)=D$1</f>
        <v>0</v>
      </c>
      <c r="E28" t="b">
        <f t="shared" si="0"/>
        <v>0</v>
      </c>
      <c r="F28" t="str">
        <f>_xlfn.TEXTAFTER(Table1[[#This Row],[condition]],"-")</f>
        <v>xsk2g</v>
      </c>
      <c r="G28" s="1">
        <v>1</v>
      </c>
      <c r="H28" s="1">
        <v>0.56931229544778394</v>
      </c>
      <c r="I28" s="1">
        <v>0.62872175357123505</v>
      </c>
      <c r="J28" s="1">
        <v>0.57397942097941301</v>
      </c>
      <c r="K28" s="1">
        <v>0.36861322510052003</v>
      </c>
      <c r="L28" s="1">
        <v>0.45063900937385898</v>
      </c>
      <c r="M28" s="1">
        <v>0.57840060118176095</v>
      </c>
      <c r="N28" s="1">
        <v>0.47177940595393503</v>
      </c>
      <c r="O28" s="1">
        <v>0.68155485044860198</v>
      </c>
      <c r="P28" s="1">
        <v>0.43640881168923101</v>
      </c>
      <c r="Q28" s="1">
        <v>0.29752166564087801</v>
      </c>
      <c r="R28" s="1">
        <v>0.36104701367472503</v>
      </c>
      <c r="S28" s="1">
        <v>0.56492391883204696</v>
      </c>
      <c r="T28" s="1">
        <f t="shared" si="1"/>
        <v>0.53714630553030684</v>
      </c>
      <c r="U28" s="3">
        <f t="shared" si="2"/>
        <v>0.17960071208384604</v>
      </c>
      <c r="V28" s="1">
        <f>Table1[[#This Row],[average]]-SQRT(Table1[[#This Row],[stdev]])</f>
        <v>0.11335306338993711</v>
      </c>
    </row>
    <row r="29" spans="1:22" ht="30" customHeight="1">
      <c r="A29" t="s">
        <v>44</v>
      </c>
      <c r="B29" t="str">
        <f>_xlfn.TEXTBEFORE(Table1[[#This Row],[condition]],"-")</f>
        <v>german</v>
      </c>
      <c r="C29" t="b">
        <f>LEFT(Table1[[#This Row],[encoding]],3)=C$1</f>
        <v>1</v>
      </c>
      <c r="D29" t="b">
        <f>LEFT(Table1[[#This Row],[encoding]],2)=D$1</f>
        <v>0</v>
      </c>
      <c r="E29" t="b">
        <f t="shared" si="0"/>
        <v>0</v>
      </c>
      <c r="F29" t="str">
        <f>_xlfn.TEXTAFTER(Table1[[#This Row],[condition]],"-")</f>
        <v>xsk3g</v>
      </c>
      <c r="G29" s="1">
        <v>0.65003132991451895</v>
      </c>
      <c r="H29" s="1">
        <v>0.69506540801727401</v>
      </c>
      <c r="I29" s="1">
        <v>0.54824198513445399</v>
      </c>
      <c r="J29" s="1">
        <v>0.47614755915352702</v>
      </c>
      <c r="K29" s="1">
        <v>0.353553123201991</v>
      </c>
      <c r="L29" s="1">
        <v>0.75225425730575801</v>
      </c>
      <c r="M29" s="1">
        <v>0.28593683945238002</v>
      </c>
      <c r="N29" s="1">
        <v>0.60059287935879702</v>
      </c>
      <c r="O29" s="1">
        <v>0.55468918051080696</v>
      </c>
      <c r="P29" s="1">
        <v>0.34255341676895701</v>
      </c>
      <c r="Q29" s="1">
        <v>0.34187002669621502</v>
      </c>
      <c r="R29" s="1">
        <v>0.31641266936047702</v>
      </c>
      <c r="S29" s="1">
        <v>0.24947801326102401</v>
      </c>
      <c r="T29" s="1">
        <f t="shared" si="1"/>
        <v>0.47437128370278309</v>
      </c>
      <c r="U29" s="3">
        <f t="shared" si="2"/>
        <v>0.16960473523646322</v>
      </c>
      <c r="V29" s="1">
        <f>Table1[[#This Row],[average]]-SQRT(Table1[[#This Row],[stdev]])</f>
        <v>6.2540329018141605E-2</v>
      </c>
    </row>
    <row r="30" spans="1:22" ht="30" customHeight="1">
      <c r="A30" t="s">
        <v>31</v>
      </c>
      <c r="B30" t="str">
        <f>_xlfn.TEXTBEFORE(Table1[[#This Row],[condition]],"-")</f>
        <v>russian</v>
      </c>
      <c r="C30" t="b">
        <f>LEFT(Table1[[#This Row],[encoding]],3)=C$1</f>
        <v>0</v>
      </c>
      <c r="D30" t="b">
        <f>LEFT(Table1[[#This Row],[encoding]],2)=D$1</f>
        <v>0</v>
      </c>
      <c r="E30" t="b">
        <f t="shared" si="0"/>
        <v>1</v>
      </c>
      <c r="F30" t="str">
        <f>_xlfn.TEXTAFTER(Table1[[#This Row],[condition]],"-")</f>
        <v>1g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f t="shared" si="1"/>
        <v>1</v>
      </c>
      <c r="U30" s="3">
        <f t="shared" si="2"/>
        <v>0</v>
      </c>
      <c r="V30" s="1">
        <f>Table1[[#This Row],[average]]-SQRT(Table1[[#This Row],[stdev]])</f>
        <v>1</v>
      </c>
    </row>
    <row r="31" spans="1:22" ht="30" customHeight="1">
      <c r="A31" t="s">
        <v>32</v>
      </c>
      <c r="B31" t="str">
        <f>_xlfn.TEXTBEFORE(Table1[[#This Row],[condition]],"-")</f>
        <v>russian</v>
      </c>
      <c r="C31" t="b">
        <f>LEFT(Table1[[#This Row],[encoding]],3)=C$1</f>
        <v>0</v>
      </c>
      <c r="D31" t="b">
        <f>LEFT(Table1[[#This Row],[encoding]],2)=D$1</f>
        <v>0</v>
      </c>
      <c r="E31" t="b">
        <f t="shared" si="0"/>
        <v>1</v>
      </c>
      <c r="F31" t="str">
        <f>_xlfn.TEXTAFTER(Table1[[#This Row],[condition]],"-")</f>
        <v>2g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f t="shared" si="1"/>
        <v>1</v>
      </c>
      <c r="U31" s="3">
        <f t="shared" si="2"/>
        <v>0</v>
      </c>
      <c r="V31" s="1">
        <f>Table1[[#This Row],[average]]-SQRT(Table1[[#This Row],[stdev]])</f>
        <v>1</v>
      </c>
    </row>
    <row r="32" spans="1:22" ht="30" customHeight="1">
      <c r="A32" t="s">
        <v>33</v>
      </c>
      <c r="B32" t="str">
        <f>_xlfn.TEXTBEFORE(Table1[[#This Row],[condition]],"-")</f>
        <v>russian</v>
      </c>
      <c r="C32" t="b">
        <f>LEFT(Table1[[#This Row],[encoding]],3)=C$1</f>
        <v>0</v>
      </c>
      <c r="D32" t="b">
        <f>LEFT(Table1[[#This Row],[encoding]],2)=D$1</f>
        <v>0</v>
      </c>
      <c r="E32" t="b">
        <f t="shared" si="0"/>
        <v>1</v>
      </c>
      <c r="F32" t="str">
        <f>_xlfn.TEXTAFTER(Table1[[#This Row],[condition]],"-")</f>
        <v>3g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f t="shared" si="1"/>
        <v>1</v>
      </c>
      <c r="U32" s="3">
        <f t="shared" si="2"/>
        <v>0</v>
      </c>
      <c r="V32" s="1">
        <f>Table1[[#This Row],[average]]-SQRT(Table1[[#This Row],[stdev]])</f>
        <v>1</v>
      </c>
    </row>
    <row r="33" spans="1:22" ht="30" customHeight="1">
      <c r="A33" t="s">
        <v>34</v>
      </c>
      <c r="B33" t="str">
        <f>_xlfn.TEXTBEFORE(Table1[[#This Row],[condition]],"-")</f>
        <v>russian</v>
      </c>
      <c r="C33" t="b">
        <f>LEFT(Table1[[#This Row],[encoding]],3)=C$1</f>
        <v>0</v>
      </c>
      <c r="D33" t="b">
        <f>LEFT(Table1[[#This Row],[encoding]],2)=D$1</f>
        <v>1</v>
      </c>
      <c r="E33" t="b">
        <f t="shared" si="0"/>
        <v>0</v>
      </c>
      <c r="F33" t="str">
        <f>_xlfn.TEXTAFTER(Table1[[#This Row],[condition]],"-")</f>
        <v>sk2g</v>
      </c>
      <c r="G33" s="1">
        <v>0.99558758096830202</v>
      </c>
      <c r="H33" s="1">
        <v>1</v>
      </c>
      <c r="I33" s="1">
        <v>1</v>
      </c>
      <c r="J33" s="1">
        <v>0.99976190447845703</v>
      </c>
      <c r="K33" s="1">
        <v>0.99875774863915401</v>
      </c>
      <c r="L33" s="1">
        <v>0.99873733146369303</v>
      </c>
      <c r="M33" s="1">
        <v>1</v>
      </c>
      <c r="N33" s="1">
        <v>1</v>
      </c>
      <c r="O33" s="1">
        <v>1</v>
      </c>
      <c r="P33" s="1">
        <v>0.99046233260439398</v>
      </c>
      <c r="Q33" s="1">
        <v>1</v>
      </c>
      <c r="R33" s="1">
        <v>1</v>
      </c>
      <c r="S33" s="1">
        <v>1</v>
      </c>
      <c r="T33" s="1">
        <f t="shared" si="1"/>
        <v>0.99871591524261549</v>
      </c>
      <c r="U33" s="3">
        <f t="shared" si="2"/>
        <v>2.7718133832694762E-3</v>
      </c>
      <c r="V33" s="1">
        <f>Table1[[#This Row],[average]]-SQRT(Table1[[#This Row],[stdev]])</f>
        <v>0.94606790119394057</v>
      </c>
    </row>
    <row r="34" spans="1:22" ht="30" customHeight="1">
      <c r="A34" t="s">
        <v>35</v>
      </c>
      <c r="B34" t="str">
        <f>_xlfn.TEXTBEFORE(Table1[[#This Row],[condition]],"-")</f>
        <v>russian</v>
      </c>
      <c r="C34" t="b">
        <f>LEFT(Table1[[#This Row],[encoding]],3)=C$1</f>
        <v>0</v>
      </c>
      <c r="D34" t="b">
        <f>LEFT(Table1[[#This Row],[encoding]],2)=D$1</f>
        <v>1</v>
      </c>
      <c r="E34" t="b">
        <f t="shared" si="0"/>
        <v>0</v>
      </c>
      <c r="F34" t="str">
        <f>_xlfn.TEXTAFTER(Table1[[#This Row],[condition]],"-")</f>
        <v>sk3g</v>
      </c>
      <c r="G34" s="1">
        <v>0.97841124438280003</v>
      </c>
      <c r="H34" s="1">
        <v>1</v>
      </c>
      <c r="I34" s="1">
        <v>0.89700723703476604</v>
      </c>
      <c r="J34" s="1">
        <v>1</v>
      </c>
      <c r="K34" s="1">
        <v>0.99935938080315201</v>
      </c>
      <c r="L34" s="1">
        <v>0.79534301140742203</v>
      </c>
      <c r="M34" s="1">
        <v>1</v>
      </c>
      <c r="N34" s="1">
        <v>1</v>
      </c>
      <c r="O34" s="1">
        <v>1</v>
      </c>
      <c r="P34" s="1">
        <v>0.95887985344470195</v>
      </c>
      <c r="Q34" s="1">
        <v>0.99588458780222799</v>
      </c>
      <c r="R34" s="1">
        <v>0.58578643762690497</v>
      </c>
      <c r="S34" s="1">
        <v>0.44444283215868602</v>
      </c>
      <c r="T34" s="1">
        <f t="shared" si="1"/>
        <v>0.89654727574312765</v>
      </c>
      <c r="U34" s="3">
        <f t="shared" si="2"/>
        <v>0.1816018681068621</v>
      </c>
      <c r="V34" s="1">
        <f>Table1[[#This Row],[average]]-SQRT(Table1[[#This Row],[stdev]])</f>
        <v>0.47039956883053369</v>
      </c>
    </row>
    <row r="35" spans="1:22" ht="30" customHeight="1">
      <c r="A35" t="s">
        <v>45</v>
      </c>
      <c r="B35" t="str">
        <f>_xlfn.TEXTBEFORE(Table1[[#This Row],[condition]],"-")</f>
        <v>russian</v>
      </c>
      <c r="C35" t="b">
        <f>LEFT(Table1[[#This Row],[encoding]],3)=C$1</f>
        <v>1</v>
      </c>
      <c r="D35" t="b">
        <f>LEFT(Table1[[#This Row],[encoding]],2)=D$1</f>
        <v>0</v>
      </c>
      <c r="E35" t="b">
        <f t="shared" si="0"/>
        <v>0</v>
      </c>
      <c r="F35" t="str">
        <f>_xlfn.TEXTAFTER(Table1[[#This Row],[condition]],"-")</f>
        <v>xsk2g</v>
      </c>
      <c r="G35" s="1">
        <v>0.98951435777046903</v>
      </c>
      <c r="H35" s="1">
        <v>0.99228495120037197</v>
      </c>
      <c r="I35" s="1">
        <v>0.99641454196788304</v>
      </c>
      <c r="J35" s="1">
        <v>0.91649837685195101</v>
      </c>
      <c r="K35" s="1">
        <v>0.99723930726551502</v>
      </c>
      <c r="L35" s="1">
        <v>0.99785214490059804</v>
      </c>
      <c r="M35" s="1">
        <v>0.98668006274969899</v>
      </c>
      <c r="N35" s="1">
        <v>0.814261334319899</v>
      </c>
      <c r="O35" s="1">
        <v>0.99418966256888897</v>
      </c>
      <c r="P35" s="1">
        <v>1</v>
      </c>
      <c r="Q35" s="1">
        <v>0.99579936073401998</v>
      </c>
      <c r="R35" s="1">
        <v>0.99749987498859205</v>
      </c>
      <c r="S35" s="1">
        <v>0.83395963199230705</v>
      </c>
      <c r="T35" s="1">
        <f t="shared" si="1"/>
        <v>0.96247643133155336</v>
      </c>
      <c r="U35" s="3">
        <f t="shared" si="2"/>
        <v>6.5298148112452659E-2</v>
      </c>
      <c r="V35" s="1">
        <f>Table1[[#This Row],[average]]-SQRT(Table1[[#This Row],[stdev]])</f>
        <v>0.70694140807162398</v>
      </c>
    </row>
    <row r="36" spans="1:22" ht="30" customHeight="1">
      <c r="A36" t="s">
        <v>46</v>
      </c>
      <c r="B36" t="str">
        <f>_xlfn.TEXTBEFORE(Table1[[#This Row],[condition]],"-")</f>
        <v>russian</v>
      </c>
      <c r="C36" t="b">
        <f>LEFT(Table1[[#This Row],[encoding]],3)=C$1</f>
        <v>1</v>
      </c>
      <c r="D36" t="b">
        <f>LEFT(Table1[[#This Row],[encoding]],2)=D$1</f>
        <v>0</v>
      </c>
      <c r="E36" t="b">
        <f t="shared" si="0"/>
        <v>0</v>
      </c>
      <c r="F36" t="str">
        <f>_xlfn.TEXTAFTER(Table1[[#This Row],[condition]],"-")</f>
        <v>xsk3g</v>
      </c>
      <c r="G36" s="1">
        <v>0.99812345742694997</v>
      </c>
      <c r="H36" s="1">
        <v>0.98840653990989602</v>
      </c>
      <c r="I36" s="1">
        <v>0.99353058198944999</v>
      </c>
      <c r="J36" s="1">
        <v>0.87681505853693198</v>
      </c>
      <c r="K36" s="1">
        <v>0.99963436889598201</v>
      </c>
      <c r="L36" s="1">
        <v>0.82114280109273297</v>
      </c>
      <c r="M36" s="1">
        <v>0.98066577369969599</v>
      </c>
      <c r="N36" s="1">
        <v>0.98221105986053103</v>
      </c>
      <c r="O36" s="1">
        <v>0.98351200240552705</v>
      </c>
      <c r="P36" s="1">
        <v>0.58986743547824905</v>
      </c>
      <c r="Q36" s="1">
        <v>0.94259818731117795</v>
      </c>
      <c r="R36" s="1">
        <v>0.99767981438514997</v>
      </c>
      <c r="S36" s="1">
        <v>0.99937888174795697</v>
      </c>
      <c r="T36" s="1">
        <f t="shared" si="1"/>
        <v>0.93488968944155615</v>
      </c>
      <c r="U36" s="3">
        <f t="shared" si="2"/>
        <v>0.11715528567827493</v>
      </c>
      <c r="V36" s="1">
        <f>Table1[[#This Row],[average]]-SQRT(Table1[[#This Row],[stdev]])</f>
        <v>0.59261014626335951</v>
      </c>
    </row>
    <row r="39" spans="1:22" ht="30" customHeight="1">
      <c r="F39" t="s">
        <v>53</v>
      </c>
      <c r="G39" s="2">
        <f>_xlfn.LET(_xlpm.d,G$2:G$36,AVERAGE(_xlpm.d))</f>
        <v>0.78300118565461507</v>
      </c>
      <c r="H39" s="2">
        <f t="shared" ref="H39:T39" si="3">_xlfn.LET(_xlpm.d,H$2:H$36,AVERAGE(_xlpm.d))</f>
        <v>0.73899648571804</v>
      </c>
      <c r="I39" s="2">
        <f t="shared" si="3"/>
        <v>0.70094199834796489</v>
      </c>
      <c r="J39" s="2">
        <f t="shared" si="3"/>
        <v>0.66362254575980573</v>
      </c>
      <c r="K39" s="2">
        <f t="shared" si="3"/>
        <v>0.65966123884740413</v>
      </c>
      <c r="L39" s="2">
        <f t="shared" si="3"/>
        <v>0.63855496669286171</v>
      </c>
      <c r="M39" s="2">
        <f t="shared" si="3"/>
        <v>0.61437970210409631</v>
      </c>
      <c r="N39" s="2">
        <f t="shared" si="3"/>
        <v>0.56608332756693525</v>
      </c>
      <c r="O39" s="2">
        <f t="shared" si="3"/>
        <v>0.57189262452470491</v>
      </c>
      <c r="P39" s="2">
        <f t="shared" si="3"/>
        <v>0.55709927591299491</v>
      </c>
      <c r="Q39" s="2">
        <f t="shared" si="3"/>
        <v>0.56042242890901606</v>
      </c>
      <c r="R39" s="2">
        <f t="shared" si="3"/>
        <v>0.53428251080014177</v>
      </c>
      <c r="S39" s="2">
        <f t="shared" si="3"/>
        <v>0.52710759108568739</v>
      </c>
      <c r="T39" s="2">
        <f t="shared" si="3"/>
        <v>0.62431122168648223</v>
      </c>
      <c r="U39">
        <f>_xlfn.LET(_xlpm.d,$G39:$S39,STDEV(_xlpm.d))</f>
        <v>8.1442796240517396E-2</v>
      </c>
    </row>
    <row r="40" spans="1:22" ht="30" customHeight="1">
      <c r="F40" t="s">
        <v>60</v>
      </c>
      <c r="G40" s="2">
        <f>_xlfn.LET(_xlpm.d,G$2:G$36,_xlpm.f,$E$2:$E$36,AVERAGE(_xlfn._xlws.FILTER(_xlpm.d,_xlpm.f)))</f>
        <v>0.79720232142610525</v>
      </c>
      <c r="H40" s="2">
        <f t="shared" ref="H40:T40" si="4">_xlfn.LET(_xlpm.d,H$2:H$36,_xlpm.f,$E$2:$E$36,AVERAGE(_xlfn._xlws.FILTER(_xlpm.d,_xlpm.f)))</f>
        <v>0.76935664336930831</v>
      </c>
      <c r="I40" s="2">
        <f t="shared" si="4"/>
        <v>0.70807311937973294</v>
      </c>
      <c r="J40" s="2">
        <f t="shared" si="4"/>
        <v>0.69125167983041869</v>
      </c>
      <c r="K40" s="2">
        <f t="shared" si="4"/>
        <v>0.66642778825628213</v>
      </c>
      <c r="L40" s="2">
        <f t="shared" si="4"/>
        <v>0.63799944525849217</v>
      </c>
      <c r="M40" s="2">
        <f t="shared" si="4"/>
        <v>0.58538116808777085</v>
      </c>
      <c r="N40" s="2">
        <f t="shared" si="4"/>
        <v>0.52985396477923574</v>
      </c>
      <c r="O40" s="2">
        <f t="shared" si="4"/>
        <v>0.53276103878403713</v>
      </c>
      <c r="P40" s="2">
        <f t="shared" si="4"/>
        <v>0.54768376929450391</v>
      </c>
      <c r="Q40" s="2">
        <f t="shared" si="4"/>
        <v>0.5563269535512394</v>
      </c>
      <c r="R40" s="2">
        <f t="shared" si="4"/>
        <v>0.52575157797542627</v>
      </c>
      <c r="S40" s="2">
        <f t="shared" si="4"/>
        <v>0.5537807297795857</v>
      </c>
      <c r="T40" s="2">
        <f t="shared" si="4"/>
        <v>0.62321924613631841</v>
      </c>
      <c r="U40">
        <f t="shared" ref="U40:U42" si="5">_xlfn.LET(_xlpm.d,$G40:$S40,STDEV(_xlpm.d))</f>
        <v>9.5032274230274355E-2</v>
      </c>
    </row>
    <row r="41" spans="1:22" ht="30" customHeight="1">
      <c r="F41" t="s">
        <v>51</v>
      </c>
      <c r="G41" s="2">
        <f>_xlfn.LET(_xlpm.d,G$2:G$36,_xlpm.f,$D$2:$D$36,AVERAGE(_xlfn._xlws.FILTER(_xlpm.d,_xlpm.f)))</f>
        <v>0.74721947800475697</v>
      </c>
      <c r="H41" s="2">
        <f t="shared" ref="H41:T41" si="6">_xlfn.LET(_xlpm.d,H$2:H$36,_xlpm.f,$D$2:$D$36,AVERAGE(_xlfn._xlws.FILTER(_xlpm.d,_xlpm.f)))</f>
        <v>0.68500392039023184</v>
      </c>
      <c r="I41" s="2">
        <f t="shared" si="6"/>
        <v>0.69606856159150809</v>
      </c>
      <c r="J41" s="2">
        <f t="shared" si="6"/>
        <v>0.62400773486463068</v>
      </c>
      <c r="K41" s="2">
        <f t="shared" si="6"/>
        <v>0.67043487541904412</v>
      </c>
      <c r="L41" s="2">
        <f t="shared" si="6"/>
        <v>0.62926281260124417</v>
      </c>
      <c r="M41" s="2">
        <f t="shared" si="6"/>
        <v>0.67261489026445243</v>
      </c>
      <c r="N41" s="2">
        <f t="shared" si="6"/>
        <v>0.6099357773465337</v>
      </c>
      <c r="O41" s="2">
        <f t="shared" si="6"/>
        <v>0.59001196520448218</v>
      </c>
      <c r="P41" s="2">
        <f t="shared" si="6"/>
        <v>0.58128872379146623</v>
      </c>
      <c r="Q41" s="2">
        <f t="shared" si="6"/>
        <v>0.55206550045121483</v>
      </c>
      <c r="R41" s="2">
        <f t="shared" si="6"/>
        <v>0.55440911700567086</v>
      </c>
      <c r="S41" s="2">
        <f t="shared" si="6"/>
        <v>0.47880236977219609</v>
      </c>
      <c r="T41" s="2">
        <f t="shared" si="6"/>
        <v>0.62239428666980257</v>
      </c>
      <c r="U41">
        <f t="shared" si="5"/>
        <v>7.2393160950661978E-2</v>
      </c>
    </row>
    <row r="42" spans="1:22" ht="30" customHeight="1">
      <c r="F42" t="s">
        <v>50</v>
      </c>
      <c r="G42" s="2">
        <f>_xlfn.LET(_xlpm.d,G$2:G$36,_xlpm.f,$C$2:$C$36,AVERAGE(_xlfn._xlws.FILTER(_xlpm.d,_xlpm.f)))</f>
        <v>0.79748118964723835</v>
      </c>
      <c r="H42" s="2">
        <f t="shared" ref="H42:T42" si="7">_xlfn.LET(_xlpm.d,H$2:H$36,_xlpm.f,$C$2:$C$36,AVERAGE(_xlfn._xlws.FILTER(_xlpm.d,_xlpm.f)))</f>
        <v>0.74744881456894574</v>
      </c>
      <c r="I42" s="2">
        <f t="shared" si="7"/>
        <v>0.69511875355676966</v>
      </c>
      <c r="J42" s="2">
        <f t="shared" si="7"/>
        <v>0.66179365554906144</v>
      </c>
      <c r="K42" s="2">
        <f t="shared" si="7"/>
        <v>0.63873777816244703</v>
      </c>
      <c r="L42" s="2">
        <f t="shared" si="7"/>
        <v>0.64868040293603335</v>
      </c>
      <c r="M42" s="2">
        <f t="shared" si="7"/>
        <v>0.59964231496822862</v>
      </c>
      <c r="N42" s="2">
        <f t="shared" si="7"/>
        <v>0.57657492196888627</v>
      </c>
      <c r="O42" s="2">
        <f t="shared" si="7"/>
        <v>0.61247066245592929</v>
      </c>
      <c r="P42" s="2">
        <f t="shared" si="7"/>
        <v>0.54703308796226002</v>
      </c>
      <c r="Q42" s="2">
        <f t="shared" si="7"/>
        <v>0.57492257040348294</v>
      </c>
      <c r="R42" s="2">
        <f t="shared" si="7"/>
        <v>0.5269523038316859</v>
      </c>
      <c r="S42" s="2">
        <f t="shared" si="7"/>
        <v>0.53540310435833116</v>
      </c>
      <c r="T42" s="2">
        <f t="shared" si="7"/>
        <v>0.62786612002840758</v>
      </c>
      <c r="U42">
        <f t="shared" si="5"/>
        <v>8.2173145832611566E-2</v>
      </c>
    </row>
    <row r="44" spans="1:22" ht="30" customHeight="1">
      <c r="F44" t="s">
        <v>53</v>
      </c>
      <c r="G44" s="2">
        <f>_xlfn.LET(_xlpm.d,G$2:G$36,AVERAGE(_xlpm.d))</f>
        <v>0.78300118565461507</v>
      </c>
      <c r="H44" s="2">
        <f t="shared" ref="H44:T44" si="8">_xlfn.LET(_xlpm.d,H$2:H$36,AVERAGE(_xlpm.d))</f>
        <v>0.73899648571804</v>
      </c>
      <c r="I44" s="2">
        <f t="shared" si="8"/>
        <v>0.70094199834796489</v>
      </c>
      <c r="J44" s="2">
        <f t="shared" si="8"/>
        <v>0.66362254575980573</v>
      </c>
      <c r="K44" s="2">
        <f t="shared" si="8"/>
        <v>0.65966123884740413</v>
      </c>
      <c r="L44" s="2">
        <f t="shared" si="8"/>
        <v>0.63855496669286171</v>
      </c>
      <c r="M44" s="2">
        <f t="shared" si="8"/>
        <v>0.61437970210409631</v>
      </c>
      <c r="N44" s="2">
        <f t="shared" si="8"/>
        <v>0.56608332756693525</v>
      </c>
      <c r="O44" s="2">
        <f t="shared" si="8"/>
        <v>0.57189262452470491</v>
      </c>
      <c r="P44" s="2">
        <f t="shared" si="8"/>
        <v>0.55709927591299491</v>
      </c>
      <c r="Q44" s="2">
        <f t="shared" si="8"/>
        <v>0.56042242890901606</v>
      </c>
      <c r="R44" s="2">
        <f t="shared" si="8"/>
        <v>0.53428251080014177</v>
      </c>
      <c r="S44" s="2">
        <f t="shared" si="8"/>
        <v>0.52710759108568739</v>
      </c>
      <c r="T44" s="2">
        <f t="shared" si="8"/>
        <v>0.62431122168648223</v>
      </c>
    </row>
    <row r="45" spans="1:22" ht="30" customHeight="1">
      <c r="F45" t="s">
        <v>54</v>
      </c>
      <c r="G45" s="2" cm="1">
        <f t="array" ref="G45">_xlfn.LET(_xlpm.d,G$2:G$36,_xlpm.f,$B$2:$B$36,AVERAGE(_xlfn._xlws.FILTER(_xlpm.d,_xlpm.f=$F45)))</f>
        <v>0.98586847967934177</v>
      </c>
      <c r="H45" s="2" cm="1">
        <f t="array" ref="H45">_xlfn.LET(_xlpm.d,H$2:H$36,_xlpm.f,$B$2:$B$36,AVERAGE(_xlfn._xlws.FILTER(_xlpm.d,_xlpm.f=$F45)))</f>
        <v>0.99995214125963083</v>
      </c>
      <c r="I45" s="2" cm="1">
        <f t="array" ref="I45">_xlfn.LET(_xlpm.d,I$2:I$36,_xlpm.f,$B$2:$B$36,AVERAGE(_xlfn._xlws.FILTER(_xlpm.d,_xlpm.f=$F45)))</f>
        <v>0.98866129489798105</v>
      </c>
      <c r="J45" s="2" cm="1">
        <f t="array" ref="J45">_xlfn.LET(_xlpm.d,J$2:J$36,_xlpm.f,$B$2:$B$36,AVERAGE(_xlfn._xlws.FILTER(_xlpm.d,_xlpm.f=$F45)))</f>
        <v>0.96887039844095335</v>
      </c>
      <c r="K45" s="2" cm="1">
        <f t="array" ref="K45">_xlfn.LET(_xlpm.d,K$2:K$36,_xlpm.f,$B$2:$B$36,AVERAGE(_xlfn._xlws.FILTER(_xlpm.d,_xlpm.f=$F45)))</f>
        <v>0.98582595978939025</v>
      </c>
      <c r="L45" s="2" cm="1">
        <f t="array" ref="L45">_xlfn.LET(_xlpm.d,L$2:L$36,_xlpm.f,$B$2:$B$36,AVERAGE(_xlfn._xlws.FILTER(_xlpm.d,_xlpm.f=$F45)))</f>
        <v>0.98994249822608293</v>
      </c>
      <c r="M45" s="2" cm="1">
        <f t="array" ref="M45">_xlfn.LET(_xlpm.d,M$2:M$36,_xlpm.f,$B$2:$B$36,AVERAGE(_xlfn._xlws.FILTER(_xlpm.d,_xlpm.f=$F45)))</f>
        <v>0.99911214023811756</v>
      </c>
      <c r="N45" s="2" cm="1">
        <f t="array" ref="N45">_xlfn.LET(_xlpm.d,N$2:N$36,_xlpm.f,$B$2:$B$36,AVERAGE(_xlfn._xlws.FILTER(_xlpm.d,_xlpm.f=$F45)))</f>
        <v>0.99512637226193168</v>
      </c>
      <c r="O45" s="2" cm="1">
        <f t="array" ref="O45">_xlfn.LET(_xlpm.d,O$2:O$36,_xlpm.f,$B$2:$B$36,AVERAGE(_xlfn._xlws.FILTER(_xlpm.d,_xlpm.f=$F45)))</f>
        <v>0.99750945275441516</v>
      </c>
      <c r="P45" s="2" cm="1">
        <f t="array" ref="P45">_xlfn.LET(_xlpm.d,P$2:P$36,_xlpm.f,$B$2:$B$36,AVERAGE(_xlfn._xlws.FILTER(_xlpm.d,_xlpm.f=$F45)))</f>
        <v>1</v>
      </c>
      <c r="Q45" s="2" cm="1">
        <f t="array" ref="Q45">_xlfn.LET(_xlpm.d,Q$2:Q$36,_xlpm.f,$B$2:$B$36,AVERAGE(_xlfn._xlws.FILTER(_xlpm.d,_xlpm.f=$F45)))</f>
        <v>1</v>
      </c>
      <c r="R45" s="2" cm="1">
        <f t="array" ref="R45">_xlfn.LET(_xlpm.d,R$2:R$36,_xlpm.f,$B$2:$B$36,AVERAGE(_xlfn._xlws.FILTER(_xlpm.d,_xlpm.f=$F45)))</f>
        <v>0.97547717116407362</v>
      </c>
      <c r="S45" s="2" cm="1">
        <f t="array" ref="S45">_xlfn.LET(_xlpm.d,S$2:S$36,_xlpm.f,$B$2:$B$36,AVERAGE(_xlfn._xlws.FILTER(_xlpm.d,_xlpm.f=$F45)))</f>
        <v>0.97818438590592682</v>
      </c>
      <c r="T45" s="2" cm="1">
        <f t="array" ref="T45">_xlfn.LET(_xlpm.d,T$2:T$36,_xlpm.f,$B$2:$B$36,AVERAGE(_xlfn._xlws.FILTER(_xlpm.d,_xlpm.f=$F45)))</f>
        <v>0.98957925343214193</v>
      </c>
    </row>
    <row r="46" spans="1:22" ht="30" customHeight="1">
      <c r="F46" t="s">
        <v>56</v>
      </c>
      <c r="G46" s="2" cm="1">
        <f t="array" ref="G46">_xlfn.LET(_xlpm.d,G$2:G$36,_xlpm.f,$B$2:$B$36,AVERAGE(_xlfn._xlws.FILTER(_xlpm.d,_xlpm.f=$F46)))</f>
        <v>0.60761550604530434</v>
      </c>
      <c r="H46" s="2" cm="1">
        <f t="array" ref="H46">_xlfn.LET(_xlpm.d,H$2:H$36,_xlpm.f,$B$2:$B$36,AVERAGE(_xlfn._xlws.FILTER(_xlpm.d,_xlpm.f=$F46)))</f>
        <v>0.45000203218093027</v>
      </c>
      <c r="I46" s="2" cm="1">
        <f t="array" ref="I46">_xlfn.LET(_xlpm.d,I$2:I$36,_xlpm.f,$B$2:$B$36,AVERAGE(_xlfn._xlws.FILTER(_xlpm.d,_xlpm.f=$F46)))</f>
        <v>0.39918273967585571</v>
      </c>
      <c r="J46" s="2" cm="1">
        <f t="array" ref="J46">_xlfn.LET(_xlpm.d,J$2:J$36,_xlpm.f,$B$2:$B$36,AVERAGE(_xlfn._xlws.FILTER(_xlpm.d,_xlpm.f=$F46)))</f>
        <v>0.37539210513367888</v>
      </c>
      <c r="K46" s="2" cm="1">
        <f t="array" ref="K46">_xlfn.LET(_xlpm.d,K$2:K$36,_xlpm.f,$B$2:$B$36,AVERAGE(_xlfn._xlws.FILTER(_xlpm.d,_xlpm.f=$F46)))</f>
        <v>0.41216370764443511</v>
      </c>
      <c r="L46" s="2" cm="1">
        <f t="array" ref="L46">_xlfn.LET(_xlpm.d,L$2:L$36,_xlpm.f,$B$2:$B$36,AVERAGE(_xlfn._xlws.FILTER(_xlpm.d,_xlpm.f=$F46)))</f>
        <v>0.35196074156853613</v>
      </c>
      <c r="M46" s="2" cm="1">
        <f t="array" ref="M46">_xlfn.LET(_xlpm.d,M$2:M$36,_xlpm.f,$B$2:$B$36,AVERAGE(_xlfn._xlws.FILTER(_xlpm.d,_xlpm.f=$F46)))</f>
        <v>0.3201295012307982</v>
      </c>
      <c r="N46" s="2" cm="1">
        <f t="array" ref="N46">_xlfn.LET(_xlpm.d,N$2:N$36,_xlpm.f,$B$2:$B$36,AVERAGE(_xlfn._xlws.FILTER(_xlpm.d,_xlpm.f=$F46)))</f>
        <v>0.1323943814036363</v>
      </c>
      <c r="O46" s="2" cm="1">
        <f t="array" ref="O46">_xlfn.LET(_xlpm.d,O$2:O$36,_xlpm.f,$B$2:$B$36,AVERAGE(_xlfn._xlws.FILTER(_xlpm.d,_xlpm.f=$F46)))</f>
        <v>0.23498474637736957</v>
      </c>
      <c r="P46" s="2" cm="1">
        <f t="array" ref="P46">_xlfn.LET(_xlpm.d,P$2:P$36,_xlpm.f,$B$2:$B$36,AVERAGE(_xlfn._xlws.FILTER(_xlpm.d,_xlpm.f=$F46)))</f>
        <v>0.2303827730194816</v>
      </c>
      <c r="Q46" s="2" cm="1">
        <f t="array" ref="Q46">_xlfn.LET(_xlpm.d,Q$2:Q$36,_xlpm.f,$B$2:$B$36,AVERAGE(_xlfn._xlws.FILTER(_xlpm.d,_xlpm.f=$F46)))</f>
        <v>0.22087132986740002</v>
      </c>
      <c r="R46" s="2" cm="1">
        <f t="array" ref="R46">_xlfn.LET(_xlpm.d,R$2:R$36,_xlpm.f,$B$2:$B$36,AVERAGE(_xlfn._xlws.FILTER(_xlpm.d,_xlpm.f=$F46)))</f>
        <v>0.22687316340603397</v>
      </c>
      <c r="S46" s="2" cm="1">
        <f t="array" ref="S46">_xlfn.LET(_xlpm.d,S$2:S$36,_xlpm.f,$B$2:$B$36,AVERAGE(_xlfn._xlws.FILTER(_xlpm.d,_xlpm.f=$F46)))</f>
        <v>0.18844735327207185</v>
      </c>
      <c r="T46" s="2" cm="1">
        <f t="array" ref="T46">_xlfn.LET(_xlpm.d,T$2:T$36,_xlpm.f,$B$2:$B$36,AVERAGE(_xlfn._xlws.FILTER(_xlpm.d,_xlpm.f=$F46)))</f>
        <v>0.31926154467888707</v>
      </c>
    </row>
    <row r="47" spans="1:22" ht="30" customHeight="1">
      <c r="F47" t="s">
        <v>57</v>
      </c>
      <c r="G47" s="2" cm="1">
        <f t="array" ref="G47">_xlfn.LET(_xlpm.d,G$2:G$36,_xlpm.f,$B$2:$B$36,AVERAGE(_xlfn._xlws.FILTER(_xlpm.d,_xlpm.f=$F47)))</f>
        <v>0.60549850332454525</v>
      </c>
      <c r="H47" s="2" cm="1">
        <f t="array" ref="H47">_xlfn.LET(_xlpm.d,H$2:H$36,_xlpm.f,$B$2:$B$36,AVERAGE(_xlfn._xlws.FILTER(_xlpm.d,_xlpm.f=$F47)))</f>
        <v>0.58620010615450824</v>
      </c>
      <c r="I47" s="2" cm="1">
        <f t="array" ref="I47">_xlfn.LET(_xlpm.d,I$2:I$36,_xlpm.f,$B$2:$B$36,AVERAGE(_xlfn._xlws.FILTER(_xlpm.d,_xlpm.f=$F47)))</f>
        <v>0.51242316755381645</v>
      </c>
      <c r="J47" s="2" cm="1">
        <f t="array" ref="J47">_xlfn.LET(_xlpm.d,J$2:J$36,_xlpm.f,$B$2:$B$36,AVERAGE(_xlfn._xlws.FILTER(_xlpm.d,_xlpm.f=$F47)))</f>
        <v>0.47889648886104375</v>
      </c>
      <c r="K47" s="2" cm="1">
        <f t="array" ref="K47">_xlfn.LET(_xlpm.d,K$2:K$36,_xlpm.f,$B$2:$B$36,AVERAGE(_xlfn._xlws.FILTER(_xlpm.d,_xlpm.f=$F47)))</f>
        <v>0.42816926622334328</v>
      </c>
      <c r="L47" s="2" cm="1">
        <f t="array" ref="L47">_xlfn.LET(_xlpm.d,L$2:L$36,_xlpm.f,$B$2:$B$36,AVERAGE(_xlfn._xlws.FILTER(_xlpm.d,_xlpm.f=$F47)))</f>
        <v>0.46112466329649554</v>
      </c>
      <c r="M47" s="2" cm="1">
        <f t="array" ref="M47">_xlfn.LET(_xlpm.d,M$2:M$36,_xlpm.f,$B$2:$B$36,AVERAGE(_xlfn._xlws.FILTER(_xlpm.d,_xlpm.f=$F47)))</f>
        <v>0.29813658341846944</v>
      </c>
      <c r="N47" s="2" cm="1">
        <f t="array" ref="N47">_xlfn.LET(_xlpm.d,N$2:N$36,_xlpm.f,$B$2:$B$36,AVERAGE(_xlfn._xlws.FILTER(_xlpm.d,_xlpm.f=$F47)))</f>
        <v>0.33024319110469819</v>
      </c>
      <c r="O47" s="2" cm="1">
        <f t="array" ref="O47">_xlfn.LET(_xlpm.d,O$2:O$36,_xlpm.f,$B$2:$B$36,AVERAGE(_xlfn._xlws.FILTER(_xlpm.d,_xlpm.f=$F47)))</f>
        <v>0.253337252128641</v>
      </c>
      <c r="P47" s="2" cm="1">
        <f t="array" ref="P47">_xlfn.LET(_xlpm.d,P$2:P$36,_xlpm.f,$B$2:$B$36,AVERAGE(_xlfn._xlws.FILTER(_xlpm.d,_xlpm.f=$F47)))</f>
        <v>0.35590169853208159</v>
      </c>
      <c r="Q47" s="2" cm="1">
        <f t="array" ref="Q47">_xlfn.LET(_xlpm.d,Q$2:Q$36,_xlpm.f,$B$2:$B$36,AVERAGE(_xlfn._xlws.FILTER(_xlpm.d,_xlpm.f=$F47)))</f>
        <v>0.23256575206052116</v>
      </c>
      <c r="R47" s="2" cm="1">
        <f t="array" ref="R47">_xlfn.LET(_xlpm.d,R$2:R$36,_xlpm.f,$B$2:$B$36,AVERAGE(_xlfn._xlws.FILTER(_xlpm.d,_xlpm.f=$F47)))</f>
        <v>0.2006083984021523</v>
      </c>
      <c r="S47" s="2" cm="1">
        <f t="array" ref="S47">_xlfn.LET(_xlpm.d,S$2:S$36,_xlpm.f,$B$2:$B$36,AVERAGE(_xlfn._xlws.FILTER(_xlpm.d,_xlpm.f=$F47)))</f>
        <v>0.23052019620302802</v>
      </c>
      <c r="T47" s="2" cm="1">
        <f t="array" ref="T47">_xlfn.LET(_xlpm.d,T$2:T$36,_xlpm.f,$B$2:$B$36,AVERAGE(_xlfn._xlws.FILTER(_xlpm.d,_xlpm.f=$F47)))</f>
        <v>0.38258655902025723</v>
      </c>
    </row>
    <row r="48" spans="1:22" ht="30" customHeight="1">
      <c r="F48" t="s">
        <v>55</v>
      </c>
      <c r="G48" s="2" cm="1">
        <f t="array" ref="G48">_xlfn.LET(_xlpm.d,G$2:G$36,_xlpm.f,$B$2:$B$36,AVERAGE(_xlfn._xlws.FILTER(_xlpm.d,_xlpm.f=$F48)))</f>
        <v>0.72150391914552414</v>
      </c>
      <c r="H48" s="2" cm="1">
        <f t="array" ref="H48">_xlfn.LET(_xlpm.d,H$2:H$36,_xlpm.f,$B$2:$B$36,AVERAGE(_xlfn._xlws.FILTER(_xlpm.d,_xlpm.f=$F48)))</f>
        <v>0.66158650740794944</v>
      </c>
      <c r="I48" s="2" cm="1">
        <f t="array" ref="I48">_xlfn.LET(_xlpm.d,I$2:I$36,_xlpm.f,$B$2:$B$36,AVERAGE(_xlfn._xlws.FILTER(_xlpm.d,_xlpm.f=$F48)))</f>
        <v>0.62059245232758542</v>
      </c>
      <c r="J48" s="2" cm="1">
        <f t="array" ref="J48">_xlfn.LET(_xlpm.d,J$2:J$36,_xlpm.f,$B$2:$B$36,AVERAGE(_xlfn._xlws.FILTER(_xlpm.d,_xlpm.f=$F48)))</f>
        <v>0.52451440209658973</v>
      </c>
      <c r="K48" s="2" cm="1">
        <f t="array" ref="K48">_xlfn.LET(_xlpm.d,K$2:K$36,_xlpm.f,$B$2:$B$36,AVERAGE(_xlfn._xlws.FILTER(_xlpm.d,_xlpm.f=$F48)))</f>
        <v>0.47286285977930859</v>
      </c>
      <c r="L48" s="2" cm="1">
        <f t="array" ref="L48">_xlfn.LET(_xlpm.d,L$2:L$36,_xlpm.f,$B$2:$B$36,AVERAGE(_xlfn._xlws.FILTER(_xlpm.d,_xlpm.f=$F48)))</f>
        <v>0.44502188910684393</v>
      </c>
      <c r="M48" s="2" cm="1">
        <f t="array" ref="M48">_xlfn.LET(_xlpm.d,M$2:M$36,_xlpm.f,$B$2:$B$36,AVERAGE(_xlfn._xlws.FILTER(_xlpm.d,_xlpm.f=$F48)))</f>
        <v>0.45918516614032606</v>
      </c>
      <c r="N48" s="2" cm="1">
        <f t="array" ref="N48">_xlfn.LET(_xlpm.d,N$2:N$36,_xlpm.f,$B$2:$B$36,AVERAGE(_xlfn._xlws.FILTER(_xlpm.d,_xlpm.f=$F48)))</f>
        <v>0.40172806532434902</v>
      </c>
      <c r="O48" s="2" cm="1">
        <f t="array" ref="O48">_xlfn.LET(_xlpm.d,O$2:O$36,_xlpm.f,$B$2:$B$36,AVERAGE(_xlfn._xlws.FILTER(_xlpm.d,_xlpm.f=$F48)))</f>
        <v>0.37681714779532516</v>
      </c>
      <c r="P48" s="2" cm="1">
        <f t="array" ref="P48">_xlfn.LET(_xlpm.d,P$2:P$36,_xlpm.f,$B$2:$B$36,AVERAGE(_xlfn._xlws.FILTER(_xlpm.d,_xlpm.f=$F48)))</f>
        <v>0.26503910493807614</v>
      </c>
      <c r="Q48" s="2" cm="1">
        <f t="array" ref="Q48">_xlfn.LET(_xlpm.d,Q$2:Q$36,_xlpm.f,$B$2:$B$36,AVERAGE(_xlfn._xlws.FILTER(_xlpm.d,_xlpm.f=$F48)))</f>
        <v>0.35806332892467063</v>
      </c>
      <c r="R48" s="2" cm="1">
        <f t="array" ref="R48">_xlfn.LET(_xlpm.d,R$2:R$36,_xlpm.f,$B$2:$B$36,AVERAGE(_xlfn._xlws.FILTER(_xlpm.d,_xlpm.f=$F48)))</f>
        <v>0.32831580288549916</v>
      </c>
      <c r="S48" s="2" cm="1">
        <f t="array" ref="S48">_xlfn.LET(_xlpm.d,S$2:S$36,_xlpm.f,$B$2:$B$36,AVERAGE(_xlfn._xlws.FILTER(_xlpm.d,_xlpm.f=$F48)))</f>
        <v>0.34156011349041732</v>
      </c>
      <c r="T48" s="2" cm="1">
        <f t="array" ref="T48">_xlfn.LET(_xlpm.d,T$2:T$36,_xlpm.f,$B$2:$B$36,AVERAGE(_xlfn._xlws.FILTER(_xlpm.d,_xlpm.f=$F48)))</f>
        <v>0.4597531353355741</v>
      </c>
    </row>
    <row r="49" spans="6:20" ht="30" customHeight="1">
      <c r="F49" t="s">
        <v>58</v>
      </c>
      <c r="G49" s="2" cm="1">
        <f t="array" ref="G49">_xlfn.LET(_xlpm.d,G$2:G$36,_xlpm.f,$B$2:$B$36,AVERAGE(_xlfn._xlws.FILTER(_xlpm.d,_xlpm.f=$F49)))</f>
        <v>0.9945195200783602</v>
      </c>
      <c r="H49" s="2" cm="1">
        <f t="array" ref="H49">_xlfn.LET(_xlpm.d,H$2:H$36,_xlpm.f,$B$2:$B$36,AVERAGE(_xlfn._xlws.FILTER(_xlpm.d,_xlpm.f=$F49)))</f>
        <v>0.99724164158718109</v>
      </c>
      <c r="I49" s="2" cm="1">
        <f t="array" ref="I49">_xlfn.LET(_xlpm.d,I$2:I$36,_xlpm.f,$B$2:$B$36,AVERAGE(_xlfn._xlws.FILTER(_xlpm.d,_xlpm.f=$F49)))</f>
        <v>0.9838503372845856</v>
      </c>
      <c r="J49" s="2" cm="1">
        <f t="array" ref="J49">_xlfn.LET(_xlpm.d,J$2:J$36,_xlpm.f,$B$2:$B$36,AVERAGE(_xlfn._xlws.FILTER(_xlpm.d,_xlpm.f=$F49)))</f>
        <v>0.97043933426676288</v>
      </c>
      <c r="K49" s="2" cm="1">
        <f t="array" ref="K49">_xlfn.LET(_xlpm.d,K$2:K$36,_xlpm.f,$B$2:$B$36,AVERAGE(_xlfn._xlws.FILTER(_xlpm.d,_xlpm.f=$F49)))</f>
        <v>0.99928440080054326</v>
      </c>
      <c r="L49" s="2" cm="1">
        <f t="array" ref="L49">_xlfn.LET(_xlpm.d,L$2:L$36,_xlpm.f,$B$2:$B$36,AVERAGE(_xlfn._xlws.FILTER(_xlpm.d,_xlpm.f=$F49)))</f>
        <v>0.94472504126634949</v>
      </c>
      <c r="M49" s="2" cm="1">
        <f t="array" ref="M49">_xlfn.LET(_xlpm.d,M$2:M$36,_xlpm.f,$B$2:$B$36,AVERAGE(_xlfn._xlws.FILTER(_xlpm.d,_xlpm.f=$F49)))</f>
        <v>0.99533511949277076</v>
      </c>
      <c r="N49" s="2" cm="1">
        <f t="array" ref="N49">_xlfn.LET(_xlpm.d,N$2:N$36,_xlpm.f,$B$2:$B$36,AVERAGE(_xlfn._xlws.FILTER(_xlpm.d,_xlpm.f=$F49)))</f>
        <v>0.9709246277400615</v>
      </c>
      <c r="O49" s="2" cm="1">
        <f t="array" ref="O49">_xlfn.LET(_xlpm.d,O$2:O$36,_xlpm.f,$B$2:$B$36,AVERAGE(_xlfn._xlws.FILTER(_xlpm.d,_xlpm.f=$F49)))</f>
        <v>0.99681452356777378</v>
      </c>
      <c r="P49" s="2" cm="1">
        <f t="array" ref="P49">_xlfn.LET(_xlpm.d,P$2:P$36,_xlpm.f,$B$2:$B$36,AVERAGE(_xlfn._xlws.FILTER(_xlpm.d,_xlpm.f=$F49)))</f>
        <v>0.93417280307533501</v>
      </c>
      <c r="Q49" s="2" cm="1">
        <f t="array" ref="Q49">_xlfn.LET(_xlpm.d,Q$2:Q$36,_xlpm.f,$B$2:$B$36,AVERAGE(_xlfn._xlws.FILTER(_xlpm.d,_xlpm.f=$F49)))</f>
        <v>0.99061173369248956</v>
      </c>
      <c r="R49" s="2" cm="1">
        <f t="array" ref="R49">_xlfn.LET(_xlpm.d,R$2:R$36,_xlpm.f,$B$2:$B$36,AVERAGE(_xlfn._xlws.FILTER(_xlpm.d,_xlpm.f=$F49)))</f>
        <v>0.94013801814294962</v>
      </c>
      <c r="S49" s="2" cm="1">
        <f t="array" ref="S49">_xlfn.LET(_xlpm.d,S$2:S$36,_xlpm.f,$B$2:$B$36,AVERAGE(_xlfn._xlws.FILTER(_xlpm.d,_xlpm.f=$F49)))</f>
        <v>0.89682590655699279</v>
      </c>
      <c r="T49" s="2" cm="1">
        <f t="array" ref="T49">_xlfn.LET(_xlpm.d,T$2:T$36,_xlpm.f,$B$2:$B$36,AVERAGE(_xlfn._xlws.FILTER(_xlpm.d,_xlpm.f=$F49)))</f>
        <v>0.97037561596555044</v>
      </c>
    </row>
  </sheetData>
  <phoneticPr fontId="1" type="noConversion"/>
  <conditionalFormatting sqref="G2:S36">
    <cfRule type="colorScale" priority="8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39:T42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44:T49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3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V2:V36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aNA.simple.xsk-free</vt:lpstr>
      <vt:lpstr>aNA.simple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2025-09-10T05:28:18Z</dcterms:modified>
  <cp:category/>
</cp:coreProperties>
</file>