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13_ncr:1_{399FA812-4649-6F43-8277-95C45C4E7EF6}" xr6:coauthVersionLast="47" xr6:coauthVersionMax="47" xr10:uidLastSave="{00000000-0000-0000-0000-000000000000}"/>
  <bookViews>
    <workbookView xWindow="1580" yWindow="2400" windowWidth="33000" windowHeight="16700" activeTab="1" xr2:uid="{AAB55906-58C7-F940-B4CF-E7AFA13CA4FF}"/>
  </bookViews>
  <sheets>
    <sheet name="aNA.simple.xsk-free" sheetId="3" r:id="rId1"/>
    <sheet name="aNA.simple" sheetId="2" r:id="rId2"/>
    <sheet name="aN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2" l="1" a="1"/>
  <c r="E47" i="2" s="1"/>
  <c r="F47" i="2" a="1"/>
  <c r="F47" i="2"/>
  <c r="G47" i="2" a="1"/>
  <c r="G47" i="2"/>
  <c r="H47" i="2" a="1"/>
  <c r="H47" i="2"/>
  <c r="I47" i="2" a="1"/>
  <c r="I47" i="2" s="1"/>
  <c r="J47" i="2" a="1"/>
  <c r="J47" i="2"/>
  <c r="K47" i="2" a="1"/>
  <c r="K47" i="2"/>
  <c r="L47" i="2" a="1"/>
  <c r="L47" i="2"/>
  <c r="M47" i="2" a="1"/>
  <c r="M47" i="2" s="1"/>
  <c r="N47" i="2" a="1"/>
  <c r="N47" i="2"/>
  <c r="O47" i="2" a="1"/>
  <c r="O47" i="2"/>
  <c r="P47" i="2" a="1"/>
  <c r="P47" i="2"/>
  <c r="Q47" i="2" a="1"/>
  <c r="Q47" i="2" s="1"/>
  <c r="E48" i="2" a="1"/>
  <c r="E48" i="2"/>
  <c r="F48" i="2" a="1"/>
  <c r="F48" i="2"/>
  <c r="G48" i="2" a="1"/>
  <c r="G48" i="2"/>
  <c r="H48" i="2" a="1"/>
  <c r="H48" i="2" s="1"/>
  <c r="I48" i="2" a="1"/>
  <c r="I48" i="2"/>
  <c r="J48" i="2" a="1"/>
  <c r="J48" i="2"/>
  <c r="K48" i="2" a="1"/>
  <c r="K48" i="2"/>
  <c r="L48" i="2" a="1"/>
  <c r="L48" i="2" s="1"/>
  <c r="M48" i="2" a="1"/>
  <c r="M48" i="2"/>
  <c r="N48" i="2" a="1"/>
  <c r="N48" i="2"/>
  <c r="O48" i="2" a="1"/>
  <c r="O48" i="2"/>
  <c r="P48" i="2" a="1"/>
  <c r="P48" i="2" s="1"/>
  <c r="Q48" i="2" a="1"/>
  <c r="Q48" i="2"/>
  <c r="E49" i="2" a="1"/>
  <c r="E49" i="2"/>
  <c r="F49" i="2" a="1"/>
  <c r="F49" i="2"/>
  <c r="G49" i="2" a="1"/>
  <c r="G49" i="2" s="1"/>
  <c r="H49" i="2" a="1"/>
  <c r="H49" i="2"/>
  <c r="I49" i="2" a="1"/>
  <c r="I49" i="2"/>
  <c r="J49" i="2" a="1"/>
  <c r="J49" i="2"/>
  <c r="K49" i="2" a="1"/>
  <c r="K49" i="2" s="1"/>
  <c r="L49" i="2" a="1"/>
  <c r="L49" i="2"/>
  <c r="M49" i="2" a="1"/>
  <c r="M49" i="2" s="1"/>
  <c r="N49" i="2" a="1"/>
  <c r="N49" i="2"/>
  <c r="O49" i="2" a="1"/>
  <c r="O49" i="2" s="1"/>
  <c r="P49" i="2" a="1"/>
  <c r="P49" i="2"/>
  <c r="Q49" i="2" a="1"/>
  <c r="Q49" i="2" s="1"/>
  <c r="E50" i="2" a="1"/>
  <c r="E50" i="2"/>
  <c r="F50" i="2" a="1"/>
  <c r="F50" i="2" s="1"/>
  <c r="G50" i="2" a="1"/>
  <c r="G50" i="2"/>
  <c r="H50" i="2" a="1"/>
  <c r="H50" i="2" s="1"/>
  <c r="I50" i="2" a="1"/>
  <c r="I50" i="2"/>
  <c r="J50" i="2" a="1"/>
  <c r="J50" i="2" s="1"/>
  <c r="K50" i="2" a="1"/>
  <c r="K50" i="2"/>
  <c r="L50" i="2" a="1"/>
  <c r="L50" i="2" s="1"/>
  <c r="M50" i="2" a="1"/>
  <c r="M50" i="2"/>
  <c r="N50" i="2" a="1"/>
  <c r="N50" i="2" s="1"/>
  <c r="O50" i="2" a="1"/>
  <c r="O50" i="2"/>
  <c r="P50" i="2" a="1"/>
  <c r="P50" i="2" s="1"/>
  <c r="Q50" i="2" a="1"/>
  <c r="Q50" i="2"/>
  <c r="E51" i="2" a="1"/>
  <c r="E51" i="2" s="1"/>
  <c r="F51" i="2" a="1"/>
  <c r="F51" i="2"/>
  <c r="G51" i="2" a="1"/>
  <c r="G51" i="2" s="1"/>
  <c r="H51" i="2" a="1"/>
  <c r="H51" i="2"/>
  <c r="I51" i="2" a="1"/>
  <c r="I51" i="2" s="1"/>
  <c r="J51" i="2" a="1"/>
  <c r="J51" i="2"/>
  <c r="K51" i="2" a="1"/>
  <c r="K51" i="2" s="1"/>
  <c r="L51" i="2" a="1"/>
  <c r="L51" i="2"/>
  <c r="M51" i="2" a="1"/>
  <c r="M51" i="2" s="1"/>
  <c r="N51" i="2" a="1"/>
  <c r="N51" i="2"/>
  <c r="O51" i="2" a="1"/>
  <c r="O51" i="2" s="1"/>
  <c r="P51" i="2" a="1"/>
  <c r="P51" i="2"/>
  <c r="Q51" i="2" a="1"/>
  <c r="Q51" i="2" s="1"/>
  <c r="E52" i="2" a="1"/>
  <c r="E52" i="2"/>
  <c r="F52" i="2" a="1"/>
  <c r="F52" i="2" s="1"/>
  <c r="G52" i="2" a="1"/>
  <c r="G52" i="2"/>
  <c r="H52" i="2" a="1"/>
  <c r="H52" i="2" s="1"/>
  <c r="I52" i="2" a="1"/>
  <c r="I52" i="2"/>
  <c r="J52" i="2" a="1"/>
  <c r="J52" i="2" s="1"/>
  <c r="K52" i="2" a="1"/>
  <c r="K52" i="2"/>
  <c r="L52" i="2" a="1"/>
  <c r="L52" i="2" s="1"/>
  <c r="M52" i="2" a="1"/>
  <c r="M52" i="2"/>
  <c r="N52" i="2" a="1"/>
  <c r="N52" i="2" s="1"/>
  <c r="O52" i="2" a="1"/>
  <c r="O52" i="2" s="1"/>
  <c r="P52" i="2" a="1"/>
  <c r="P52" i="2" s="1"/>
  <c r="Q52" i="2" a="1"/>
  <c r="Q52" i="2"/>
  <c r="D49" i="2" a="1"/>
  <c r="D49" i="2" s="1"/>
  <c r="D50" i="2" a="1"/>
  <c r="D50" i="2" s="1"/>
  <c r="D51" i="2" a="1"/>
  <c r="D51" i="2"/>
  <c r="D52" i="2" a="1"/>
  <c r="D52" i="2" s="1"/>
  <c r="D48" i="2" a="1"/>
  <c r="D48" i="2" s="1"/>
  <c r="B2" i="2"/>
  <c r="D47" i="2" s="1" a="1"/>
  <c r="D47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E37" i="3" a="1"/>
  <c r="E37" i="3" s="1"/>
  <c r="F37" i="3" a="1"/>
  <c r="F37" i="3" s="1"/>
  <c r="G37" i="3" a="1"/>
  <c r="G37" i="3" s="1"/>
  <c r="H37" i="3" a="1"/>
  <c r="H37" i="3"/>
  <c r="I37" i="3" a="1"/>
  <c r="I37" i="3" s="1"/>
  <c r="J37" i="3" a="1"/>
  <c r="J37" i="3" s="1"/>
  <c r="K37" i="3" a="1"/>
  <c r="K37" i="3" s="1"/>
  <c r="L37" i="3" a="1"/>
  <c r="L37" i="3"/>
  <c r="M37" i="3" a="1"/>
  <c r="M37" i="3" s="1"/>
  <c r="N37" i="3" a="1"/>
  <c r="N37" i="3" s="1"/>
  <c r="O37" i="3" a="1"/>
  <c r="O37" i="3" s="1"/>
  <c r="P37" i="3" a="1"/>
  <c r="P37" i="3"/>
  <c r="Q37" i="3" a="1"/>
  <c r="Q37" i="3" s="1"/>
  <c r="E38" i="3" a="1"/>
  <c r="E38" i="3" s="1"/>
  <c r="F38" i="3" a="1"/>
  <c r="F38" i="3" s="1"/>
  <c r="G38" i="3" a="1"/>
  <c r="G38" i="3"/>
  <c r="H38" i="3" a="1"/>
  <c r="H38" i="3" s="1"/>
  <c r="I38" i="3" a="1"/>
  <c r="I38" i="3" s="1"/>
  <c r="J38" i="3" a="1"/>
  <c r="J38" i="3" s="1"/>
  <c r="K38" i="3" a="1"/>
  <c r="K38" i="3"/>
  <c r="L38" i="3" a="1"/>
  <c r="L38" i="3" s="1"/>
  <c r="M38" i="3" a="1"/>
  <c r="M38" i="3" s="1"/>
  <c r="N38" i="3" a="1"/>
  <c r="N38" i="3" s="1"/>
  <c r="O38" i="3" a="1"/>
  <c r="O38" i="3"/>
  <c r="P38" i="3" a="1"/>
  <c r="P38" i="3" s="1"/>
  <c r="Q38" i="3" a="1"/>
  <c r="Q38" i="3" s="1"/>
  <c r="E39" i="3" a="1"/>
  <c r="E39" i="3" s="1"/>
  <c r="F39" i="3" a="1"/>
  <c r="F39" i="3"/>
  <c r="G39" i="3" a="1"/>
  <c r="G39" i="3" s="1"/>
  <c r="H39" i="3" a="1"/>
  <c r="H39" i="3" s="1"/>
  <c r="I39" i="3" a="1"/>
  <c r="I39" i="3" s="1"/>
  <c r="J39" i="3" a="1"/>
  <c r="J39" i="3"/>
  <c r="K39" i="3" a="1"/>
  <c r="K39" i="3" s="1"/>
  <c r="L39" i="3" a="1"/>
  <c r="L39" i="3" s="1"/>
  <c r="M39" i="3" a="1"/>
  <c r="M39" i="3" s="1"/>
  <c r="N39" i="3" a="1"/>
  <c r="N39" i="3"/>
  <c r="O39" i="3" a="1"/>
  <c r="O39" i="3" s="1"/>
  <c r="P39" i="3" a="1"/>
  <c r="P39" i="3" s="1"/>
  <c r="Q39" i="3" a="1"/>
  <c r="Q39" i="3" s="1"/>
  <c r="E40" i="3" a="1"/>
  <c r="E40" i="3"/>
  <c r="F40" i="3" a="1"/>
  <c r="F40" i="3" s="1"/>
  <c r="G40" i="3" a="1"/>
  <c r="G40" i="3" s="1"/>
  <c r="H40" i="3" a="1"/>
  <c r="H40" i="3" s="1"/>
  <c r="I40" i="3" a="1"/>
  <c r="I40" i="3"/>
  <c r="J40" i="3" a="1"/>
  <c r="J40" i="3" s="1"/>
  <c r="K40" i="3" a="1"/>
  <c r="K40" i="3" s="1"/>
  <c r="L40" i="3" a="1"/>
  <c r="L40" i="3" s="1"/>
  <c r="M40" i="3" a="1"/>
  <c r="M40" i="3"/>
  <c r="N40" i="3" a="1"/>
  <c r="N40" i="3" s="1"/>
  <c r="O40" i="3" a="1"/>
  <c r="O40" i="3" s="1"/>
  <c r="P40" i="3" a="1"/>
  <c r="P40" i="3" s="1"/>
  <c r="Q40" i="3" a="1"/>
  <c r="Q40" i="3"/>
  <c r="E41" i="3" a="1"/>
  <c r="E41" i="3" s="1"/>
  <c r="F41" i="3" a="1"/>
  <c r="F41" i="3" s="1"/>
  <c r="G41" i="3" a="1"/>
  <c r="G41" i="3" s="1"/>
  <c r="H41" i="3" a="1"/>
  <c r="H41" i="3"/>
  <c r="I41" i="3" a="1"/>
  <c r="I41" i="3" s="1"/>
  <c r="J41" i="3" a="1"/>
  <c r="J41" i="3" s="1"/>
  <c r="K41" i="3" a="1"/>
  <c r="K41" i="3" s="1"/>
  <c r="L41" i="3" a="1"/>
  <c r="L41" i="3"/>
  <c r="M41" i="3" a="1"/>
  <c r="M41" i="3" s="1"/>
  <c r="N41" i="3" a="1"/>
  <c r="N41" i="3" s="1"/>
  <c r="O41" i="3" a="1"/>
  <c r="O41" i="3" s="1"/>
  <c r="P41" i="3" a="1"/>
  <c r="P41" i="3"/>
  <c r="Q41" i="3" a="1"/>
  <c r="Q41" i="3" s="1"/>
  <c r="E42" i="3" a="1"/>
  <c r="E42" i="3" s="1"/>
  <c r="F42" i="3" a="1"/>
  <c r="F42" i="3" s="1"/>
  <c r="G42" i="3" a="1"/>
  <c r="G42" i="3"/>
  <c r="H42" i="3" a="1"/>
  <c r="H42" i="3" s="1"/>
  <c r="I42" i="3" a="1"/>
  <c r="I42" i="3" s="1"/>
  <c r="J42" i="3" a="1"/>
  <c r="J42" i="3" s="1"/>
  <c r="K42" i="3" a="1"/>
  <c r="K42" i="3"/>
  <c r="L42" i="3" a="1"/>
  <c r="L42" i="3" s="1"/>
  <c r="M42" i="3" a="1"/>
  <c r="M42" i="3" s="1"/>
  <c r="N42" i="3" a="1"/>
  <c r="N42" i="3" s="1"/>
  <c r="O42" i="3" a="1"/>
  <c r="O42" i="3"/>
  <c r="P42" i="3" a="1"/>
  <c r="P42" i="3" s="1"/>
  <c r="Q42" i="3" a="1"/>
  <c r="Q42" i="3" s="1"/>
  <c r="D38" i="3" a="1"/>
  <c r="D38" i="3" s="1"/>
  <c r="D37" i="3" a="1"/>
  <c r="D37" i="3" s="1"/>
  <c r="D42" i="3" a="1"/>
  <c r="D42" i="3" s="1"/>
  <c r="D41" i="3" a="1"/>
  <c r="D41" i="3" s="1"/>
  <c r="D40" i="3" a="1"/>
  <c r="D40" i="3" s="1"/>
  <c r="D39" i="3" a="1"/>
  <c r="D39" i="3" s="1"/>
  <c r="D29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E40" i="2" l="1" a="1"/>
  <c r="E40" i="2" s="1"/>
  <c r="F40" i="2" a="1"/>
  <c r="F40" i="2" s="1"/>
  <c r="G40" i="2" a="1"/>
  <c r="G40" i="2" s="1"/>
  <c r="H40" i="2" a="1"/>
  <c r="H40" i="2" s="1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L41" i="2" s="1" a="1"/>
  <c r="L41" i="2" s="1"/>
  <c r="A5" i="2"/>
  <c r="A4" i="2"/>
  <c r="A3" i="2"/>
  <c r="A2" i="2"/>
  <c r="K40" i="2" s="1" a="1"/>
  <c r="K40" i="2" s="1"/>
  <c r="E31" i="3" a="1"/>
  <c r="E31" i="3" s="1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D34" i="3" s="1" a="1"/>
  <c r="D34" i="3" s="1"/>
  <c r="A2" i="3"/>
  <c r="D30" i="3" s="1" a="1"/>
  <c r="D30" i="3" s="1"/>
  <c r="P29" i="3"/>
  <c r="O29" i="3"/>
  <c r="N29" i="3"/>
  <c r="M29" i="3"/>
  <c r="L29" i="3"/>
  <c r="K29" i="3"/>
  <c r="J29" i="3"/>
  <c r="I29" i="3"/>
  <c r="H29" i="3"/>
  <c r="G29" i="3"/>
  <c r="F29" i="3"/>
  <c r="E29" i="3"/>
  <c r="R26" i="3"/>
  <c r="Q26" i="3"/>
  <c r="R25" i="3"/>
  <c r="Q25" i="3"/>
  <c r="R24" i="3"/>
  <c r="Q24" i="3"/>
  <c r="R23" i="3"/>
  <c r="Q23" i="3"/>
  <c r="R22" i="3"/>
  <c r="Q22" i="3"/>
  <c r="S22" i="3" s="1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R11" i="3"/>
  <c r="Q11" i="3"/>
  <c r="R10" i="3"/>
  <c r="Q10" i="3"/>
  <c r="R9" i="3"/>
  <c r="Q9" i="3"/>
  <c r="R8" i="3"/>
  <c r="Q8" i="3"/>
  <c r="R7" i="3"/>
  <c r="Q7" i="3"/>
  <c r="R6" i="3"/>
  <c r="Q6" i="3"/>
  <c r="S6" i="3" s="1"/>
  <c r="R5" i="3"/>
  <c r="Q5" i="3"/>
  <c r="R4" i="3"/>
  <c r="Q4" i="3"/>
  <c r="R3" i="3"/>
  <c r="Q3" i="3"/>
  <c r="R2" i="3"/>
  <c r="Q2" i="3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S22" i="2" s="1"/>
  <c r="R21" i="2"/>
  <c r="Q21" i="2"/>
  <c r="R20" i="2"/>
  <c r="Q20" i="2"/>
  <c r="R19" i="2"/>
  <c r="Q19" i="2"/>
  <c r="R18" i="2"/>
  <c r="Q18" i="2"/>
  <c r="S18" i="2" s="1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R2" i="2"/>
  <c r="Q2" i="2"/>
  <c r="U39" i="1"/>
  <c r="V5" i="1"/>
  <c r="V6" i="1"/>
  <c r="V29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V15" i="1" s="1"/>
  <c r="U16" i="1"/>
  <c r="U17" i="1"/>
  <c r="U18" i="1"/>
  <c r="U19" i="1"/>
  <c r="U20" i="1"/>
  <c r="U21" i="1"/>
  <c r="V21" i="1" s="1"/>
  <c r="U22" i="1"/>
  <c r="V22" i="1" s="1"/>
  <c r="U23" i="1"/>
  <c r="V23" i="1" s="1"/>
  <c r="U24" i="1"/>
  <c r="U25" i="1"/>
  <c r="U26" i="1"/>
  <c r="U27" i="1"/>
  <c r="U28" i="1"/>
  <c r="U29" i="1"/>
  <c r="U30" i="1"/>
  <c r="V30" i="1" s="1"/>
  <c r="U31" i="1"/>
  <c r="U32" i="1"/>
  <c r="U33" i="1"/>
  <c r="U34" i="1"/>
  <c r="U35" i="1"/>
  <c r="U36" i="1"/>
  <c r="T2" i="1"/>
  <c r="V2" i="1" s="1"/>
  <c r="T3" i="1"/>
  <c r="V3" i="1" s="1"/>
  <c r="T4" i="1"/>
  <c r="V4" i="1" s="1"/>
  <c r="T5" i="1"/>
  <c r="T6" i="1"/>
  <c r="T7" i="1"/>
  <c r="V7" i="1" s="1"/>
  <c r="T8" i="1"/>
  <c r="V8" i="1" s="1"/>
  <c r="T9" i="1"/>
  <c r="V9" i="1" s="1"/>
  <c r="T10" i="1"/>
  <c r="V10" i="1" s="1"/>
  <c r="T11" i="1"/>
  <c r="V11" i="1" s="1"/>
  <c r="T12" i="1"/>
  <c r="V12" i="1" s="1"/>
  <c r="T13" i="1"/>
  <c r="V13" i="1" s="1"/>
  <c r="T14" i="1"/>
  <c r="V14" i="1" s="1"/>
  <c r="T15" i="1"/>
  <c r="T16" i="1"/>
  <c r="V16" i="1" s="1"/>
  <c r="T17" i="1"/>
  <c r="V17" i="1" s="1"/>
  <c r="T18" i="1"/>
  <c r="V18" i="1" s="1"/>
  <c r="T19" i="1"/>
  <c r="V19" i="1" s="1"/>
  <c r="T20" i="1"/>
  <c r="V20" i="1" s="1"/>
  <c r="T21" i="1"/>
  <c r="T22" i="1"/>
  <c r="T23" i="1"/>
  <c r="T24" i="1"/>
  <c r="V24" i="1" s="1"/>
  <c r="T25" i="1"/>
  <c r="V25" i="1" s="1"/>
  <c r="T26" i="1"/>
  <c r="V26" i="1" s="1"/>
  <c r="T27" i="1"/>
  <c r="V27" i="1" s="1"/>
  <c r="T28" i="1"/>
  <c r="V28" i="1" s="1"/>
  <c r="T29" i="1"/>
  <c r="T30" i="1"/>
  <c r="T31" i="1"/>
  <c r="V31" i="1" s="1"/>
  <c r="T32" i="1"/>
  <c r="V32" i="1" s="1"/>
  <c r="T33" i="1"/>
  <c r="V33" i="1" s="1"/>
  <c r="T34" i="1"/>
  <c r="V34" i="1" s="1"/>
  <c r="T35" i="1"/>
  <c r="V35" i="1" s="1"/>
  <c r="T36" i="1"/>
  <c r="V36" i="1" s="1"/>
  <c r="H39" i="1"/>
  <c r="I39" i="1"/>
  <c r="J39" i="1"/>
  <c r="K39" i="1"/>
  <c r="L39" i="1"/>
  <c r="M39" i="1"/>
  <c r="N39" i="1"/>
  <c r="O39" i="1"/>
  <c r="P39" i="1"/>
  <c r="Q39" i="1"/>
  <c r="R39" i="1"/>
  <c r="S39" i="1"/>
  <c r="H44" i="1"/>
  <c r="I44" i="1"/>
  <c r="J44" i="1"/>
  <c r="K44" i="1"/>
  <c r="L44" i="1"/>
  <c r="M44" i="1"/>
  <c r="N44" i="1"/>
  <c r="O44" i="1"/>
  <c r="P44" i="1"/>
  <c r="Q44" i="1"/>
  <c r="R44" i="1"/>
  <c r="S44" i="1"/>
  <c r="G39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G44" i="1"/>
  <c r="D4" i="1"/>
  <c r="D7" i="1"/>
  <c r="C4" i="1"/>
  <c r="E4" i="1" s="1"/>
  <c r="C12" i="1"/>
  <c r="C36" i="1"/>
  <c r="F2" i="1"/>
  <c r="D2" i="1" s="1"/>
  <c r="F3" i="1"/>
  <c r="D3" i="1" s="1"/>
  <c r="F4" i="1"/>
  <c r="F5" i="1"/>
  <c r="D5" i="1" s="1"/>
  <c r="F6" i="1"/>
  <c r="D6" i="1" s="1"/>
  <c r="F7" i="1"/>
  <c r="C7" i="1" s="1"/>
  <c r="F8" i="1"/>
  <c r="D8" i="1" s="1"/>
  <c r="F9" i="1"/>
  <c r="D9" i="1" s="1"/>
  <c r="F10" i="1"/>
  <c r="D10" i="1" s="1"/>
  <c r="F11" i="1"/>
  <c r="C11" i="1" s="1"/>
  <c r="F12" i="1"/>
  <c r="D12" i="1" s="1"/>
  <c r="F13" i="1"/>
  <c r="D13" i="1" s="1"/>
  <c r="F14" i="1"/>
  <c r="D14" i="1" s="1"/>
  <c r="F15" i="1"/>
  <c r="C15" i="1" s="1"/>
  <c r="F16" i="1"/>
  <c r="D16" i="1" s="1"/>
  <c r="F17" i="1"/>
  <c r="C17" i="1" s="1"/>
  <c r="F18" i="1"/>
  <c r="D18" i="1" s="1"/>
  <c r="F19" i="1"/>
  <c r="C19" i="1" s="1"/>
  <c r="F20" i="1"/>
  <c r="C20" i="1" s="1"/>
  <c r="F21" i="1"/>
  <c r="D21" i="1" s="1"/>
  <c r="F22" i="1"/>
  <c r="D22" i="1" s="1"/>
  <c r="F23" i="1"/>
  <c r="C23" i="1" s="1"/>
  <c r="F24" i="1"/>
  <c r="D24" i="1" s="1"/>
  <c r="F25" i="1"/>
  <c r="D25" i="1" s="1"/>
  <c r="F26" i="1"/>
  <c r="D26" i="1" s="1"/>
  <c r="F27" i="1"/>
  <c r="D27" i="1" s="1"/>
  <c r="F28" i="1"/>
  <c r="D28" i="1" s="1"/>
  <c r="F29" i="1"/>
  <c r="D29" i="1" s="1"/>
  <c r="F30" i="1"/>
  <c r="D30" i="1" s="1"/>
  <c r="F31" i="1"/>
  <c r="C31" i="1" s="1"/>
  <c r="F32" i="1"/>
  <c r="D32" i="1" s="1"/>
  <c r="F33" i="1"/>
  <c r="C33" i="1" s="1"/>
  <c r="F34" i="1"/>
  <c r="D34" i="1" s="1"/>
  <c r="F35" i="1"/>
  <c r="D35" i="1" s="1"/>
  <c r="F36" i="1"/>
  <c r="D36" i="1" s="1"/>
  <c r="M44" i="2" l="1" a="1"/>
  <c r="M44" i="2" s="1"/>
  <c r="N42" i="2" a="1"/>
  <c r="N42" i="2" s="1"/>
  <c r="N40" i="2" a="1"/>
  <c r="N40" i="2" s="1"/>
  <c r="F43" i="2" a="1"/>
  <c r="F43" i="2" s="1"/>
  <c r="M41" i="2" a="1"/>
  <c r="M41" i="2" s="1"/>
  <c r="E44" i="2" a="1"/>
  <c r="E44" i="2" s="1"/>
  <c r="F41" i="2" a="1"/>
  <c r="F41" i="2" s="1"/>
  <c r="K43" i="2" a="1"/>
  <c r="K43" i="2" s="1"/>
  <c r="E42" i="2" a="1"/>
  <c r="E42" i="2" s="1"/>
  <c r="P44" i="2" a="1"/>
  <c r="P44" i="2" s="1"/>
  <c r="I44" i="2" a="1"/>
  <c r="I44" i="2" s="1"/>
  <c r="P43" i="2" a="1"/>
  <c r="P43" i="2" s="1"/>
  <c r="P42" i="2" a="1"/>
  <c r="P42" i="2" s="1"/>
  <c r="J42" i="2" a="1"/>
  <c r="J42" i="2" s="1"/>
  <c r="P41" i="2" a="1"/>
  <c r="P41" i="2" s="1"/>
  <c r="J41" i="2" a="1"/>
  <c r="J41" i="2" s="1"/>
  <c r="J40" i="2" a="1"/>
  <c r="J40" i="2" s="1"/>
  <c r="D42" i="2" a="1"/>
  <c r="D42" i="2" s="1"/>
  <c r="G43" i="2" a="1"/>
  <c r="G43" i="2" s="1"/>
  <c r="N41" i="2" a="1"/>
  <c r="N41" i="2" s="1"/>
  <c r="D43" i="2" a="1"/>
  <c r="D43" i="2" s="1"/>
  <c r="M43" i="2" a="1"/>
  <c r="M43" i="2" s="1"/>
  <c r="M40" i="2" a="1"/>
  <c r="M40" i="2" s="1"/>
  <c r="D44" i="2" a="1"/>
  <c r="D44" i="2" s="1"/>
  <c r="L43" i="2" a="1"/>
  <c r="L43" i="2" s="1"/>
  <c r="F42" i="2" a="1"/>
  <c r="F42" i="2" s="1"/>
  <c r="K44" i="2" a="1"/>
  <c r="K44" i="2" s="1"/>
  <c r="K42" i="2" a="1"/>
  <c r="K42" i="2" s="1"/>
  <c r="D40" i="2" a="1"/>
  <c r="D40" i="2" s="1"/>
  <c r="O44" i="2" a="1"/>
  <c r="O44" i="2" s="1"/>
  <c r="O43" i="2" a="1"/>
  <c r="O43" i="2" s="1"/>
  <c r="I43" i="2" a="1"/>
  <c r="I43" i="2" s="1"/>
  <c r="O42" i="2" a="1"/>
  <c r="O42" i="2" s="1"/>
  <c r="I42" i="2" a="1"/>
  <c r="I42" i="2" s="1"/>
  <c r="I41" i="2" a="1"/>
  <c r="I41" i="2" s="1"/>
  <c r="P40" i="2" a="1"/>
  <c r="P40" i="2" s="1"/>
  <c r="I40" i="2" a="1"/>
  <c r="I40" i="2" s="1"/>
  <c r="D41" i="2" a="1"/>
  <c r="D41" i="2" s="1"/>
  <c r="H44" i="2" a="1"/>
  <c r="H44" i="2" s="1"/>
  <c r="H42" i="2" a="1"/>
  <c r="H42" i="2" s="1"/>
  <c r="N44" i="2" a="1"/>
  <c r="N44" i="2" s="1"/>
  <c r="N43" i="2" a="1"/>
  <c r="N43" i="2" s="1"/>
  <c r="H43" i="2" a="1"/>
  <c r="H43" i="2" s="1"/>
  <c r="O41" i="2" a="1"/>
  <c r="O41" i="2" s="1"/>
  <c r="H41" i="2" a="1"/>
  <c r="H41" i="2" s="1"/>
  <c r="O40" i="2" a="1"/>
  <c r="O40" i="2" s="1"/>
  <c r="G44" i="2" a="1"/>
  <c r="G44" i="2" s="1"/>
  <c r="G42" i="2" a="1"/>
  <c r="G42" i="2" s="1"/>
  <c r="F44" i="2" a="1"/>
  <c r="F44" i="2" s="1"/>
  <c r="M42" i="2" a="1"/>
  <c r="M42" i="2" s="1"/>
  <c r="G41" i="2" a="1"/>
  <c r="G41" i="2" s="1"/>
  <c r="L44" i="2" a="1"/>
  <c r="L44" i="2" s="1"/>
  <c r="L42" i="2" a="1"/>
  <c r="L42" i="2" s="1"/>
  <c r="Q44" i="2" a="1"/>
  <c r="Q44" i="2" s="1"/>
  <c r="E43" i="2" a="1"/>
  <c r="E43" i="2" s="1"/>
  <c r="E41" i="2" a="1"/>
  <c r="E41" i="2" s="1"/>
  <c r="L40" i="2" a="1"/>
  <c r="L40" i="2" s="1"/>
  <c r="J44" i="2" a="1"/>
  <c r="J44" i="2" s="1"/>
  <c r="Q43" i="2" a="1"/>
  <c r="Q43" i="2" s="1"/>
  <c r="J43" i="2" a="1"/>
  <c r="J43" i="2" s="1"/>
  <c r="Q42" i="2" a="1"/>
  <c r="Q42" i="2" s="1"/>
  <c r="Q41" i="2" a="1"/>
  <c r="Q41" i="2" s="1"/>
  <c r="K41" i="2" a="1"/>
  <c r="K41" i="2" s="1"/>
  <c r="Q40" i="2" a="1"/>
  <c r="Q40" i="2" s="1"/>
  <c r="O34" i="3" a="1"/>
  <c r="O34" i="3" s="1"/>
  <c r="O33" i="3" a="1"/>
  <c r="O33" i="3" s="1"/>
  <c r="I33" i="3" a="1"/>
  <c r="I33" i="3" s="1"/>
  <c r="O32" i="3" a="1"/>
  <c r="O32" i="3" s="1"/>
  <c r="I32" i="3" a="1"/>
  <c r="I32" i="3" s="1"/>
  <c r="I31" i="3" a="1"/>
  <c r="I31" i="3" s="1"/>
  <c r="O30" i="3" a="1"/>
  <c r="O30" i="3" s="1"/>
  <c r="H33" i="3" a="1"/>
  <c r="H33" i="3" s="1"/>
  <c r="H30" i="3" a="1"/>
  <c r="H30" i="3" s="1"/>
  <c r="N34" i="3" a="1"/>
  <c r="N34" i="3" s="1"/>
  <c r="N31" i="3" a="1"/>
  <c r="N31" i="3" s="1"/>
  <c r="M30" i="3" a="1"/>
  <c r="M30" i="3" s="1"/>
  <c r="G30" i="3" a="1"/>
  <c r="G30" i="3" s="1"/>
  <c r="D33" i="3" a="1"/>
  <c r="D33" i="3" s="1"/>
  <c r="M34" i="3" a="1"/>
  <c r="M34" i="3" s="1"/>
  <c r="G34" i="3" a="1"/>
  <c r="G34" i="3" s="1"/>
  <c r="G33" i="3" a="1"/>
  <c r="G33" i="3" s="1"/>
  <c r="N32" i="3" a="1"/>
  <c r="N32" i="3" s="1"/>
  <c r="G32" i="3" a="1"/>
  <c r="G32" i="3" s="1"/>
  <c r="D32" i="3" a="1"/>
  <c r="D32" i="3" s="1"/>
  <c r="F34" i="3" a="1"/>
  <c r="F34" i="3" s="1"/>
  <c r="M33" i="3" a="1"/>
  <c r="M33" i="3" s="1"/>
  <c r="F33" i="3" a="1"/>
  <c r="F33" i="3" s="1"/>
  <c r="M32" i="3" a="1"/>
  <c r="M32" i="3" s="1"/>
  <c r="M31" i="3" a="1"/>
  <c r="M31" i="3" s="1"/>
  <c r="G31" i="3" a="1"/>
  <c r="G31" i="3" s="1"/>
  <c r="F30" i="3" a="1"/>
  <c r="F30" i="3" s="1"/>
  <c r="E34" i="3" a="1"/>
  <c r="E34" i="3" s="1"/>
  <c r="L33" i="3" a="1"/>
  <c r="L33" i="3" s="1"/>
  <c r="L32" i="3" a="1"/>
  <c r="L32" i="3" s="1"/>
  <c r="F32" i="3" a="1"/>
  <c r="F32" i="3" s="1"/>
  <c r="L31" i="3" a="1"/>
  <c r="L31" i="3" s="1"/>
  <c r="F31" i="3" a="1"/>
  <c r="F31" i="3" s="1"/>
  <c r="L30" i="3" a="1"/>
  <c r="L30" i="3" s="1"/>
  <c r="E30" i="3" a="1"/>
  <c r="E30" i="3" s="1"/>
  <c r="N33" i="3" a="1"/>
  <c r="N33" i="3" s="1"/>
  <c r="O31" i="3" a="1"/>
  <c r="O31" i="3" s="1"/>
  <c r="N30" i="3" a="1"/>
  <c r="N30" i="3" s="1"/>
  <c r="D31" i="3" a="1"/>
  <c r="D31" i="3" s="1"/>
  <c r="K34" i="3" a="1"/>
  <c r="K34" i="3" s="1"/>
  <c r="K33" i="3" a="1"/>
  <c r="K33" i="3" s="1"/>
  <c r="E33" i="3" a="1"/>
  <c r="E33" i="3" s="1"/>
  <c r="K32" i="3" a="1"/>
  <c r="K32" i="3" s="1"/>
  <c r="E32" i="3" a="1"/>
  <c r="E32" i="3" s="1"/>
  <c r="Q30" i="3" a="1"/>
  <c r="Q30" i="3" s="1"/>
  <c r="K30" i="3" a="1"/>
  <c r="K30" i="3" s="1"/>
  <c r="J34" i="3" a="1"/>
  <c r="J34" i="3" s="1"/>
  <c r="Q33" i="3" a="1"/>
  <c r="Q33" i="3" s="1"/>
  <c r="J33" i="3" a="1"/>
  <c r="J33" i="3" s="1"/>
  <c r="Q32" i="3" a="1"/>
  <c r="Q32" i="3" s="1"/>
  <c r="Q31" i="3" a="1"/>
  <c r="Q31" i="3" s="1"/>
  <c r="K31" i="3" a="1"/>
  <c r="K31" i="3" s="1"/>
  <c r="J30" i="3" a="1"/>
  <c r="J30" i="3" s="1"/>
  <c r="H34" i="3" a="1"/>
  <c r="H34" i="3" s="1"/>
  <c r="H32" i="3" a="1"/>
  <c r="H32" i="3" s="1"/>
  <c r="H31" i="3" a="1"/>
  <c r="H31" i="3" s="1"/>
  <c r="L34" i="3" a="1"/>
  <c r="L34" i="3" s="1"/>
  <c r="Q34" i="3" a="1"/>
  <c r="Q34" i="3" s="1"/>
  <c r="P34" i="3" a="1"/>
  <c r="P34" i="3" s="1"/>
  <c r="I34" i="3" a="1"/>
  <c r="I34" i="3" s="1"/>
  <c r="P33" i="3" a="1"/>
  <c r="P33" i="3" s="1"/>
  <c r="P32" i="3" a="1"/>
  <c r="P32" i="3" s="1"/>
  <c r="J32" i="3" a="1"/>
  <c r="J32" i="3" s="1"/>
  <c r="P31" i="3" a="1"/>
  <c r="P31" i="3" s="1"/>
  <c r="J31" i="3" a="1"/>
  <c r="J31" i="3" s="1"/>
  <c r="P30" i="3" a="1"/>
  <c r="P30" i="3" s="1"/>
  <c r="I30" i="3" a="1"/>
  <c r="I30" i="3" s="1"/>
  <c r="S5" i="3"/>
  <c r="S9" i="3"/>
  <c r="S17" i="3"/>
  <c r="S23" i="3"/>
  <c r="S12" i="3"/>
  <c r="S18" i="3"/>
  <c r="S7" i="3"/>
  <c r="S11" i="3"/>
  <c r="S13" i="3"/>
  <c r="S14" i="3"/>
  <c r="S25" i="3"/>
  <c r="S19" i="3"/>
  <c r="S3" i="3"/>
  <c r="S10" i="3"/>
  <c r="S15" i="3"/>
  <c r="S20" i="3"/>
  <c r="Q29" i="3"/>
  <c r="S16" i="3"/>
  <c r="S21" i="3"/>
  <c r="S26" i="3"/>
  <c r="S24" i="3"/>
  <c r="S8" i="3"/>
  <c r="S4" i="3"/>
  <c r="S2" i="3"/>
  <c r="S8" i="2"/>
  <c r="S16" i="2"/>
  <c r="S24" i="2"/>
  <c r="S32" i="2"/>
  <c r="S6" i="2"/>
  <c r="S10" i="2"/>
  <c r="S14" i="2"/>
  <c r="S30" i="2"/>
  <c r="S5" i="2"/>
  <c r="S9" i="2"/>
  <c r="S13" i="2"/>
  <c r="S17" i="2"/>
  <c r="S21" i="2"/>
  <c r="S25" i="2"/>
  <c r="S29" i="2"/>
  <c r="S33" i="2"/>
  <c r="S34" i="2"/>
  <c r="S3" i="2"/>
  <c r="S7" i="2"/>
  <c r="S11" i="2"/>
  <c r="S15" i="2"/>
  <c r="S23" i="2"/>
  <c r="S27" i="2"/>
  <c r="S31" i="2"/>
  <c r="S35" i="2"/>
  <c r="S12" i="2"/>
  <c r="Q39" i="2"/>
  <c r="S4" i="2"/>
  <c r="S36" i="2"/>
  <c r="S28" i="2"/>
  <c r="S20" i="2"/>
  <c r="S19" i="2"/>
  <c r="S26" i="2"/>
  <c r="S2" i="2"/>
  <c r="N45" i="1" a="1"/>
  <c r="N45" i="1" s="1"/>
  <c r="D31" i="1"/>
  <c r="D20" i="1"/>
  <c r="H45" i="1" a="1"/>
  <c r="H45" i="1" s="1"/>
  <c r="P45" i="1" a="1"/>
  <c r="P45" i="1" s="1"/>
  <c r="E36" i="1"/>
  <c r="I48" i="1" a="1"/>
  <c r="I48" i="1" s="1"/>
  <c r="M45" i="1" a="1"/>
  <c r="M45" i="1" s="1"/>
  <c r="C35" i="1"/>
  <c r="E35" i="1" s="1"/>
  <c r="C3" i="1"/>
  <c r="E3" i="1" s="1"/>
  <c r="D19" i="1"/>
  <c r="E19" i="1" s="1"/>
  <c r="L49" i="1" a="1"/>
  <c r="L49" i="1" s="1"/>
  <c r="P48" i="1" a="1"/>
  <c r="P48" i="1" s="1"/>
  <c r="H48" i="1" a="1"/>
  <c r="H48" i="1" s="1"/>
  <c r="L47" i="1" a="1"/>
  <c r="L47" i="1" s="1"/>
  <c r="P46" i="1" a="1"/>
  <c r="P46" i="1" s="1"/>
  <c r="H46" i="1" a="1"/>
  <c r="H46" i="1" s="1"/>
  <c r="L45" i="1" a="1"/>
  <c r="L45" i="1" s="1"/>
  <c r="Q46" i="1" a="1"/>
  <c r="Q46" i="1" s="1"/>
  <c r="S49" i="1" a="1"/>
  <c r="S49" i="1" s="1"/>
  <c r="O48" i="1" a="1"/>
  <c r="O48" i="1" s="1"/>
  <c r="S47" i="1" a="1"/>
  <c r="S47" i="1" s="1"/>
  <c r="K47" i="1" a="1"/>
  <c r="K47" i="1" s="1"/>
  <c r="O46" i="1" a="1"/>
  <c r="O46" i="1" s="1"/>
  <c r="S45" i="1" a="1"/>
  <c r="S45" i="1" s="1"/>
  <c r="K45" i="1" a="1"/>
  <c r="K45" i="1" s="1"/>
  <c r="G49" i="1" a="1"/>
  <c r="G49" i="1" s="1"/>
  <c r="Q48" i="1" a="1"/>
  <c r="Q48" i="1" s="1"/>
  <c r="M47" i="1" a="1"/>
  <c r="M47" i="1" s="1"/>
  <c r="I46" i="1" a="1"/>
  <c r="I46" i="1" s="1"/>
  <c r="C28" i="1"/>
  <c r="E28" i="1" s="1"/>
  <c r="D15" i="1"/>
  <c r="K49" i="1" a="1"/>
  <c r="K49" i="1" s="1"/>
  <c r="C27" i="1"/>
  <c r="E27" i="1" s="1"/>
  <c r="R49" i="1" a="1"/>
  <c r="R49" i="1" s="1"/>
  <c r="J49" i="1" a="1"/>
  <c r="J49" i="1" s="1"/>
  <c r="N48" i="1" a="1"/>
  <c r="N48" i="1" s="1"/>
  <c r="R47" i="1" a="1"/>
  <c r="R47" i="1" s="1"/>
  <c r="J47" i="1" a="1"/>
  <c r="J47" i="1" s="1"/>
  <c r="N46" i="1" a="1"/>
  <c r="N46" i="1" s="1"/>
  <c r="R45" i="1" a="1"/>
  <c r="R45" i="1" s="1"/>
  <c r="D11" i="1"/>
  <c r="G45" i="1" a="1"/>
  <c r="G45" i="1" s="1"/>
  <c r="Q49" i="1" a="1"/>
  <c r="Q49" i="1" s="1"/>
  <c r="I49" i="1" a="1"/>
  <c r="I49" i="1" s="1"/>
  <c r="M48" i="1" a="1"/>
  <c r="M48" i="1" s="1"/>
  <c r="Q47" i="1" a="1"/>
  <c r="Q47" i="1" s="1"/>
  <c r="I47" i="1" a="1"/>
  <c r="I47" i="1" s="1"/>
  <c r="M46" i="1" a="1"/>
  <c r="M46" i="1" s="1"/>
  <c r="Q45" i="1" a="1"/>
  <c r="Q45" i="1" s="1"/>
  <c r="J45" i="1" a="1"/>
  <c r="J45" i="1" s="1"/>
  <c r="M49" i="1" a="1"/>
  <c r="M49" i="1" s="1"/>
  <c r="E20" i="1"/>
  <c r="G46" i="1" a="1"/>
  <c r="G46" i="1" s="1"/>
  <c r="P49" i="1" a="1"/>
  <c r="P49" i="1" s="1"/>
  <c r="H49" i="1" a="1"/>
  <c r="H49" i="1" s="1"/>
  <c r="L48" i="1" a="1"/>
  <c r="L48" i="1" s="1"/>
  <c r="P47" i="1" a="1"/>
  <c r="P47" i="1" s="1"/>
  <c r="H47" i="1" a="1"/>
  <c r="H47" i="1" s="1"/>
  <c r="L46" i="1" a="1"/>
  <c r="L46" i="1" s="1"/>
  <c r="I45" i="1" a="1"/>
  <c r="I45" i="1" s="1"/>
  <c r="E12" i="1"/>
  <c r="G47" i="1" a="1"/>
  <c r="G47" i="1" s="1"/>
  <c r="O49" i="1" a="1"/>
  <c r="O49" i="1" s="1"/>
  <c r="S48" i="1" a="1"/>
  <c r="S48" i="1" s="1"/>
  <c r="K48" i="1" a="1"/>
  <c r="K48" i="1" s="1"/>
  <c r="O47" i="1" a="1"/>
  <c r="O47" i="1" s="1"/>
  <c r="S46" i="1" a="1"/>
  <c r="S46" i="1" s="1"/>
  <c r="K46" i="1" a="1"/>
  <c r="K46" i="1" s="1"/>
  <c r="O45" i="1" a="1"/>
  <c r="O45" i="1" s="1"/>
  <c r="D23" i="1"/>
  <c r="G48" i="1" a="1"/>
  <c r="G48" i="1" s="1"/>
  <c r="N49" i="1" a="1"/>
  <c r="N49" i="1" s="1"/>
  <c r="R48" i="1" a="1"/>
  <c r="R48" i="1" s="1"/>
  <c r="J48" i="1" a="1"/>
  <c r="J48" i="1" s="1"/>
  <c r="N47" i="1" a="1"/>
  <c r="N47" i="1" s="1"/>
  <c r="R46" i="1" a="1"/>
  <c r="R46" i="1" s="1"/>
  <c r="J46" i="1" a="1"/>
  <c r="J46" i="1" s="1"/>
  <c r="T39" i="1"/>
  <c r="C25" i="1"/>
  <c r="E25" i="1" s="1"/>
  <c r="C9" i="1"/>
  <c r="E9" i="1" s="1"/>
  <c r="C24" i="1"/>
  <c r="E24" i="1" s="1"/>
  <c r="C8" i="1"/>
  <c r="E8" i="1" s="1"/>
  <c r="C30" i="1"/>
  <c r="E30" i="1" s="1"/>
  <c r="C22" i="1"/>
  <c r="E22" i="1" s="1"/>
  <c r="C14" i="1"/>
  <c r="E14" i="1" s="1"/>
  <c r="C6" i="1"/>
  <c r="E6" i="1" s="1"/>
  <c r="D33" i="1"/>
  <c r="E33" i="1" s="1"/>
  <c r="D17" i="1"/>
  <c r="Q41" i="1" s="1"/>
  <c r="C32" i="1"/>
  <c r="E32" i="1" s="1"/>
  <c r="C16" i="1"/>
  <c r="E16" i="1" s="1"/>
  <c r="C29" i="1"/>
  <c r="E29" i="1" s="1"/>
  <c r="C21" i="1"/>
  <c r="E21" i="1" s="1"/>
  <c r="C13" i="1"/>
  <c r="E13" i="1" s="1"/>
  <c r="C5" i="1"/>
  <c r="E5" i="1" s="1"/>
  <c r="E7" i="1"/>
  <c r="C34" i="1"/>
  <c r="E34" i="1" s="1"/>
  <c r="C26" i="1"/>
  <c r="E26" i="1" s="1"/>
  <c r="C18" i="1"/>
  <c r="E18" i="1" s="1"/>
  <c r="C10" i="1"/>
  <c r="E10" i="1" s="1"/>
  <c r="C2" i="1"/>
  <c r="E31" i="1"/>
  <c r="E23" i="1"/>
  <c r="E15" i="1"/>
  <c r="K41" i="1" l="1"/>
  <c r="T41" i="1"/>
  <c r="J41" i="1"/>
  <c r="S41" i="1"/>
  <c r="M41" i="1"/>
  <c r="I41" i="1"/>
  <c r="N41" i="1"/>
  <c r="P41" i="1"/>
  <c r="M42" i="1"/>
  <c r="N42" i="1"/>
  <c r="O42" i="1"/>
  <c r="H42" i="1"/>
  <c r="P42" i="1"/>
  <c r="I42" i="1"/>
  <c r="Q42" i="1"/>
  <c r="G42" i="1"/>
  <c r="U42" i="1" s="1"/>
  <c r="J42" i="1"/>
  <c r="R42" i="1"/>
  <c r="K42" i="1"/>
  <c r="S42" i="1"/>
  <c r="L42" i="1"/>
  <c r="O41" i="1"/>
  <c r="H41" i="1"/>
  <c r="R41" i="1"/>
  <c r="T42" i="1"/>
  <c r="G41" i="1"/>
  <c r="L41" i="1"/>
  <c r="E11" i="1"/>
  <c r="E2" i="1"/>
  <c r="E17" i="1"/>
  <c r="U41" i="1" l="1"/>
  <c r="M40" i="1"/>
  <c r="N40" i="1"/>
  <c r="G40" i="1"/>
  <c r="O40" i="1"/>
  <c r="H40" i="1"/>
  <c r="P40" i="1"/>
  <c r="I40" i="1"/>
  <c r="Q40" i="1"/>
  <c r="L40" i="1"/>
  <c r="J40" i="1"/>
  <c r="R40" i="1"/>
  <c r="K40" i="1"/>
  <c r="S40" i="1"/>
  <c r="T40" i="1"/>
  <c r="T46" i="1" a="1"/>
  <c r="T46" i="1" s="1"/>
  <c r="T49" i="1" a="1"/>
  <c r="T49" i="1" s="1"/>
  <c r="T47" i="1" a="1"/>
  <c r="T47" i="1" s="1"/>
  <c r="T48" i="1" a="1"/>
  <c r="T48" i="1" s="1"/>
  <c r="T44" i="1"/>
  <c r="T45" i="1" a="1"/>
  <c r="T45" i="1" s="1"/>
  <c r="U4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<sst xmlns="http://schemas.openxmlformats.org/spreadsheetml/2006/main" count="193" uniqueCount="66">
  <si>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</si>
  <si>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</si>
  <si>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</si>
  <si>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</si>
  <si>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</si>
  <si>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</si>
  <si>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</si>
  <si>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</si>
  <si>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</si>
  <si>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</si>
  <si>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</si>
  <si>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</si>
  <si>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</si>
  <si>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</si>
  <si>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</si>
  <si>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</si>
  <si>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</si>
  <si>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</si>
  <si>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</si>
  <si>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</si>
  <si>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</si>
  <si>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</si>
  <si>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</si>
  <si>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</si>
  <si>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</si>
  <si>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</si>
  <si>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</si>
  <si>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</si>
  <si>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</si>
  <si>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</si>
  <si>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</si>
  <si>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</si>
  <si>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</si>
  <si>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</si>
  <si>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</si>
  <si>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</si>
  <si>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average</t>
  </si>
  <si>
    <t>arabic-xsk2g</t>
  </si>
  <si>
    <t>arabic-xsk3g</t>
  </si>
  <si>
    <t>english-xsk2g</t>
  </si>
  <si>
    <t>english-xsk3g</t>
  </si>
  <si>
    <t>french-xsk2g</t>
  </si>
  <si>
    <t>french-xsk3g</t>
  </si>
  <si>
    <t>german-xsk2g</t>
  </si>
  <si>
    <t>german-xsk3g</t>
  </si>
  <si>
    <t>russian-xsk2g</t>
  </si>
  <si>
    <t>russian-xsk3g</t>
  </si>
  <si>
    <t>11</t>
  </si>
  <si>
    <t>13</t>
  </si>
  <si>
    <t>14</t>
  </si>
  <si>
    <t>xsk</t>
  </si>
  <si>
    <t>sk</t>
  </si>
  <si>
    <t>encoding</t>
  </si>
  <si>
    <t>all</t>
  </si>
  <si>
    <t>arabic</t>
  </si>
  <si>
    <t>german</t>
  </si>
  <si>
    <t>english</t>
  </si>
  <si>
    <t>french</t>
  </si>
  <si>
    <t>russian</t>
  </si>
  <si>
    <t>lang</t>
  </si>
  <si>
    <t>norm</t>
  </si>
  <si>
    <t>stdev</t>
  </si>
  <si>
    <t>score</t>
  </si>
  <si>
    <t>1g</t>
  </si>
  <si>
    <t>1g included</t>
  </si>
  <si>
    <t>1g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</si>
</sst>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55">
    <dxf>
      <numFmt numFmtId="0" formatCode="General"/>
    </dxf>
    <dxf>
      <numFmt numFmtId="0" formatCode="General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7B8551-36BA-244F-AE5D-50876D8DBF0E}" name="Table134" displayName="Table134" ref="A1:S26" totalsRowShown="0">
  <autoFilter ref="A1:S26" xr:uid="{CFFBF5C2-C562-4A4E-B95B-091D1721BBE3}"/>
  <tableColumns count="19">
    <tableColumn id="1" xr3:uid="{9E9E0212-7486-2E4B-A741-3DB797860D58}" name="lang">
      <calculatedColumnFormula>_xlfn.LET(_xlpm.c,$C2,_xlfn.TEXTBEFORE(_xlpm.c,"-"))</calculatedColumnFormula>
    </tableColumn>
    <tableColumn id="17" xr3:uid="{9EC7ED7E-A2CD-6745-8904-BD45C8A9A6A4}" name="1g" dataDxfId="1">
      <calculatedColumnFormula>_xlfn.LET(_xlpm.c,_xlfn.SINGLE(Table134[condition]),IF(RIGHT(_xlpm.c,2)="1g",1,0))</calculatedColumnFormula>
    </tableColumn>
    <tableColumn id="16" xr3:uid="{1D8EEA6C-5FD7-4E4B-9FB9-CD513704A3FF}" name="condition"/>
    <tableColumn id="2" xr3:uid="{12E325DC-62DF-6142-8059-E7668F92375F}" name="3" dataDxfId="54"/>
    <tableColumn id="3" xr3:uid="{7F7DA63B-4766-A842-A43D-0F6AE97DA1EA}" name="4" dataDxfId="53"/>
    <tableColumn id="4" xr3:uid="{1CE0633E-4EA9-D449-89FA-FB5E2D5E42D8}" name="5" dataDxfId="52"/>
    <tableColumn id="5" xr3:uid="{7CA150EA-A5BE-894A-9B3C-DCFF159F074D}" name="6" dataDxfId="51"/>
    <tableColumn id="6" xr3:uid="{A653C4B7-1106-3843-BDE4-CF5F630FE434}" name="7" dataDxfId="50"/>
    <tableColumn id="7" xr3:uid="{0EA0892C-B2C6-7A45-B796-3B84C5AACE43}" name="8" dataDxfId="49"/>
    <tableColumn id="8" xr3:uid="{5156C72F-5364-D54B-95D8-7D866034E7C0}" name="9" dataDxfId="48"/>
    <tableColumn id="9" xr3:uid="{77879066-BCB0-4547-8E19-44BDEBD2A490}" name="10" dataDxfId="47"/>
    <tableColumn id="13" xr3:uid="{DBE0FDA5-1A73-D746-AACB-6A379E3C375F}" name="11" dataDxfId="46"/>
    <tableColumn id="10" xr3:uid="{C77BCB12-461C-7C44-98D5-132959D2C13E}" name="12" dataDxfId="45"/>
    <tableColumn id="14" xr3:uid="{7B4913A7-C2F5-5248-8C5B-32F30623E051}" name="13" dataDxfId="44"/>
    <tableColumn id="15" xr3:uid="{07D7A852-993E-4941-B4BD-887C5BD8FD08}" name="14" dataDxfId="43"/>
    <tableColumn id="11" xr3:uid="{CAFAA592-400B-CE4E-BE51-2427F5F11B80}" name="15" dataDxfId="42"/>
    <tableColumn id="12" xr3:uid="{944A0FA0-F1E2-5848-87A6-DA82C9238DBA}" name="average" dataDxfId="41">
      <calculatedColumnFormula>_xlfn.LET(_xlpm.d,$D2:$P2,AVERAGE(_xlpm.d))</calculatedColumnFormula>
    </tableColumn>
    <tableColumn id="21" xr3:uid="{A85FC35B-3D63-2248-988D-FE7DBA4501C5}" name="stdev" dataDxfId="40">
      <calculatedColumnFormula>_xlfn.LET(_xlpm.d,$D2:$P2,STDEV(_xlpm.d))</calculatedColumnFormula>
    </tableColumn>
    <tableColumn id="22" xr3:uid="{03EF95E7-8DFE-2948-9C9C-FEE23BD2F690}" name="score" dataDxfId="39">
      <calculatedColumnFormula>Table134[[#This Row],[average]]-SQRT(Table134[[#This Row],[stdev]])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6E39A2-3F88-BC47-9552-70018CF8FBD2}" name="Table13" displayName="Table13" ref="A1:S36" totalsRowShown="0">
  <autoFilter ref="A1:S36" xr:uid="{CFFBF5C2-C562-4A4E-B95B-091D1721BBE3}"/>
  <tableColumns count="19">
    <tableColumn id="1" xr3:uid="{5FA330AF-5AC1-1D45-8CDC-0BDFD794DEFE}" name="lang">
      <calculatedColumnFormula>_xlfn.LET(_xlpm.c,$C2,_xlfn.TEXTBEFORE(_xlpm.c,"-"))</calculatedColumnFormula>
    </tableColumn>
    <tableColumn id="17" xr3:uid="{5FEC06CD-F147-E94D-8133-6A7057922B45}" name="1g" dataDxfId="0">
      <calculatedColumnFormula>_xlfn.LET(_xlpm.c,_xlfn.SINGLE(Table13[condition]),IF(RIGHT(_xlpm.c,2)="1g",1,0))</calculatedColumnFormula>
    </tableColumn>
    <tableColumn id="16" xr3:uid="{95C215E4-6896-C548-8630-9AA9DCBCC9FF}" name="condition"/>
    <tableColumn id="2" xr3:uid="{4CA470D3-F958-7F47-8CDA-76CD6233B733}" name="3" dataDxfId="38"/>
    <tableColumn id="3" xr3:uid="{E34F5376-BD28-8844-9EBE-FAAD23E29C66}" name="4" dataDxfId="37"/>
    <tableColumn id="4" xr3:uid="{69DB00B1-8FC2-3743-AA6A-14670685A98A}" name="5" dataDxfId="36"/>
    <tableColumn id="5" xr3:uid="{6D3EB189-EAD3-CA40-8651-943882FA47B4}" name="6" dataDxfId="35"/>
    <tableColumn id="6" xr3:uid="{E7D869F3-4C03-2A46-9630-F8BD8C0F47F6}" name="7" dataDxfId="34"/>
    <tableColumn id="7" xr3:uid="{7F1F6495-4776-7D4D-A02A-1CF776A6B44F}" name="8" dataDxfId="33"/>
    <tableColumn id="8" xr3:uid="{DA0E3F98-0FA5-534A-BF60-7F8FAC8314C6}" name="9" dataDxfId="32"/>
    <tableColumn id="9" xr3:uid="{36C68ACD-5916-0B47-B5F4-25BC01A00C5E}" name="10" dataDxfId="31"/>
    <tableColumn id="13" xr3:uid="{41D33140-34AE-7448-8B20-9DBC65BCFFC7}" name="11" dataDxfId="30"/>
    <tableColumn id="10" xr3:uid="{2633299B-22B7-224D-B649-1E14168B3D35}" name="12" dataDxfId="29"/>
    <tableColumn id="14" xr3:uid="{D31FDAD6-9F13-244D-A87B-00084C7C58EA}" name="13" dataDxfId="28"/>
    <tableColumn id="15" xr3:uid="{F2BAB94F-8FA2-084D-9F24-E5FA69C54B59}" name="14" dataDxfId="27"/>
    <tableColumn id="11" xr3:uid="{A3AC9D2A-365E-574D-B42A-768808916D38}" name="15" dataDxfId="26"/>
    <tableColumn id="12" xr3:uid="{87B441F9-3AF7-DB45-82BA-18CD0F753193}" name="average" dataDxfId="25">
      <calculatedColumnFormula>_xlfn.LET(_xlpm.d,$D2:$P2,AVERAGE(_xlpm.d))</calculatedColumnFormula>
    </tableColumn>
    <tableColumn id="21" xr3:uid="{A11A6AA0-4E17-F349-98D6-D2DC034D6A9A}" name="stdev" dataDxfId="24">
      <calculatedColumnFormula>_xlfn.LET(_xlpm.d,$D2:$P2,STDEV(_xlpm.d))</calculatedColumnFormula>
    </tableColumn>
    <tableColumn id="22" xr3:uid="{E5F54F79-BD24-6A43-9502-98B674AE1640}" name="score" dataDxfId="23">
      <calculatedColumnFormula>Table13[[#This Row],[average]]-SQRT(Table13[[#This Row],[stdev]])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V36" totalsRowShown="0">
  <autoFilter ref="A1:V36" xr:uid="{CFFBF5C2-C562-4A4E-B95B-091D1721BBE3}"/>
  <tableColumns count="22">
    <tableColumn id="1" xr3:uid="{B965C989-233C-BA49-B251-382897A2BABE}" name="condition"/>
    <tableColumn id="20" xr3:uid="{F35624D0-F949-214D-BD2D-CAFFBDB13FDF}" name="lang" dataDxfId="22">
      <calculatedColumnFormula>_xlfn.TEXTBEFORE(Table1[[#This Row],[condition]],"-")</calculatedColumnFormula>
    </tableColumn>
    <tableColumn id="16" xr3:uid="{ED3D7830-52D2-2342-8C36-5C732C80DA5C}" name="xsk" dataDxfId="21">
      <calculatedColumnFormula>LEFT(Table1[[#This Row],[encoding]],3)=C$1</calculatedColumnFormula>
    </tableColumn>
    <tableColumn id="17" xr3:uid="{35EE7A08-BCD5-3140-9F5F-1714F122F254}" name="sk" dataDxfId="20">
      <calculatedColumnFormula>LEFT(Table1[[#This Row],[encoding]],2)=D$1</calculatedColumnFormula>
    </tableColumn>
    <tableColumn id="18" xr3:uid="{4BC61AEB-8174-4E44-89C2-380B7D578DCF}" name="norm" dataDxfId="19">
      <calculatedColumnFormula>NOT(OR(C2,D2))</calculatedColumnFormula>
    </tableColumn>
    <tableColumn id="19" xr3:uid="{0BBF53C1-52D1-C444-B8CE-3927D3347C52}" name="encoding" dataDxfId="18">
      <calculatedColumnFormula>_xlfn.TEXTAFTER(Table1[[#This Row],[condition]],"-")</calculatedColumnFormula>
    </tableColumn>
    <tableColumn id="2" xr3:uid="{E49E0B59-37B0-284D-BE77-40B5319AB755}" name="3" dataDxfId="17"/>
    <tableColumn id="3" xr3:uid="{12F044D8-6B04-8146-9059-0DD6BE8C153F}" name="4" dataDxfId="16"/>
    <tableColumn id="4" xr3:uid="{28314014-34F8-EF4B-AF7B-FC88FF8A6DA9}" name="5" dataDxfId="15"/>
    <tableColumn id="5" xr3:uid="{0BD4A703-F893-784A-B65E-DB2D1E798103}" name="6" dataDxfId="14"/>
    <tableColumn id="6" xr3:uid="{50D9F421-0114-CF41-9767-B830E35DC34D}" name="7" dataDxfId="13"/>
    <tableColumn id="7" xr3:uid="{E0DD0445-0346-1E47-9A2C-83486C4A03C4}" name="8" dataDxfId="12"/>
    <tableColumn id="8" xr3:uid="{5556115A-B62B-C140-944D-BADBB061EBB5}" name="9" dataDxfId="11"/>
    <tableColumn id="9" xr3:uid="{1B92E407-F94E-544F-B76D-B160EB3BC0AB}" name="10" dataDxfId="10"/>
    <tableColumn id="13" xr3:uid="{9CDDE4F6-FA7F-644D-B533-4942218F0695}" name="11" dataDxfId="9"/>
    <tableColumn id="10" xr3:uid="{6871B4E2-64FC-EF4F-91D7-DFBFD9EFB3C2}" name="12" dataDxfId="8"/>
    <tableColumn id="14" xr3:uid="{2A4D86B7-DFA8-4F4A-B5BF-8AD445AD0336}" name="13" dataDxfId="7"/>
    <tableColumn id="15" xr3:uid="{6A54E2D7-49D8-8B47-B14C-B80C17AAE8A0}" name="14" dataDxfId="6"/>
    <tableColumn id="11" xr3:uid="{059EBDD8-5269-D041-AFDD-56AB88BB8F27}" name="15" dataDxfId="5"/>
    <tableColumn id="12" xr3:uid="{486FCDF8-9414-E045-9047-739B6B9DD560}" name="average" dataDxfId="4">
      <calculatedColumnFormula>_xlfn.LET(_xlpm.d,$G2:$S2,AVERAGE(_xlpm.d))</calculatedColumnFormula>
    </tableColumn>
    <tableColumn id="21" xr3:uid="{E3733C8F-2F2F-6A4B-A352-A07FCBB06045}" name="stdev" dataDxfId="3">
      <calculatedColumnFormula>_xlfn.LET(_xlpm.d,$G2:$S2,STDEV(_xlpm.d))</calculatedColumnFormula>
    </tableColumn>
    <tableColumn id="22" xr3:uid="{93D88A92-C19B-B24D-9FE2-7F612F31FB11}" name="score" dataDxfId="2">
      <calculatedColumnFormula>Table1[[#This Row],[average]]-SQRT(Table1[[#This Row],[stdev]])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3856-45B2-6840-902E-EC4E427B4E23}">
  <dimension ref="A1:S42"/>
  <sheetViews>
    <sheetView workbookViewId="0">
      <pane xSplit="9080" ySplit="3520" topLeftCell="A31" activePane="bottomRight"/>
      <selection activeCell="B2" sqref="B2"/>
      <selection pane="topRight" activeCell="B2" sqref="B2"/>
      <selection pane="bottomLeft" activeCell="D29" sqref="D29"/>
      <selection pane="bottomRight" activeCell="C36" sqref="C36:D42"/>
    </sheetView>
  </sheetViews>
  <sheetFormatPr baseColWidth="10" defaultRowHeight="30" customHeight="1"/>
  <cols>
    <col min="1" max="1" width="10.625" customWidth="1"/>
    <col min="2" max="2" width="6.375" customWidth="1"/>
    <col min="3" max="3" width="14.5" customWidth="1"/>
    <col min="4" max="16" width="7" customWidth="1"/>
    <col min="17" max="18" width="7.375" customWidth="1"/>
    <col min="19" max="19" width="8.75" customWidth="1"/>
    <col min="20" max="20" width="9.125" customWidth="1"/>
    <col min="21" max="21" width="8.75" customWidth="1"/>
  </cols>
  <sheetData>
    <row r="1" spans="1:19" ht="30" customHeight="1">
      <c r="A1" t="s">
        <v>59</v>
      </c>
      <c r="B1" t="s">
        <v>63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47</v>
      </c>
      <c r="M1" t="s">
        <v>9</v>
      </c>
      <c r="N1" t="s">
        <v>48</v>
      </c>
      <c r="O1" t="s">
        <v>49</v>
      </c>
      <c r="P1" t="s">
        <v>10</v>
      </c>
      <c r="Q1" t="s">
        <v>36</v>
      </c>
      <c r="R1" t="s">
        <v>61</v>
      </c>
      <c r="S1" t="s">
        <v>62</v>
      </c>
    </row>
    <row r="2" spans="1:19" ht="30" customHeight="1">
      <c r="A2" t="str">
        <f>_xlfn.LET(_xlpm.c,$C2,_xlfn.TEXTBEFORE(_xlpm.c,"-"))</f>
        <v>arabic</v>
      </c>
      <c r="B2">
        <f>_xlfn.LET(_xlpm.c,_xlfn.SINGLE(Table134[condition]),IF(RIGHT(_xlpm.c,2)="1g",1,0))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>_xlfn.LET(_xlpm.d,$D2:$P2,AVERAGE(_xlpm.d))</f>
        <v>1</v>
      </c>
      <c r="R2" s="3">
        <f>_xlfn.LET(_xlpm.d,$D2:$P2,STDEV(_xlpm.d))</f>
        <v>0</v>
      </c>
      <c r="S2" s="1">
        <f>Table134[[#This Row],[average]]-SQRT(Table134[[#This Row],[stdev]])</f>
        <v>1</v>
      </c>
    </row>
    <row r="3" spans="1:19" ht="30" customHeight="1">
      <c r="A3" t="str">
        <f t="shared" ref="A3:A26" si="0">_xlfn.LET(_xlpm.c,$C3,_xlfn.TEXTBEFORE(_xlpm.c,"-"))</f>
        <v>arabic</v>
      </c>
      <c r="B3">
        <f>_xlfn.LET(_xlpm.c,_xlfn.SINGLE(Table134[condition]),IF(RIGHT(_xlpm.c,2)="1g",1,0))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ref="Q3:Q26" si="1">_xlfn.LET(_xlpm.d,$D3:$P3,AVERAGE(_xlpm.d))</f>
        <v>1</v>
      </c>
      <c r="R3" s="3">
        <f t="shared" ref="R3:R26" si="2">_xlfn.LET(_xlpm.d,$D3:$P3,STDEV(_xlpm.d))</f>
        <v>0</v>
      </c>
      <c r="S3" s="1">
        <f>Table134[[#This Row],[average]]-SQRT(Table134[[#This Row],[stdev]])</f>
        <v>1</v>
      </c>
    </row>
    <row r="4" spans="1:19" ht="30" customHeight="1">
      <c r="A4" t="str">
        <f t="shared" si="0"/>
        <v>arabic</v>
      </c>
      <c r="B4">
        <f>_xlfn.LET(_xlpm.c,_xlfn.SINGLE(Table134[condition]),IF(RIGHT(_xlpm.c,2)="1g",1,0))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 t="shared" si="1"/>
        <v>1</v>
      </c>
      <c r="R4" s="3">
        <f t="shared" si="2"/>
        <v>0</v>
      </c>
      <c r="S4" s="1">
        <f>Table134[[#This Row],[average]]-SQRT(Table134[[#This Row],[stdev]])</f>
        <v>1</v>
      </c>
    </row>
    <row r="5" spans="1:19" ht="30" customHeight="1">
      <c r="A5" t="str">
        <f t="shared" si="0"/>
        <v>arabic</v>
      </c>
      <c r="B5">
        <f>_xlfn.LET(_xlpm.c,_xlfn.SINGLE(Table134[condition]),IF(RIGHT(_xlpm.c,2)="1g",1,0))</f>
        <v>0</v>
      </c>
      <c r="C5" t="s">
        <v>14</v>
      </c>
      <c r="D5" s="1">
        <v>1</v>
      </c>
      <c r="E5" s="1">
        <v>1</v>
      </c>
      <c r="F5" s="1">
        <v>0.93741650206699101</v>
      </c>
      <c r="G5" s="1">
        <v>1</v>
      </c>
      <c r="H5" s="1">
        <v>1</v>
      </c>
      <c r="I5" s="1">
        <v>1</v>
      </c>
      <c r="J5" s="1">
        <v>0.81139757216219</v>
      </c>
      <c r="K5" s="1">
        <v>0.98987137100627498</v>
      </c>
      <c r="L5" s="1">
        <v>0.86115508387139905</v>
      </c>
      <c r="M5" s="1">
        <v>0.98513379052067596</v>
      </c>
      <c r="N5" s="1">
        <v>0.97603108566307795</v>
      </c>
      <c r="O5" s="1">
        <v>0.992292618629804</v>
      </c>
      <c r="P5" s="1">
        <v>1</v>
      </c>
      <c r="Q5" s="1">
        <f t="shared" si="1"/>
        <v>0.96563830953233942</v>
      </c>
      <c r="R5" s="3">
        <f t="shared" si="2"/>
        <v>6.0809505556915507E-2</v>
      </c>
      <c r="S5" s="1">
        <f>Table134[[#This Row],[average]]-SQRT(Table134[[#This Row],[stdev]])</f>
        <v>0.71904247510500063</v>
      </c>
    </row>
    <row r="6" spans="1:19" ht="30" customHeight="1">
      <c r="A6" t="str">
        <f t="shared" si="0"/>
        <v>arabic</v>
      </c>
      <c r="B6">
        <f>_xlfn.LET(_xlpm.c,_xlfn.SINGLE(Table134[condition]),IF(RIGHT(_xlpm.c,2)="1g",1,0))</f>
        <v>0</v>
      </c>
      <c r="C6" t="s">
        <v>15</v>
      </c>
      <c r="D6" s="1">
        <v>0.98948563009274104</v>
      </c>
      <c r="E6" s="1">
        <v>0.92706473864343797</v>
      </c>
      <c r="F6" s="1">
        <v>0.98590298263896803</v>
      </c>
      <c r="G6" s="1">
        <v>1</v>
      </c>
      <c r="H6" s="1">
        <v>0.98760377105832098</v>
      </c>
      <c r="I6" s="1">
        <v>1</v>
      </c>
      <c r="J6" s="1">
        <v>0.85740406193676499</v>
      </c>
      <c r="K6" s="1">
        <v>0.84566844683333997</v>
      </c>
      <c r="L6" s="1">
        <v>0.69051749641685201</v>
      </c>
      <c r="M6" s="1">
        <v>0.70280806210893998</v>
      </c>
      <c r="N6" s="1">
        <v>1</v>
      </c>
      <c r="O6" s="1">
        <v>0.74758769188137697</v>
      </c>
      <c r="P6" s="1">
        <v>0.85484228907249205</v>
      </c>
      <c r="Q6" s="1">
        <f t="shared" si="1"/>
        <v>0.8914527054371717</v>
      </c>
      <c r="R6" s="3">
        <f t="shared" si="2"/>
        <v>0.11749001086344858</v>
      </c>
      <c r="S6" s="1">
        <f>Table134[[#This Row],[average]]-SQRT(Table134[[#This Row],[stdev]])</f>
        <v>0.5486845463799912</v>
      </c>
    </row>
    <row r="7" spans="1:19" ht="30" customHeight="1">
      <c r="A7" t="str">
        <f t="shared" si="0"/>
        <v>english</v>
      </c>
      <c r="B7">
        <f>_xlfn.LET(_xlpm.c,_xlfn.SINGLE(Table134[condition]),IF(RIGHT(_xlpm.c,2)="1g",1,0))</f>
        <v>1</v>
      </c>
      <c r="C7" t="s">
        <v>16</v>
      </c>
      <c r="D7" s="1">
        <v>1</v>
      </c>
      <c r="E7" s="1">
        <v>0.74193662337281896</v>
      </c>
      <c r="F7" s="1">
        <v>0.72231202504951397</v>
      </c>
      <c r="G7" s="1">
        <v>0.60405633120278002</v>
      </c>
      <c r="H7" s="1">
        <v>0.831412550414655</v>
      </c>
      <c r="I7" s="1">
        <v>0.43025661819474498</v>
      </c>
      <c r="J7" s="1">
        <v>0.59793497358768899</v>
      </c>
      <c r="K7" s="1">
        <v>0.43801146096476801</v>
      </c>
      <c r="L7" s="1">
        <v>0.22554495275564601</v>
      </c>
      <c r="M7" s="1">
        <v>0.487733937546528</v>
      </c>
      <c r="N7" s="1">
        <v>0.62718992217792602</v>
      </c>
      <c r="O7" s="1">
        <v>0.29624621574579402</v>
      </c>
      <c r="P7" s="1">
        <v>0.31774695488063298</v>
      </c>
      <c r="Q7" s="1">
        <f t="shared" si="1"/>
        <v>0.56310635122257668</v>
      </c>
      <c r="R7" s="3">
        <f t="shared" si="2"/>
        <v>0.22574500260951541</v>
      </c>
      <c r="S7" s="1">
        <f>Table134[[#This Row],[average]]-SQRT(Table134[[#This Row],[stdev]])</f>
        <v>8.7980049477961175E-2</v>
      </c>
    </row>
    <row r="8" spans="1:19" ht="30" customHeight="1">
      <c r="A8" t="str">
        <f t="shared" si="0"/>
        <v>english</v>
      </c>
      <c r="B8">
        <f>_xlfn.LET(_xlpm.c,_xlfn.SINGLE(Table134[condition]),IF(RIGHT(_xlpm.c,2)="1g",1,0))</f>
        <v>0</v>
      </c>
      <c r="C8" t="s">
        <v>17</v>
      </c>
      <c r="D8" s="1">
        <v>0.401426642894332</v>
      </c>
      <c r="E8" s="1">
        <v>0.388500799763142</v>
      </c>
      <c r="F8" s="1">
        <v>0.33335788968045399</v>
      </c>
      <c r="G8" s="1">
        <v>0.66242662941288799</v>
      </c>
      <c r="H8" s="1">
        <v>0</v>
      </c>
      <c r="I8" s="1">
        <v>0.32813324892699802</v>
      </c>
      <c r="J8" s="1">
        <v>0.34673554669703099</v>
      </c>
      <c r="K8" s="1">
        <v>0.25766720746327698</v>
      </c>
      <c r="L8" s="1">
        <v>0.31250067185335101</v>
      </c>
      <c r="M8" s="1">
        <v>0.20127708745537801</v>
      </c>
      <c r="N8" s="1">
        <v>0</v>
      </c>
      <c r="O8" s="1">
        <v>0.37514144305591202</v>
      </c>
      <c r="P8" s="1">
        <v>0.40492318578727798</v>
      </c>
      <c r="Q8" s="1">
        <f t="shared" si="1"/>
        <v>0.30862233484538781</v>
      </c>
      <c r="R8" s="3">
        <f t="shared" si="2"/>
        <v>0.1734321273066218</v>
      </c>
      <c r="S8" s="1">
        <f>Table134[[#This Row],[average]]-SQRT(Table134[[#This Row],[stdev]])</f>
        <v>-0.10782949587050877</v>
      </c>
    </row>
    <row r="9" spans="1:19" ht="30" customHeight="1">
      <c r="A9" t="str">
        <f t="shared" si="0"/>
        <v>english</v>
      </c>
      <c r="B9">
        <f>_xlfn.LET(_xlpm.c,_xlfn.SINGLE(Table134[condition]),IF(RIGHT(_xlpm.c,2)="1g",1,0))</f>
        <v>0</v>
      </c>
      <c r="C9" t="s">
        <v>18</v>
      </c>
      <c r="D9" s="1">
        <v>0.48838201014648602</v>
      </c>
      <c r="E9" s="1">
        <v>0.56311931871621901</v>
      </c>
      <c r="F9" s="1">
        <v>0.46972519286214798</v>
      </c>
      <c r="G9" s="1">
        <v>0.43321286869285902</v>
      </c>
      <c r="H9" s="1">
        <v>0.51992404733605901</v>
      </c>
      <c r="I9" s="1">
        <v>0.38199124572388199</v>
      </c>
      <c r="J9" s="1">
        <v>0.36713716387615403</v>
      </c>
      <c r="K9" s="1">
        <v>0.22177760406665101</v>
      </c>
      <c r="L9" s="1">
        <v>0.43178561471157501</v>
      </c>
      <c r="M9" s="1">
        <v>0.43637252039376501</v>
      </c>
      <c r="N9" s="1">
        <v>0.54061662770726004</v>
      </c>
      <c r="O9" s="1">
        <v>0.43762284507777899</v>
      </c>
      <c r="P9" s="1">
        <v>0.34544876024636401</v>
      </c>
      <c r="Q9" s="1">
        <f t="shared" si="1"/>
        <v>0.43362429381209239</v>
      </c>
      <c r="R9" s="3">
        <f t="shared" si="2"/>
        <v>9.1165233142293328E-2</v>
      </c>
      <c r="S9" s="1">
        <f>Table134[[#This Row],[average]]-SQRT(Table134[[#This Row],[stdev]])</f>
        <v>0.13168848417320023</v>
      </c>
    </row>
    <row r="10" spans="1:19" ht="30" customHeight="1">
      <c r="A10" t="str">
        <f t="shared" si="0"/>
        <v>english</v>
      </c>
      <c r="B10">
        <f>_xlfn.LET(_xlpm.c,_xlfn.SINGLE(Table134[condition]),IF(RIGHT(_xlpm.c,2)="1g",1,0))</f>
        <v>0</v>
      </c>
      <c r="C10" t="s">
        <v>19</v>
      </c>
      <c r="D10" s="1">
        <v>0.56932451332801604</v>
      </c>
      <c r="E10" s="1">
        <v>0.48055063065652898</v>
      </c>
      <c r="F10" s="1">
        <v>0.60685310934650105</v>
      </c>
      <c r="G10" s="1">
        <v>0.45928175915284503</v>
      </c>
      <c r="H10" s="1">
        <v>0.38170748811841299</v>
      </c>
      <c r="I10" s="1">
        <v>0.31530927749806797</v>
      </c>
      <c r="J10" s="1">
        <v>0.49256238033760902</v>
      </c>
      <c r="K10" s="1">
        <v>0.42806833233668001</v>
      </c>
      <c r="L10" s="1">
        <v>0.66709981195963497</v>
      </c>
      <c r="M10" s="1">
        <v>0.59732710515819298</v>
      </c>
      <c r="N10" s="1">
        <v>0.40934270756308999</v>
      </c>
      <c r="O10" s="1">
        <v>0.42843978703157998</v>
      </c>
      <c r="P10" s="1">
        <v>0.55688165974820403</v>
      </c>
      <c r="Q10" s="1">
        <f t="shared" si="1"/>
        <v>0.4917498894027203</v>
      </c>
      <c r="R10" s="3">
        <f t="shared" si="2"/>
        <v>0.10193061401237075</v>
      </c>
      <c r="S10" s="1">
        <f>Table134[[#This Row],[average]]-SQRT(Table134[[#This Row],[stdev]])</f>
        <v>0.17248414740654128</v>
      </c>
    </row>
    <row r="11" spans="1:19" ht="30" customHeight="1">
      <c r="A11" t="str">
        <f t="shared" si="0"/>
        <v>english</v>
      </c>
      <c r="B11">
        <f>_xlfn.LET(_xlpm.c,_xlfn.SINGLE(Table134[condition]),IF(RIGHT(_xlpm.c,2)="1g",1,0))</f>
        <v>0</v>
      </c>
      <c r="C11" t="s">
        <v>20</v>
      </c>
      <c r="D11" s="1">
        <v>0.50062086834050801</v>
      </c>
      <c r="E11" s="1">
        <v>0.61522247584441903</v>
      </c>
      <c r="F11" s="1">
        <v>0.74741757679187004</v>
      </c>
      <c r="G11" s="1">
        <v>0.35436370483832202</v>
      </c>
      <c r="H11" s="1">
        <v>0.50076073913614005</v>
      </c>
      <c r="I11" s="1">
        <v>0.22956483027029501</v>
      </c>
      <c r="J11" s="1">
        <v>0.34486682270145103</v>
      </c>
      <c r="K11" s="1">
        <v>0.22755536015734501</v>
      </c>
      <c r="L11" s="1">
        <v>0.57719100609473495</v>
      </c>
      <c r="M11" s="1">
        <v>0.32654877499422102</v>
      </c>
      <c r="N11" s="1">
        <v>0.30799182063174202</v>
      </c>
      <c r="O11" s="1">
        <v>0.45992013096648499</v>
      </c>
      <c r="P11" s="1">
        <v>0.50604354457975298</v>
      </c>
      <c r="Q11" s="1">
        <f t="shared" si="1"/>
        <v>0.4383128965651758</v>
      </c>
      <c r="R11" s="3">
        <f t="shared" si="2"/>
        <v>0.15604889540419781</v>
      </c>
      <c r="S11" s="1">
        <f>Table134[[#This Row],[average]]-SQRT(Table134[[#This Row],[stdev]])</f>
        <v>4.3282650376105125E-2</v>
      </c>
    </row>
    <row r="12" spans="1:19" ht="30" customHeight="1">
      <c r="A12" t="str">
        <f t="shared" si="0"/>
        <v>french</v>
      </c>
      <c r="B12">
        <f>_xlfn.LET(_xlpm.c,_xlfn.SINGLE(Table134[condition]),IF(RIGHT(_xlpm.c,2)="1g",1,0))</f>
        <v>1</v>
      </c>
      <c r="C12" t="s">
        <v>21</v>
      </c>
      <c r="D12" s="1">
        <v>1</v>
      </c>
      <c r="E12" s="1">
        <v>0.82343509724196096</v>
      </c>
      <c r="F12" s="1">
        <v>0.73805030091847501</v>
      </c>
      <c r="G12" s="1">
        <v>0.60114498847877795</v>
      </c>
      <c r="H12" s="1">
        <v>0.62115331979232902</v>
      </c>
      <c r="I12" s="1">
        <v>0.72833772976989597</v>
      </c>
      <c r="J12" s="1">
        <v>0.53225673273868701</v>
      </c>
      <c r="K12" s="1">
        <v>0.59086148360908897</v>
      </c>
      <c r="L12" s="1">
        <v>0.62478171149599504</v>
      </c>
      <c r="M12" s="1">
        <v>0.56978090597397502</v>
      </c>
      <c r="N12" s="1">
        <v>0.38274515256360597</v>
      </c>
      <c r="O12" s="1">
        <v>0.63838193214806005</v>
      </c>
      <c r="P12" s="1">
        <v>0.68242109303004495</v>
      </c>
      <c r="Q12" s="1">
        <f t="shared" si="1"/>
        <v>0.65641157290468422</v>
      </c>
      <c r="R12" s="3">
        <f t="shared" si="2"/>
        <v>0.14893989013183279</v>
      </c>
      <c r="S12" s="1">
        <f>Table134[[#This Row],[average]]-SQRT(Table134[[#This Row],[stdev]])</f>
        <v>0.27048426092504108</v>
      </c>
    </row>
    <row r="13" spans="1:19" ht="30" customHeight="1">
      <c r="A13" t="str">
        <f t="shared" si="0"/>
        <v>french</v>
      </c>
      <c r="B13">
        <f>_xlfn.LET(_xlpm.c,_xlfn.SINGLE(Table134[condition]),IF(RIGHT(_xlpm.c,2)="1g",1,0))</f>
        <v>0</v>
      </c>
      <c r="C13" t="s">
        <v>22</v>
      </c>
      <c r="D13" s="1">
        <v>0.38055386759410798</v>
      </c>
      <c r="E13" s="1">
        <v>0.569406652765023</v>
      </c>
      <c r="F13" s="1">
        <v>0.51131015527350299</v>
      </c>
      <c r="G13" s="1">
        <v>0.14454733705115799</v>
      </c>
      <c r="H13" s="1">
        <v>0.40371785560450801</v>
      </c>
      <c r="I13" s="1">
        <v>0.39112601818274201</v>
      </c>
      <c r="J13" s="1">
        <v>0.32941164296130099</v>
      </c>
      <c r="K13" s="1">
        <v>0.25323534526213198</v>
      </c>
      <c r="L13" s="1">
        <v>0.25458608633575402</v>
      </c>
      <c r="M13" s="1">
        <v>0.39660751023200902</v>
      </c>
      <c r="N13" s="1">
        <v>0</v>
      </c>
      <c r="O13" s="1">
        <v>0.22163979103303599</v>
      </c>
      <c r="P13" s="1">
        <v>0.590942513385735</v>
      </c>
      <c r="Q13" s="1">
        <f t="shared" si="1"/>
        <v>0.34208344428315457</v>
      </c>
      <c r="R13" s="3">
        <f t="shared" si="2"/>
        <v>0.16811697219249036</v>
      </c>
      <c r="S13" s="1">
        <f>Table134[[#This Row],[average]]-SQRT(Table134[[#This Row],[stdev]])</f>
        <v>-6.793725299015424E-2</v>
      </c>
    </row>
    <row r="14" spans="1:19" ht="30" customHeight="1">
      <c r="A14" t="str">
        <f t="shared" si="0"/>
        <v>french</v>
      </c>
      <c r="B14">
        <f>_xlfn.LET(_xlpm.c,_xlfn.SINGLE(Table134[condition]),IF(RIGHT(_xlpm.c,2)="1g",1,0))</f>
        <v>0</v>
      </c>
      <c r="C14" t="s">
        <v>23</v>
      </c>
      <c r="D14" s="1">
        <v>0.65613638816046105</v>
      </c>
      <c r="E14" s="1">
        <v>0.32591262339001398</v>
      </c>
      <c r="F14" s="1">
        <v>0.61035076164203705</v>
      </c>
      <c r="G14" s="1">
        <v>0.45708724563866199</v>
      </c>
      <c r="H14" s="1">
        <v>0.40553303108398198</v>
      </c>
      <c r="I14" s="1">
        <v>0.33223279697987002</v>
      </c>
      <c r="J14" s="1">
        <v>0.29509455195216</v>
      </c>
      <c r="K14" s="1">
        <v>0.43540083874625102</v>
      </c>
      <c r="L14" s="1">
        <v>0.51038092117326395</v>
      </c>
      <c r="M14" s="1">
        <v>0.228092753604657</v>
      </c>
      <c r="N14" s="1">
        <v>0</v>
      </c>
      <c r="O14" s="1">
        <v>0.28708461149194298</v>
      </c>
      <c r="P14" s="1">
        <v>0.20575135159432301</v>
      </c>
      <c r="Q14" s="1">
        <f t="shared" si="1"/>
        <v>0.36531214426597103</v>
      </c>
      <c r="R14" s="3">
        <f t="shared" si="2"/>
        <v>0.17608208834569131</v>
      </c>
      <c r="S14" s="1">
        <f>Table134[[#This Row],[average]]-SQRT(Table134[[#This Row],[stdev]])</f>
        <v>-5.4309218805180637E-2</v>
      </c>
    </row>
    <row r="15" spans="1:19" ht="30" customHeight="1">
      <c r="A15" t="str">
        <f t="shared" si="0"/>
        <v>french</v>
      </c>
      <c r="B15">
        <f>_xlfn.LET(_xlpm.c,_xlfn.SINGLE(Table134[condition]),IF(RIGHT(_xlpm.c,2)="1g",1,0))</f>
        <v>0</v>
      </c>
      <c r="C15" t="s">
        <v>24</v>
      </c>
      <c r="D15" s="1">
        <v>0.62053832570441803</v>
      </c>
      <c r="E15" s="1">
        <v>0.54366660579845905</v>
      </c>
      <c r="F15" s="1">
        <v>0.70219309410513997</v>
      </c>
      <c r="G15" s="1">
        <v>0.59971714721511404</v>
      </c>
      <c r="H15" s="1">
        <v>0.53546021391788201</v>
      </c>
      <c r="I15" s="1">
        <v>0.61260025229374504</v>
      </c>
      <c r="J15" s="1">
        <v>0.46772143414454398</v>
      </c>
      <c r="K15" s="1">
        <v>0.379801932788493</v>
      </c>
      <c r="L15" s="1">
        <v>0.56849378165931996</v>
      </c>
      <c r="M15" s="1">
        <v>0.39997936477650498</v>
      </c>
      <c r="N15" s="1">
        <v>0.14379762962558701</v>
      </c>
      <c r="O15" s="1">
        <v>0.383634656102741</v>
      </c>
      <c r="P15" s="1">
        <v>0.38155999765298998</v>
      </c>
      <c r="Q15" s="1">
        <f t="shared" si="1"/>
        <v>0.4876280335219183</v>
      </c>
      <c r="R15" s="3">
        <f t="shared" si="2"/>
        <v>0.14827965453973813</v>
      </c>
      <c r="S15" s="1">
        <f>Table134[[#This Row],[average]]-SQRT(Table134[[#This Row],[stdev]])</f>
        <v>0.10255706014202548</v>
      </c>
    </row>
    <row r="16" spans="1:19" ht="30" customHeight="1">
      <c r="A16" t="str">
        <f t="shared" si="0"/>
        <v>french</v>
      </c>
      <c r="B16">
        <f>_xlfn.LET(_xlpm.c,_xlfn.SINGLE(Table134[condition]),IF(RIGHT(_xlpm.c,2)="1g",1,0))</f>
        <v>0</v>
      </c>
      <c r="C16" t="s">
        <v>25</v>
      </c>
      <c r="D16" s="1">
        <v>0.67639898726641101</v>
      </c>
      <c r="E16" s="1">
        <v>0.61554979271321097</v>
      </c>
      <c r="F16" s="1">
        <v>0.43449136606149402</v>
      </c>
      <c r="G16" s="1">
        <v>0.68160905093864299</v>
      </c>
      <c r="H16" s="1">
        <v>0.58203267317905005</v>
      </c>
      <c r="I16" s="1">
        <v>0.507837340868044</v>
      </c>
      <c r="J16" s="1">
        <v>0.42163621326362</v>
      </c>
      <c r="K16" s="1">
        <v>0.35833547560406998</v>
      </c>
      <c r="L16" s="1">
        <v>0.46124032968001599</v>
      </c>
      <c r="M16" s="1">
        <v>0.40167369325524999</v>
      </c>
      <c r="N16" s="1">
        <v>0.68732766885194496</v>
      </c>
      <c r="O16" s="1">
        <v>0.41495544738409901</v>
      </c>
      <c r="P16" s="1">
        <v>0.38681237808306801</v>
      </c>
      <c r="Q16" s="1">
        <f t="shared" si="1"/>
        <v>0.50999233978068625</v>
      </c>
      <c r="R16" s="3">
        <f t="shared" si="2"/>
        <v>0.12238944823482638</v>
      </c>
      <c r="S16" s="1">
        <f>Table134[[#This Row],[average]]-SQRT(Table134[[#This Row],[stdev]])</f>
        <v>0.16015030652163609</v>
      </c>
    </row>
    <row r="17" spans="1:19" ht="30" customHeight="1">
      <c r="A17" t="str">
        <f t="shared" si="0"/>
        <v>german</v>
      </c>
      <c r="B17">
        <f>_xlfn.LET(_xlpm.c,_xlfn.SINGLE(Table134[condition]),IF(RIGHT(_xlpm.c,2)="1g",1,0))</f>
        <v>1</v>
      </c>
      <c r="C17" t="s">
        <v>26</v>
      </c>
      <c r="D17" s="1">
        <v>1</v>
      </c>
      <c r="E17" s="1">
        <v>0.71998017214334598</v>
      </c>
      <c r="F17" s="1">
        <v>0.695772931352586</v>
      </c>
      <c r="G17" s="1">
        <v>0.79735144017417803</v>
      </c>
      <c r="H17" s="1">
        <v>0.79470341285568402</v>
      </c>
      <c r="I17" s="1">
        <v>0.76876466084145001</v>
      </c>
      <c r="J17" s="1">
        <v>0.54239108498988398</v>
      </c>
      <c r="K17" s="1">
        <v>0.74753645999836105</v>
      </c>
      <c r="L17" s="1">
        <v>0.72825197871357705</v>
      </c>
      <c r="M17" s="1">
        <v>0.58059494659154198</v>
      </c>
      <c r="N17" s="1">
        <v>0.59485837733048896</v>
      </c>
      <c r="O17" s="1">
        <v>0.67916893219846597</v>
      </c>
      <c r="P17" s="1">
        <v>0.67881343597684696</v>
      </c>
      <c r="Q17" s="1">
        <f t="shared" si="1"/>
        <v>0.71755291024357004</v>
      </c>
      <c r="R17" s="3">
        <f t="shared" si="2"/>
        <v>0.11679038331704608</v>
      </c>
      <c r="S17" s="1">
        <f>Table134[[#This Row],[average]]-SQRT(Table134[[#This Row],[stdev]])</f>
        <v>0.37580683006554361</v>
      </c>
    </row>
    <row r="18" spans="1:19" ht="30" customHeight="1">
      <c r="A18" t="str">
        <f t="shared" si="0"/>
        <v>german</v>
      </c>
      <c r="B18">
        <f>_xlfn.LET(_xlpm.c,_xlfn.SINGLE(Table134[condition]),IF(RIGHT(_xlpm.c,2)="1g",1,0))</f>
        <v>0</v>
      </c>
      <c r="C18" t="s">
        <v>27</v>
      </c>
      <c r="D18" s="1">
        <v>0.59620138113468701</v>
      </c>
      <c r="E18" s="1">
        <v>0.53799243148856801</v>
      </c>
      <c r="F18" s="1">
        <v>0.46901929055263503</v>
      </c>
      <c r="G18" s="1">
        <v>0.65350178927070002</v>
      </c>
      <c r="H18" s="1">
        <v>0.27938314162152</v>
      </c>
      <c r="I18" s="1">
        <v>0.43517293345968699</v>
      </c>
      <c r="J18" s="1">
        <v>0.328611119309138</v>
      </c>
      <c r="K18" s="1">
        <v>0.32944321247472602</v>
      </c>
      <c r="L18" s="1">
        <v>0.53422175971713604</v>
      </c>
      <c r="M18" s="1">
        <v>0.52872876935838897</v>
      </c>
      <c r="N18" s="1">
        <v>0.42479068347523702</v>
      </c>
      <c r="O18" s="1">
        <v>0.50105118616404698</v>
      </c>
      <c r="P18" s="1">
        <v>0.37713772182914201</v>
      </c>
      <c r="Q18" s="1">
        <f t="shared" si="1"/>
        <v>0.46117349383504708</v>
      </c>
      <c r="R18" s="3">
        <f t="shared" si="2"/>
        <v>0.11169546967771862</v>
      </c>
      <c r="S18" s="1">
        <f>Table134[[#This Row],[average]]-SQRT(Table134[[#This Row],[stdev]])</f>
        <v>0.12696477210905949</v>
      </c>
    </row>
    <row r="19" spans="1:19" ht="30" customHeight="1">
      <c r="A19" t="str">
        <f t="shared" si="0"/>
        <v>german</v>
      </c>
      <c r="B19">
        <f>_xlfn.LET(_xlpm.c,_xlfn.SINGLE(Table134[condition]),IF(RIGHT(_xlpm.c,2)="1g",1,0))</f>
        <v>0</v>
      </c>
      <c r="C19" t="s">
        <v>28</v>
      </c>
      <c r="D19" s="1">
        <v>0.59970441373952499</v>
      </c>
      <c r="E19" s="1">
        <v>0.55943584490868303</v>
      </c>
      <c r="F19" s="1">
        <v>0.51829680679940004</v>
      </c>
      <c r="G19" s="1">
        <v>0.67596892743794101</v>
      </c>
      <c r="H19" s="1">
        <v>0.57178747902607296</v>
      </c>
      <c r="I19" s="1">
        <v>0.43334160794606702</v>
      </c>
      <c r="J19" s="1">
        <v>0.65656850960406099</v>
      </c>
      <c r="K19" s="1">
        <v>0.63932560850068698</v>
      </c>
      <c r="L19" s="1">
        <v>0.21000753619395399</v>
      </c>
      <c r="M19" s="1">
        <v>0.35249887493906501</v>
      </c>
      <c r="N19" s="1">
        <v>0.57921213757388001</v>
      </c>
      <c r="O19" s="1">
        <v>0.22333423280835701</v>
      </c>
      <c r="P19" s="1">
        <v>0.351693122570572</v>
      </c>
      <c r="Q19" s="1">
        <f t="shared" si="1"/>
        <v>0.49009039246525121</v>
      </c>
      <c r="R19" s="3">
        <f t="shared" si="2"/>
        <v>0.16012614278761877</v>
      </c>
      <c r="S19" s="1">
        <f>Table134[[#This Row],[average]]-SQRT(Table134[[#This Row],[stdev]])</f>
        <v>8.9932745046613471E-2</v>
      </c>
    </row>
    <row r="20" spans="1:19" ht="30" customHeight="1">
      <c r="A20" t="str">
        <f t="shared" si="0"/>
        <v>german</v>
      </c>
      <c r="B20">
        <f>_xlfn.LET(_xlpm.c,_xlfn.SINGLE(Table134[condition]),IF(RIGHT(_xlpm.c,2)="1g",1,0))</f>
        <v>0</v>
      </c>
      <c r="C20" t="s">
        <v>29</v>
      </c>
      <c r="D20" s="1">
        <v>0.75084651012992298</v>
      </c>
      <c r="E20" s="1">
        <v>0.53513544631274801</v>
      </c>
      <c r="F20" s="1">
        <v>0.60891176616922205</v>
      </c>
      <c r="G20" s="1">
        <v>0.54152915793172496</v>
      </c>
      <c r="H20" s="1">
        <v>0.57719174250826299</v>
      </c>
      <c r="I20" s="1">
        <v>0.53127112990087699</v>
      </c>
      <c r="J20" s="1">
        <v>0.51610139431381497</v>
      </c>
      <c r="K20" s="1">
        <v>0.297611016440612</v>
      </c>
      <c r="L20" s="1">
        <v>0.29832838918927401</v>
      </c>
      <c r="M20" s="1">
        <v>0.45764636017034899</v>
      </c>
      <c r="N20" s="1">
        <v>0.47720072478549802</v>
      </c>
      <c r="O20" s="1">
        <v>0.58717103312894803</v>
      </c>
      <c r="P20" s="1">
        <v>0.396812588597236</v>
      </c>
      <c r="Q20" s="1">
        <f t="shared" si="1"/>
        <v>0.50582748150603785</v>
      </c>
      <c r="R20" s="3">
        <f t="shared" si="2"/>
        <v>0.1247303599991173</v>
      </c>
      <c r="S20" s="1">
        <f>Table134[[#This Row],[average]]-SQRT(Table134[[#This Row],[stdev]])</f>
        <v>0.1526556253239274</v>
      </c>
    </row>
    <row r="21" spans="1:19" ht="30" customHeight="1">
      <c r="A21" t="str">
        <f t="shared" si="0"/>
        <v>german</v>
      </c>
      <c r="B21">
        <f>_xlfn.LET(_xlpm.c,_xlfn.SINGLE(Table134[condition]),IF(RIGHT(_xlpm.c,2)="1g",1,0))</f>
        <v>0</v>
      </c>
      <c r="C21" t="s">
        <v>30</v>
      </c>
      <c r="D21" s="1">
        <v>0.61435197776716599</v>
      </c>
      <c r="E21" s="1">
        <v>0.61698208330470194</v>
      </c>
      <c r="F21" s="1">
        <v>0.66249763415099205</v>
      </c>
      <c r="G21" s="1">
        <v>0.55730728123405104</v>
      </c>
      <c r="H21" s="1">
        <v>0.53958729362717395</v>
      </c>
      <c r="I21" s="1">
        <v>0.540473173835475</v>
      </c>
      <c r="J21" s="1">
        <v>0.43634929911918602</v>
      </c>
      <c r="K21" s="1">
        <v>0.47815059294519302</v>
      </c>
      <c r="L21" s="1">
        <v>0.50879627493142998</v>
      </c>
      <c r="M21" s="1">
        <v>0.59214047694354699</v>
      </c>
      <c r="N21" s="1">
        <v>0.22080114356834801</v>
      </c>
      <c r="O21" s="1">
        <v>0.30975067280558599</v>
      </c>
      <c r="P21" s="1">
        <v>0.49746961033695197</v>
      </c>
      <c r="Q21" s="1">
        <f t="shared" si="1"/>
        <v>0.50574288573613857</v>
      </c>
      <c r="R21" s="3">
        <f t="shared" si="2"/>
        <v>0.12465837694810723</v>
      </c>
      <c r="S21" s="1">
        <f>Table134[[#This Row],[average]]-SQRT(Table134[[#This Row],[stdev]])</f>
        <v>0.1526729536432071</v>
      </c>
    </row>
    <row r="22" spans="1:19" ht="30" customHeight="1">
      <c r="A22" t="str">
        <f t="shared" si="0"/>
        <v>russian</v>
      </c>
      <c r="B22">
        <f>_xlfn.LET(_xlpm.c,_xlfn.SINGLE(Table134[condition]),IF(RIGHT(_xlpm.c,2)="1g",1,0))</f>
        <v>1</v>
      </c>
      <c r="C22" t="s">
        <v>31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f t="shared" si="1"/>
        <v>1</v>
      </c>
      <c r="R22" s="3">
        <f t="shared" si="2"/>
        <v>0</v>
      </c>
      <c r="S22" s="1">
        <f>Table134[[#This Row],[average]]-SQRT(Table134[[#This Row],[stdev]])</f>
        <v>1</v>
      </c>
    </row>
    <row r="23" spans="1:19" ht="30" customHeight="1">
      <c r="A23" t="str">
        <f t="shared" si="0"/>
        <v>russian</v>
      </c>
      <c r="B23">
        <f>_xlfn.LET(_xlpm.c,_xlfn.SINGLE(Table134[condition]),IF(RIGHT(_xlpm.c,2)="1g",1,0))</f>
        <v>0</v>
      </c>
      <c r="C23" t="s">
        <v>32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f t="shared" si="1"/>
        <v>1</v>
      </c>
      <c r="R23" s="3">
        <f t="shared" si="2"/>
        <v>0</v>
      </c>
      <c r="S23" s="1">
        <f>Table134[[#This Row],[average]]-SQRT(Table134[[#This Row],[stdev]])</f>
        <v>1</v>
      </c>
    </row>
    <row r="24" spans="1:19" ht="30" customHeight="1">
      <c r="A24" t="str">
        <f t="shared" si="0"/>
        <v>russian</v>
      </c>
      <c r="B24">
        <f>_xlfn.LET(_xlpm.c,_xlfn.SINGLE(Table134[condition]),IF(RIGHT(_xlpm.c,2)="1g",1,0))</f>
        <v>0</v>
      </c>
      <c r="C24" t="s">
        <v>33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0.93517015324375397</v>
      </c>
      <c r="M24" s="1">
        <v>1</v>
      </c>
      <c r="N24" s="1">
        <v>1</v>
      </c>
      <c r="O24" s="1">
        <v>1</v>
      </c>
      <c r="P24" s="1">
        <v>1</v>
      </c>
      <c r="Q24" s="1">
        <f t="shared" si="1"/>
        <v>0.99501308871105798</v>
      </c>
      <c r="R24" s="3">
        <f t="shared" si="2"/>
        <v>1.7980564358470605E-2</v>
      </c>
      <c r="S24" s="1">
        <f>Table134[[#This Row],[average]]-SQRT(Table134[[#This Row],[stdev]])</f>
        <v>0.86092146198339614</v>
      </c>
    </row>
    <row r="25" spans="1:19" ht="30" customHeight="1">
      <c r="A25" t="str">
        <f t="shared" si="0"/>
        <v>russian</v>
      </c>
      <c r="B25">
        <f>_xlfn.LET(_xlpm.c,_xlfn.SINGLE(Table134[condition]),IF(RIGHT(_xlpm.c,2)="1g",1,0))</f>
        <v>0</v>
      </c>
      <c r="C25" t="s">
        <v>34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0.98715481656402704</v>
      </c>
      <c r="L25" s="1">
        <v>0.96859602621111196</v>
      </c>
      <c r="M25" s="1">
        <v>0.83803650669021901</v>
      </c>
      <c r="N25" s="1">
        <v>1</v>
      </c>
      <c r="O25" s="1">
        <v>0.97305693448466801</v>
      </c>
      <c r="P25" s="1">
        <v>0.88119019278623101</v>
      </c>
      <c r="Q25" s="1">
        <f t="shared" si="1"/>
        <v>0.97292572897971208</v>
      </c>
      <c r="R25" s="3">
        <f t="shared" si="2"/>
        <v>5.2198236380840195E-2</v>
      </c>
      <c r="S25" s="1">
        <f>Table134[[#This Row],[average]]-SQRT(Table134[[#This Row],[stdev]])</f>
        <v>0.74445639541207509</v>
      </c>
    </row>
    <row r="26" spans="1:19" ht="30" customHeight="1">
      <c r="A26" t="str">
        <f t="shared" si="0"/>
        <v>russian</v>
      </c>
      <c r="B26">
        <f>_xlfn.LET(_xlpm.c,_xlfn.SINGLE(Table134[condition]),IF(RIGHT(_xlpm.c,2)="1g",1,0))</f>
        <v>0</v>
      </c>
      <c r="C26" t="s">
        <v>35</v>
      </c>
      <c r="D26" s="1">
        <v>1</v>
      </c>
      <c r="E26" s="1">
        <v>1</v>
      </c>
      <c r="F26" s="1">
        <v>0.99393046577834099</v>
      </c>
      <c r="G26" s="1">
        <v>0.92352859833798395</v>
      </c>
      <c r="H26" s="1">
        <v>0.98073809877498197</v>
      </c>
      <c r="I26" s="1">
        <v>0.90161398730822195</v>
      </c>
      <c r="J26" s="1">
        <v>0.86629460948772496</v>
      </c>
      <c r="K26" s="1">
        <v>0.99694181975586305</v>
      </c>
      <c r="L26" s="1">
        <v>0.97045999955936901</v>
      </c>
      <c r="M26" s="1">
        <v>0.99186848520161297</v>
      </c>
      <c r="N26" s="1">
        <v>0.73751540873754495</v>
      </c>
      <c r="O26" s="1">
        <v>0.99574406425430495</v>
      </c>
      <c r="P26" s="1">
        <v>0.83411375948060396</v>
      </c>
      <c r="Q26" s="1">
        <f t="shared" si="1"/>
        <v>0.93790379205204233</v>
      </c>
      <c r="R26" s="3">
        <f t="shared" si="2"/>
        <v>8.2192898527714262E-2</v>
      </c>
      <c r="S26" s="1">
        <f>Table134[[#This Row],[average]]-SQRT(Table134[[#This Row],[stdev]])</f>
        <v>0.65121075319739163</v>
      </c>
    </row>
    <row r="28" spans="1:19" ht="30" customHeight="1">
      <c r="C28" t="s">
        <v>64</v>
      </c>
    </row>
    <row r="29" spans="1:19" ht="30" customHeight="1">
      <c r="C29" t="s">
        <v>53</v>
      </c>
      <c r="D29" s="2">
        <f>_xlfn.LET(_xlpm.d,D$2:D$26,AVERAGE(_xlpm.d))</f>
        <v>0.79375886065195134</v>
      </c>
      <c r="E29" s="2">
        <f t="shared" ref="E29:Q29" si="3">_xlfn.LET(_xlpm.d,E$2:E$26,AVERAGE(_xlpm.d))</f>
        <v>0.74255565348253116</v>
      </c>
      <c r="F29" s="2">
        <f t="shared" si="3"/>
        <v>0.74991239404961074</v>
      </c>
      <c r="G29" s="2">
        <f t="shared" si="3"/>
        <v>0.72586537028034526</v>
      </c>
      <c r="H29" s="2">
        <f t="shared" si="3"/>
        <v>0.7005078743222013</v>
      </c>
      <c r="I29" s="2">
        <f t="shared" si="3"/>
        <v>0.67472107408000259</v>
      </c>
      <c r="J29" s="2">
        <f t="shared" si="3"/>
        <v>0.64841900452732038</v>
      </c>
      <c r="K29" s="2">
        <f t="shared" si="3"/>
        <v>0.63609673542071365</v>
      </c>
      <c r="L29" s="2">
        <f t="shared" si="3"/>
        <v>0.65356438343068601</v>
      </c>
      <c r="M29" s="2">
        <f t="shared" si="3"/>
        <v>0.64299399703659288</v>
      </c>
      <c r="N29" s="2">
        <f t="shared" si="3"/>
        <v>0.60437684361020916</v>
      </c>
      <c r="O29" s="2">
        <f t="shared" si="3"/>
        <v>0.63808896905571943</v>
      </c>
      <c r="P29" s="2">
        <f t="shared" si="3"/>
        <v>0.65002416638553873</v>
      </c>
      <c r="Q29" s="2">
        <f t="shared" si="3"/>
        <v>0.68160656356410942</v>
      </c>
    </row>
    <row r="30" spans="1:19" ht="30" customHeight="1">
      <c r="C30" t="s">
        <v>54</v>
      </c>
      <c r="D30" s="2" cm="1">
        <f t="array" ref="D30">_xlfn.LET(_xlpm.d,D$2:D$26,_xlpm.f,$A$2:$A$26,_xlpm.k,$C30,AVERAGE(_xlfn._xlws.FILTER(_xlpm.d,_xlpm.f=_xlpm.k)))</f>
        <v>0.99789712601854819</v>
      </c>
      <c r="E30" s="2" cm="1">
        <f t="array" ref="E30">_xlfn.LET(_xlpm.d,E$2:E$26,_xlpm.f,$A$2:$A$26,_xlpm.k,$C30,AVERAGE(_xlfn._xlws.FILTER(_xlpm.d,_xlpm.f=_xlpm.k)))</f>
        <v>0.98541294772868748</v>
      </c>
      <c r="F30" s="2" cm="1">
        <f t="array" ref="F30">_xlfn.LET(_xlpm.d,F$2:F$26,_xlpm.f,$A$2:$A$26,_xlpm.k,$C30,AVERAGE(_xlfn._xlws.FILTER(_xlpm.d,_xlpm.f=_xlpm.k)))</f>
        <v>0.98466389694119183</v>
      </c>
      <c r="G30" s="2" cm="1">
        <f t="array" ref="G30">_xlfn.LET(_xlpm.d,G$2:G$26,_xlpm.f,$A$2:$A$26,_xlpm.k,$C30,AVERAGE(_xlfn._xlws.FILTER(_xlpm.d,_xlpm.f=_xlpm.k)))</f>
        <v>1</v>
      </c>
      <c r="H30" s="2" cm="1">
        <f t="array" ref="H30">_xlfn.LET(_xlpm.d,H$2:H$26,_xlpm.f,$A$2:$A$26,_xlpm.k,$C30,AVERAGE(_xlfn._xlws.FILTER(_xlpm.d,_xlpm.f=_xlpm.k)))</f>
        <v>0.9975207542116642</v>
      </c>
      <c r="I30" s="2" cm="1">
        <f t="array" ref="I30">_xlfn.LET(_xlpm.d,I$2:I$26,_xlpm.f,$A$2:$A$26,_xlpm.k,$C30,AVERAGE(_xlfn._xlws.FILTER(_xlpm.d,_xlpm.f=_xlpm.k)))</f>
        <v>1</v>
      </c>
      <c r="J30" s="2" cm="1">
        <f t="array" ref="J30">_xlfn.LET(_xlpm.d,J$2:J$26,_xlpm.f,$A$2:$A$26,_xlpm.k,$C30,AVERAGE(_xlfn._xlws.FILTER(_xlpm.d,_xlpm.f=_xlpm.k)))</f>
        <v>0.93376032681979093</v>
      </c>
      <c r="K30" s="2" cm="1">
        <f t="array" ref="K30">_xlfn.LET(_xlpm.d,K$2:K$26,_xlpm.f,$A$2:$A$26,_xlpm.k,$C30,AVERAGE(_xlfn._xlws.FILTER(_xlpm.d,_xlpm.f=_xlpm.k)))</f>
        <v>0.96710796356792306</v>
      </c>
      <c r="L30" s="2" cm="1">
        <f t="array" ref="L30">_xlfn.LET(_xlpm.d,L$2:L$26,_xlpm.f,$A$2:$A$26,_xlpm.k,$C30,AVERAGE(_xlfn._xlws.FILTER(_xlpm.d,_xlpm.f=_xlpm.k)))</f>
        <v>0.91033451605765026</v>
      </c>
      <c r="M30" s="2" cm="1">
        <f t="array" ref="M30">_xlfn.LET(_xlpm.d,M$2:M$26,_xlpm.f,$A$2:$A$26,_xlpm.k,$C30,AVERAGE(_xlfn._xlws.FILTER(_xlpm.d,_xlpm.f=_xlpm.k)))</f>
        <v>0.93758837052592325</v>
      </c>
      <c r="N30" s="2" cm="1">
        <f t="array" ref="N30">_xlfn.LET(_xlpm.d,N$2:N$26,_xlpm.f,$A$2:$A$26,_xlpm.k,$C30,AVERAGE(_xlfn._xlws.FILTER(_xlpm.d,_xlpm.f=_xlpm.k)))</f>
        <v>0.99520621713261548</v>
      </c>
      <c r="O30" s="2" cm="1">
        <f t="array" ref="O30">_xlfn.LET(_xlpm.d,O$2:O$26,_xlpm.f,$A$2:$A$26,_xlpm.k,$C30,AVERAGE(_xlfn._xlws.FILTER(_xlpm.d,_xlpm.f=_xlpm.k)))</f>
        <v>0.94797606210223628</v>
      </c>
      <c r="P30" s="2" cm="1">
        <f t="array" ref="P30">_xlfn.LET(_xlpm.d,P$2:P$26,_xlpm.f,$A$2:$A$26,_xlpm.k,$C30,AVERAGE(_xlfn._xlws.FILTER(_xlpm.d,_xlpm.f=_xlpm.k)))</f>
        <v>0.97096845781449836</v>
      </c>
      <c r="Q30" s="2" cm="1">
        <f t="array" ref="Q30">_xlfn.LET(_xlpm.d,Q$2:Q$26,_xlpm.f,$A$2:$A$26,_xlpm.k,$C30,AVERAGE(_xlfn._xlws.FILTER(_xlpm.d,_xlpm.f=_xlpm.k)))</f>
        <v>0.97141820299390225</v>
      </c>
    </row>
    <row r="31" spans="1:19" ht="30" customHeight="1">
      <c r="C31" t="s">
        <v>55</v>
      </c>
      <c r="D31" s="2" cm="1">
        <f t="array" ref="D31">_xlfn.LET(_xlpm.d,D$2:D$26,_xlpm.f,$A$2:$A$26,_xlpm.k,$C31,AVERAGE(_xlfn._xlws.FILTER(_xlpm.d,_xlpm.f=_xlpm.k)))</f>
        <v>0.71222085655426015</v>
      </c>
      <c r="E31" s="2" cm="1">
        <f t="array" ref="E31">_xlfn.LET(_xlpm.d,E$2:E$26,_xlpm.f,$A$2:$A$26,_xlpm.k,$C31,AVERAGE(_xlfn._xlws.FILTER(_xlpm.d,_xlpm.f=_xlpm.k)))</f>
        <v>0.59390519563160937</v>
      </c>
      <c r="F31" s="2" cm="1">
        <f t="array" ref="F31">_xlfn.LET(_xlpm.d,F$2:F$26,_xlpm.f,$A$2:$A$26,_xlpm.k,$C31,AVERAGE(_xlfn._xlws.FILTER(_xlpm.d,_xlpm.f=_xlpm.k)))</f>
        <v>0.5908996858049671</v>
      </c>
      <c r="G31" s="2" cm="1">
        <f t="array" ref="G31">_xlfn.LET(_xlpm.d,G$2:G$26,_xlpm.f,$A$2:$A$26,_xlpm.k,$C31,AVERAGE(_xlfn._xlws.FILTER(_xlpm.d,_xlpm.f=_xlpm.k)))</f>
        <v>0.64513171920971912</v>
      </c>
      <c r="H31" s="2" cm="1">
        <f t="array" ref="H31">_xlfn.LET(_xlpm.d,H$2:H$26,_xlpm.f,$A$2:$A$26,_xlpm.k,$C31,AVERAGE(_xlfn._xlws.FILTER(_xlpm.d,_xlpm.f=_xlpm.k)))</f>
        <v>0.55253061392774272</v>
      </c>
      <c r="I31" s="2" cm="1">
        <f t="array" ref="I31">_xlfn.LET(_xlpm.d,I$2:I$26,_xlpm.f,$A$2:$A$26,_xlpm.k,$C31,AVERAGE(_xlfn._xlws.FILTER(_xlpm.d,_xlpm.f=_xlpm.k)))</f>
        <v>0.5418047011967112</v>
      </c>
      <c r="J31" s="2" cm="1">
        <f t="array" ref="J31">_xlfn.LET(_xlpm.d,J$2:J$26,_xlpm.f,$A$2:$A$26,_xlpm.k,$C31,AVERAGE(_xlfn._xlws.FILTER(_xlpm.d,_xlpm.f=_xlpm.k)))</f>
        <v>0.49600428146721687</v>
      </c>
      <c r="K31" s="2" cm="1">
        <f t="array" ref="K31">_xlfn.LET(_xlpm.d,K$2:K$26,_xlpm.f,$A$2:$A$26,_xlpm.k,$C31,AVERAGE(_xlfn._xlws.FILTER(_xlpm.d,_xlpm.f=_xlpm.k)))</f>
        <v>0.49841337807191588</v>
      </c>
      <c r="L31" s="2" cm="1">
        <f t="array" ref="L31">_xlfn.LET(_xlpm.d,L$2:L$26,_xlpm.f,$A$2:$A$26,_xlpm.k,$C31,AVERAGE(_xlfn._xlws.FILTER(_xlpm.d,_xlpm.f=_xlpm.k)))</f>
        <v>0.4559211877490742</v>
      </c>
      <c r="M31" s="2" cm="1">
        <f t="array" ref="M31">_xlfn.LET(_xlpm.d,M$2:M$26,_xlpm.f,$A$2:$A$26,_xlpm.k,$C31,AVERAGE(_xlfn._xlws.FILTER(_xlpm.d,_xlpm.f=_xlpm.k)))</f>
        <v>0.50232188560057833</v>
      </c>
      <c r="N31" s="2" cm="1">
        <f t="array" ref="N31">_xlfn.LET(_xlpm.d,N$2:N$26,_xlpm.f,$A$2:$A$26,_xlpm.k,$C31,AVERAGE(_xlfn._xlws.FILTER(_xlpm.d,_xlpm.f=_xlpm.k)))</f>
        <v>0.45937261334669044</v>
      </c>
      <c r="O31" s="2" cm="1">
        <f t="array" ref="O31">_xlfn.LET(_xlpm.d,O$2:O$26,_xlpm.f,$A$2:$A$26,_xlpm.k,$C31,AVERAGE(_xlfn._xlws.FILTER(_xlpm.d,_xlpm.f=_xlpm.k)))</f>
        <v>0.46009521142108084</v>
      </c>
      <c r="P31" s="2" cm="1">
        <f t="array" ref="P31">_xlfn.LET(_xlpm.d,P$2:P$26,_xlpm.f,$A$2:$A$26,_xlpm.k,$C31,AVERAGE(_xlfn._xlws.FILTER(_xlpm.d,_xlpm.f=_xlpm.k)))</f>
        <v>0.46038529586214977</v>
      </c>
      <c r="Q31" s="2" cm="1">
        <f t="array" ref="Q31">_xlfn.LET(_xlpm.d,Q$2:Q$26,_xlpm.f,$A$2:$A$26,_xlpm.k,$C31,AVERAGE(_xlfn._xlws.FILTER(_xlpm.d,_xlpm.f=_xlpm.k)))</f>
        <v>0.53607743275720898</v>
      </c>
    </row>
    <row r="32" spans="1:19" ht="30" customHeight="1">
      <c r="C32" t="s">
        <v>56</v>
      </c>
      <c r="D32" s="2" cm="1">
        <f t="array" ref="D32">_xlfn.LET(_xlpm.d,D$2:D$26,_xlpm.f,$A$2:$A$26,_xlpm.k,$C32,AVERAGE(_xlfn._xlws.FILTER(_xlpm.d,_xlpm.f=_xlpm.k)))</f>
        <v>0.59195080694186841</v>
      </c>
      <c r="E32" s="2" cm="1">
        <f t="array" ref="E32">_xlfn.LET(_xlpm.d,E$2:E$26,_xlpm.f,$A$2:$A$26,_xlpm.k,$C32,AVERAGE(_xlfn._xlws.FILTER(_xlpm.d,_xlpm.f=_xlpm.k)))</f>
        <v>0.55786596967062563</v>
      </c>
      <c r="F32" s="2" cm="1">
        <f t="array" ref="F32">_xlfn.LET(_xlpm.d,F$2:F$26,_xlpm.f,$A$2:$A$26,_xlpm.k,$C32,AVERAGE(_xlfn._xlws.FILTER(_xlpm.d,_xlpm.f=_xlpm.k)))</f>
        <v>0.57593315874609741</v>
      </c>
      <c r="G32" s="2" cm="1">
        <f t="array" ref="G32">_xlfn.LET(_xlpm.d,G$2:G$26,_xlpm.f,$A$2:$A$26,_xlpm.k,$C32,AVERAGE(_xlfn._xlws.FILTER(_xlpm.d,_xlpm.f=_xlpm.k)))</f>
        <v>0.5026682586599388</v>
      </c>
      <c r="H32" s="2" cm="1">
        <f t="array" ref="H32">_xlfn.LET(_xlpm.d,H$2:H$26,_xlpm.f,$A$2:$A$26,_xlpm.k,$C32,AVERAGE(_xlfn._xlws.FILTER(_xlpm.d,_xlpm.f=_xlpm.k)))</f>
        <v>0.44676096500105345</v>
      </c>
      <c r="I32" s="2" cm="1">
        <f t="array" ref="I32">_xlfn.LET(_xlpm.d,I$2:I$26,_xlpm.f,$A$2:$A$26,_xlpm.k,$C32,AVERAGE(_xlfn._xlws.FILTER(_xlpm.d,_xlpm.f=_xlpm.k)))</f>
        <v>0.33705104412279757</v>
      </c>
      <c r="J32" s="2" cm="1">
        <f t="array" ref="J32">_xlfn.LET(_xlpm.d,J$2:J$26,_xlpm.f,$A$2:$A$26,_xlpm.k,$C32,AVERAGE(_xlfn._xlws.FILTER(_xlpm.d,_xlpm.f=_xlpm.k)))</f>
        <v>0.4298473774399868</v>
      </c>
      <c r="K32" s="2" cm="1">
        <f t="array" ref="K32">_xlfn.LET(_xlpm.d,K$2:K$26,_xlpm.f,$A$2:$A$26,_xlpm.k,$C32,AVERAGE(_xlfn._xlws.FILTER(_xlpm.d,_xlpm.f=_xlpm.k)))</f>
        <v>0.31461599299774423</v>
      </c>
      <c r="L32" s="2" cm="1">
        <f t="array" ref="L32">_xlfn.LET(_xlpm.d,L$2:L$26,_xlpm.f,$A$2:$A$26,_xlpm.k,$C32,AVERAGE(_xlfn._xlws.FILTER(_xlpm.d,_xlpm.f=_xlpm.k)))</f>
        <v>0.44282441147498836</v>
      </c>
      <c r="M32" s="2" cm="1">
        <f t="array" ref="M32">_xlfn.LET(_xlpm.d,M$2:M$26,_xlpm.f,$A$2:$A$26,_xlpm.k,$C32,AVERAGE(_xlfn._xlws.FILTER(_xlpm.d,_xlpm.f=_xlpm.k)))</f>
        <v>0.40985188510961701</v>
      </c>
      <c r="N32" s="2" cm="1">
        <f t="array" ref="N32">_xlfn.LET(_xlpm.d,N$2:N$26,_xlpm.f,$A$2:$A$26,_xlpm.k,$C32,AVERAGE(_xlfn._xlws.FILTER(_xlpm.d,_xlpm.f=_xlpm.k)))</f>
        <v>0.37702821561600358</v>
      </c>
      <c r="O32" s="2" cm="1">
        <f t="array" ref="O32">_xlfn.LET(_xlpm.d,O$2:O$26,_xlpm.f,$A$2:$A$26,_xlpm.k,$C32,AVERAGE(_xlfn._xlws.FILTER(_xlpm.d,_xlpm.f=_xlpm.k)))</f>
        <v>0.39947408437550996</v>
      </c>
      <c r="P32" s="2" cm="1">
        <f t="array" ref="P32">_xlfn.LET(_xlpm.d,P$2:P$26,_xlpm.f,$A$2:$A$26,_xlpm.k,$C32,AVERAGE(_xlfn._xlws.FILTER(_xlpm.d,_xlpm.f=_xlpm.k)))</f>
        <v>0.42620882104844637</v>
      </c>
      <c r="Q32" s="2" cm="1">
        <f t="array" ref="Q32">_xlfn.LET(_xlpm.d,Q$2:Q$26,_xlpm.f,$A$2:$A$26,_xlpm.k,$C32,AVERAGE(_xlfn._xlws.FILTER(_xlpm.d,_xlpm.f=_xlpm.k)))</f>
        <v>0.44708315316959063</v>
      </c>
    </row>
    <row r="33" spans="3:17" ht="30" customHeight="1">
      <c r="C33" t="s">
        <v>57</v>
      </c>
      <c r="D33" s="2" cm="1">
        <f t="array" ref="D33">_xlfn.LET(_xlpm.d,D$2:D$26,_xlpm.f,$A$2:$A$26,_xlpm.k,$C33,AVERAGE(_xlfn._xlws.FILTER(_xlpm.d,_xlpm.f=_xlpm.k)))</f>
        <v>0.6667255137450796</v>
      </c>
      <c r="E33" s="2" cm="1">
        <f t="array" ref="E33">_xlfn.LET(_xlpm.d,E$2:E$26,_xlpm.f,$A$2:$A$26,_xlpm.k,$C33,AVERAGE(_xlfn._xlws.FILTER(_xlpm.d,_xlpm.f=_xlpm.k)))</f>
        <v>0.57559415438173356</v>
      </c>
      <c r="F33" s="2" cm="1">
        <f t="array" ref="F33">_xlfn.LET(_xlpm.d,F$2:F$26,_xlpm.f,$A$2:$A$26,_xlpm.k,$C33,AVERAGE(_xlfn._xlws.FILTER(_xlpm.d,_xlpm.f=_xlpm.k)))</f>
        <v>0.5992791356001298</v>
      </c>
      <c r="G33" s="2" cm="1">
        <f t="array" ref="G33">_xlfn.LET(_xlpm.d,G$2:G$26,_xlpm.f,$A$2:$A$26,_xlpm.k,$C33,AVERAGE(_xlfn._xlws.FILTER(_xlpm.d,_xlpm.f=_xlpm.k)))</f>
        <v>0.49682115386447095</v>
      </c>
      <c r="H33" s="2" cm="1">
        <f t="array" ref="H33">_xlfn.LET(_xlpm.d,H$2:H$26,_xlpm.f,$A$2:$A$26,_xlpm.k,$C33,AVERAGE(_xlfn._xlws.FILTER(_xlpm.d,_xlpm.f=_xlpm.k)))</f>
        <v>0.50957941871555024</v>
      </c>
      <c r="I33" s="2" cm="1">
        <f t="array" ref="I33">_xlfn.LET(_xlpm.d,I$2:I$26,_xlpm.f,$A$2:$A$26,_xlpm.k,$C33,AVERAGE(_xlfn._xlws.FILTER(_xlpm.d,_xlpm.f=_xlpm.k)))</f>
        <v>0.51442682761885927</v>
      </c>
      <c r="J33" s="2" cm="1">
        <f t="array" ref="J33">_xlfn.LET(_xlpm.d,J$2:J$26,_xlpm.f,$A$2:$A$26,_xlpm.k,$C33,AVERAGE(_xlfn._xlws.FILTER(_xlpm.d,_xlpm.f=_xlpm.k)))</f>
        <v>0.40922411501206241</v>
      </c>
      <c r="K33" s="2" cm="1">
        <f t="array" ref="K33">_xlfn.LET(_xlpm.d,K$2:K$26,_xlpm.f,$A$2:$A$26,_xlpm.k,$C33,AVERAGE(_xlfn._xlws.FILTER(_xlpm.d,_xlpm.f=_xlpm.k)))</f>
        <v>0.40352701520200701</v>
      </c>
      <c r="L33" s="2" cm="1">
        <f t="array" ref="L33">_xlfn.LET(_xlpm.d,L$2:L$26,_xlpm.f,$A$2:$A$26,_xlpm.k,$C33,AVERAGE(_xlfn._xlws.FILTER(_xlpm.d,_xlpm.f=_xlpm.k)))</f>
        <v>0.48389656606886977</v>
      </c>
      <c r="M33" s="2" cm="1">
        <f t="array" ref="M33">_xlfn.LET(_xlpm.d,M$2:M$26,_xlpm.f,$A$2:$A$26,_xlpm.k,$C33,AVERAGE(_xlfn._xlws.FILTER(_xlpm.d,_xlpm.f=_xlpm.k)))</f>
        <v>0.39922684556847921</v>
      </c>
      <c r="N33" s="2" cm="1">
        <f t="array" ref="N33">_xlfn.LET(_xlpm.d,N$2:N$26,_xlpm.f,$A$2:$A$26,_xlpm.k,$C33,AVERAGE(_xlfn._xlws.FILTER(_xlpm.d,_xlpm.f=_xlpm.k)))</f>
        <v>0.2427740902082276</v>
      </c>
      <c r="O33" s="2" cm="1">
        <f t="array" ref="O33">_xlfn.LET(_xlpm.d,O$2:O$26,_xlpm.f,$A$2:$A$26,_xlpm.k,$C33,AVERAGE(_xlfn._xlws.FILTER(_xlpm.d,_xlpm.f=_xlpm.k)))</f>
        <v>0.38913928763197581</v>
      </c>
      <c r="P33" s="2" cm="1">
        <f t="array" ref="P33">_xlfn.LET(_xlpm.d,P$2:P$26,_xlpm.f,$A$2:$A$26,_xlpm.k,$C33,AVERAGE(_xlfn._xlws.FILTER(_xlpm.d,_xlpm.f=_xlpm.k)))</f>
        <v>0.44949746674923219</v>
      </c>
      <c r="Q33" s="2" cm="1">
        <f t="array" ref="Q33">_xlfn.LET(_xlpm.d,Q$2:Q$26,_xlpm.f,$A$2:$A$26,_xlpm.k,$C33,AVERAGE(_xlfn._xlws.FILTER(_xlpm.d,_xlpm.f=_xlpm.k)))</f>
        <v>0.47228550695128285</v>
      </c>
    </row>
    <row r="34" spans="3:17" ht="30" customHeight="1">
      <c r="C34" t="s">
        <v>58</v>
      </c>
      <c r="D34" s="2" cm="1">
        <f t="array" ref="D34">_xlfn.LET(_xlpm.d,D$2:D$26,_xlpm.f,$A$2:$A$26,_xlpm.k,$C34,AVERAGE(_xlfn._xlws.FILTER(_xlpm.d,_xlpm.f=_xlpm.k)))</f>
        <v>1</v>
      </c>
      <c r="E34" s="2" cm="1">
        <f t="array" ref="E34">_xlfn.LET(_xlpm.d,E$2:E$26,_xlpm.f,$A$2:$A$26,_xlpm.k,$C34,AVERAGE(_xlfn._xlws.FILTER(_xlpm.d,_xlpm.f=_xlpm.k)))</f>
        <v>1</v>
      </c>
      <c r="F34" s="2" cm="1">
        <f t="array" ref="F34">_xlfn.LET(_xlpm.d,F$2:F$26,_xlpm.f,$A$2:$A$26,_xlpm.k,$C34,AVERAGE(_xlfn._xlws.FILTER(_xlpm.d,_xlpm.f=_xlpm.k)))</f>
        <v>0.99878609315566824</v>
      </c>
      <c r="G34" s="2" cm="1">
        <f t="array" ref="G34">_xlfn.LET(_xlpm.d,G$2:G$26,_xlpm.f,$A$2:$A$26,_xlpm.k,$C34,AVERAGE(_xlfn._xlws.FILTER(_xlpm.d,_xlpm.f=_xlpm.k)))</f>
        <v>0.98470571966759679</v>
      </c>
      <c r="H34" s="2" cm="1">
        <f t="array" ref="H34">_xlfn.LET(_xlpm.d,H$2:H$26,_xlpm.f,$A$2:$A$26,_xlpm.k,$C34,AVERAGE(_xlfn._xlws.FILTER(_xlpm.d,_xlpm.f=_xlpm.k)))</f>
        <v>0.99614761975499633</v>
      </c>
      <c r="I34" s="2" cm="1">
        <f t="array" ref="I34">_xlfn.LET(_xlpm.d,I$2:I$26,_xlpm.f,$A$2:$A$26,_xlpm.k,$C34,AVERAGE(_xlfn._xlws.FILTER(_xlpm.d,_xlpm.f=_xlpm.k)))</f>
        <v>0.98032279746164441</v>
      </c>
      <c r="J34" s="2" cm="1">
        <f t="array" ref="J34">_xlfn.LET(_xlpm.d,J$2:J$26,_xlpm.f,$A$2:$A$26,_xlpm.k,$C34,AVERAGE(_xlfn._xlws.FILTER(_xlpm.d,_xlpm.f=_xlpm.k)))</f>
        <v>0.97325892189754504</v>
      </c>
      <c r="K34" s="2" cm="1">
        <f t="array" ref="K34">_xlfn.LET(_xlpm.d,K$2:K$26,_xlpm.f,$A$2:$A$26,_xlpm.k,$C34,AVERAGE(_xlfn._xlws.FILTER(_xlpm.d,_xlpm.f=_xlpm.k)))</f>
        <v>0.99681932726397804</v>
      </c>
      <c r="L34" s="2" cm="1">
        <f t="array" ref="L34">_xlfn.LET(_xlpm.d,L$2:L$26,_xlpm.f,$A$2:$A$26,_xlpm.k,$C34,AVERAGE(_xlfn._xlws.FILTER(_xlpm.d,_xlpm.f=_xlpm.k)))</f>
        <v>0.97484523580284699</v>
      </c>
      <c r="M34" s="2" cm="1">
        <f t="array" ref="M34">_xlfn.LET(_xlpm.d,M$2:M$26,_xlpm.f,$A$2:$A$26,_xlpm.k,$C34,AVERAGE(_xlfn._xlws.FILTER(_xlpm.d,_xlpm.f=_xlpm.k)))</f>
        <v>0.96598099837836637</v>
      </c>
      <c r="N34" s="2" cm="1">
        <f t="array" ref="N34">_xlfn.LET(_xlpm.d,N$2:N$26,_xlpm.f,$A$2:$A$26,_xlpm.k,$C34,AVERAGE(_xlfn._xlws.FILTER(_xlpm.d,_xlpm.f=_xlpm.k)))</f>
        <v>0.94750308174750908</v>
      </c>
      <c r="O34" s="2" cm="1">
        <f t="array" ref="O34">_xlfn.LET(_xlpm.d,O$2:O$26,_xlpm.f,$A$2:$A$26,_xlpm.k,$C34,AVERAGE(_xlfn._xlws.FILTER(_xlpm.d,_xlpm.f=_xlpm.k)))</f>
        <v>0.99376019974779461</v>
      </c>
      <c r="P34" s="2" cm="1">
        <f t="array" ref="P34">_xlfn.LET(_xlpm.d,P$2:P$26,_xlpm.f,$A$2:$A$26,_xlpm.k,$C34,AVERAGE(_xlfn._xlws.FILTER(_xlpm.d,_xlpm.f=_xlpm.k)))</f>
        <v>0.94306079045336699</v>
      </c>
      <c r="Q34" s="2" cm="1">
        <f t="array" ref="Q34">_xlfn.LET(_xlpm.d,Q$2:Q$26,_xlpm.f,$A$2:$A$26,_xlpm.k,$C34,AVERAGE(_xlfn._xlws.FILTER(_xlpm.d,_xlpm.f=_xlpm.k)))</f>
        <v>0.98116852194856252</v>
      </c>
    </row>
    <row r="36" spans="3:17" ht="30" customHeight="1">
      <c r="C36" t="s">
        <v>65</v>
      </c>
    </row>
    <row r="37" spans="3:17" ht="30" customHeight="1">
      <c r="C37" t="s">
        <v>53</v>
      </c>
      <c r="D37" s="2" cm="1">
        <f t="array" ref="D37">_xlfn.LET(_xlpm.d,D$2:D$26,_xlpm.g,$B$2:$B$26,_xlpm.k,$C37,AVERAGE(_xlfn._xlws.FILTER(_xlpm.d,(_xlpm.g=0))))</f>
        <v>0.7421985758149392</v>
      </c>
      <c r="E37" s="2" cm="1">
        <f t="array" ref="E37">_xlfn.LET(_xlpm.d,E$2:E$26,_xlpm.g,$B$2:$B$26,_xlpm.k,$C37,AVERAGE(_xlfn._xlws.FILTER(_xlpm.d,(_xlpm.g=0))))</f>
        <v>0.7139269722152578</v>
      </c>
      <c r="F37" s="2" cm="1">
        <f t="array" ref="F37">_xlfn.LET(_xlpm.d,F$2:F$26,_xlpm.g,$B$2:$B$26,_xlpm.k,$C37,AVERAGE(_xlfn._xlws.FILTER(_xlpm.d,(_xlpm.g=0))))</f>
        <v>0.72958372969598473</v>
      </c>
      <c r="G37" s="2" cm="1">
        <f t="array" ref="G37">_xlfn.LET(_xlpm.d,G$2:G$26,_xlpm.g,$B$2:$B$26,_xlpm.k,$C37,AVERAGE(_xlfn._xlws.FILTER(_xlpm.d,(_xlpm.g=0))))</f>
        <v>0.70720407485764469</v>
      </c>
      <c r="H37" s="2" cm="1">
        <f t="array" ref="H37">_xlfn.LET(_xlpm.d,H$2:H$26,_xlpm.g,$B$2:$B$26,_xlpm.k,$C37,AVERAGE(_xlfn._xlws.FILTER(_xlpm.d,(_xlpm.g=0))))</f>
        <v>0.66327137874961839</v>
      </c>
      <c r="I37" s="2" cm="1">
        <f t="array" ref="I37">_xlfn.LET(_xlpm.d,I$2:I$26,_xlpm.g,$B$2:$B$26,_xlpm.k,$C37,AVERAGE(_xlfn._xlws.FILTER(_xlpm.d,(_xlpm.g=0))))</f>
        <v>0.64703339215969868</v>
      </c>
      <c r="J37" s="2" cm="1">
        <f t="array" ref="J37">_xlfn.LET(_xlpm.d,J$2:J$26,_xlpm.g,$B$2:$B$26,_xlpm.k,$C37,AVERAGE(_xlfn._xlws.FILTER(_xlpm.d,(_xlpm.g=0))))</f>
        <v>0.62689461609333752</v>
      </c>
      <c r="K37" s="2" cm="1">
        <f t="array" ref="K37">_xlfn.LET(_xlpm.d,K$2:K$26,_xlpm.g,$B$2:$B$26,_xlpm.k,$C37,AVERAGE(_xlfn._xlws.FILTER(_xlpm.d,(_xlpm.g=0))))</f>
        <v>0.60630044904728109</v>
      </c>
      <c r="L37" s="2" cm="1">
        <f t="array" ref="L37">_xlfn.LET(_xlpm.d,L$2:L$26,_xlpm.g,$B$2:$B$26,_xlpm.k,$C37,AVERAGE(_xlfn._xlws.FILTER(_xlpm.d,(_xlpm.g=0))))</f>
        <v>0.63802654714009643</v>
      </c>
      <c r="M37" s="2" cm="1">
        <f t="array" ref="M37">_xlfn.LET(_xlpm.d,M$2:M$26,_xlpm.g,$B$2:$B$26,_xlpm.k,$C37,AVERAGE(_xlfn._xlws.FILTER(_xlpm.d,(_xlpm.g=0))))</f>
        <v>0.62183700679013876</v>
      </c>
      <c r="N37" s="2" cm="1">
        <f t="array" ref="N37">_xlfn.LET(_xlpm.d,N$2:N$26,_xlpm.g,$B$2:$B$26,_xlpm.k,$C37,AVERAGE(_xlfn._xlws.FILTER(_xlpm.d,(_xlpm.g=0))))</f>
        <v>0.57523138190916057</v>
      </c>
      <c r="O37" s="2" cm="1">
        <f t="array" ref="O37">_xlfn.LET(_xlpm.d,O$2:O$26,_xlpm.g,$B$2:$B$26,_xlpm.k,$C37,AVERAGE(_xlfn._xlws.FILTER(_xlpm.d,(_xlpm.g=0))))</f>
        <v>0.61692135731503328</v>
      </c>
      <c r="P37" s="2" cm="1">
        <f t="array" ref="P37">_xlfn.LET(_xlpm.d,P$2:P$26,_xlpm.g,$B$2:$B$26,_xlpm.k,$C37,AVERAGE(_xlfn._xlws.FILTER(_xlpm.d,(_xlpm.g=0))))</f>
        <v>0.6285811337875471</v>
      </c>
      <c r="Q37" s="2" cm="1">
        <f t="array" ref="Q37">_xlfn.LET(_xlpm.d,Q$2:Q$26,_xlpm.g,$B$2:$B$26,_xlpm.k,$C37,AVERAGE(_xlfn._xlws.FILTER(_xlpm.d,(_xlpm.g=0))))</f>
        <v>0.65515466273659517</v>
      </c>
    </row>
    <row r="38" spans="3:17" ht="30" customHeight="1">
      <c r="C38" t="s">
        <v>54</v>
      </c>
      <c r="D38" s="2" cm="1">
        <f t="array" ref="D38">_xlfn.LET(_xlpm.d,D$2:D$26,_xlpm.f,$A$2:$A$26,_xlpm.g,$B$2:$B$26,_xlpm.k,$C38,AVERAGE(_xlfn._xlws.FILTER(_xlpm.d,(_xlpm.f=_xlpm.k)*(_xlpm.g=0))))</f>
        <v>0.9973714075231852</v>
      </c>
      <c r="E38" s="2" cm="1">
        <f t="array" ref="E38">_xlfn.LET(_xlpm.d,E$2:E$26,_xlpm.f,$A$2:$A$26,_xlpm.g,$B$2:$B$26,_xlpm.k,$C38,AVERAGE(_xlfn._xlws.FILTER(_xlpm.d,(_xlpm.f=_xlpm.k)*(_xlpm.g=0))))</f>
        <v>0.98176618466085952</v>
      </c>
      <c r="F38" s="2" cm="1">
        <f t="array" ref="F38">_xlfn.LET(_xlpm.d,F$2:F$26,_xlpm.f,$A$2:$A$26,_xlpm.g,$B$2:$B$26,_xlpm.k,$C38,AVERAGE(_xlfn._xlws.FILTER(_xlpm.d,(_xlpm.f=_xlpm.k)*(_xlpm.g=0))))</f>
        <v>0.98082987117648979</v>
      </c>
      <c r="G38" s="2" cm="1">
        <f t="array" ref="G38">_xlfn.LET(_xlpm.d,G$2:G$26,_xlpm.f,$A$2:$A$26,_xlpm.g,$B$2:$B$26,_xlpm.k,$C38,AVERAGE(_xlfn._xlws.FILTER(_xlpm.d,(_xlpm.f=_xlpm.k)*(_xlpm.g=0))))</f>
        <v>1</v>
      </c>
      <c r="H38" s="2" cm="1">
        <f t="array" ref="H38">_xlfn.LET(_xlpm.d,H$2:H$26,_xlpm.f,$A$2:$A$26,_xlpm.g,$B$2:$B$26,_xlpm.k,$C38,AVERAGE(_xlfn._xlws.FILTER(_xlpm.d,(_xlpm.f=_xlpm.k)*(_xlpm.g=0))))</f>
        <v>0.9969009427645803</v>
      </c>
      <c r="I38" s="2" cm="1">
        <f t="array" ref="I38">_xlfn.LET(_xlpm.d,I$2:I$26,_xlpm.f,$A$2:$A$26,_xlpm.g,$B$2:$B$26,_xlpm.k,$C38,AVERAGE(_xlfn._xlws.FILTER(_xlpm.d,(_xlpm.f=_xlpm.k)*(_xlpm.g=0))))</f>
        <v>1</v>
      </c>
      <c r="J38" s="2" cm="1">
        <f t="array" ref="J38">_xlfn.LET(_xlpm.d,J$2:J$26,_xlpm.f,$A$2:$A$26,_xlpm.g,$B$2:$B$26,_xlpm.k,$C38,AVERAGE(_xlfn._xlws.FILTER(_xlpm.d,(_xlpm.f=_xlpm.k)*(_xlpm.g=0))))</f>
        <v>0.91720040852473872</v>
      </c>
      <c r="K38" s="2" cm="1">
        <f t="array" ref="K38">_xlfn.LET(_xlpm.d,K$2:K$26,_xlpm.f,$A$2:$A$26,_xlpm.g,$B$2:$B$26,_xlpm.k,$C38,AVERAGE(_xlfn._xlws.FILTER(_xlpm.d,(_xlpm.f=_xlpm.k)*(_xlpm.g=0))))</f>
        <v>0.95888495445990374</v>
      </c>
      <c r="L38" s="2" cm="1">
        <f t="array" ref="L38">_xlfn.LET(_xlpm.d,L$2:L$26,_xlpm.f,$A$2:$A$26,_xlpm.g,$B$2:$B$26,_xlpm.k,$C38,AVERAGE(_xlfn._xlws.FILTER(_xlpm.d,(_xlpm.f=_xlpm.k)*(_xlpm.g=0))))</f>
        <v>0.88791814507206268</v>
      </c>
      <c r="M38" s="2" cm="1">
        <f t="array" ref="M38">_xlfn.LET(_xlpm.d,M$2:M$26,_xlpm.f,$A$2:$A$26,_xlpm.g,$B$2:$B$26,_xlpm.k,$C38,AVERAGE(_xlfn._xlws.FILTER(_xlpm.d,(_xlpm.f=_xlpm.k)*(_xlpm.g=0))))</f>
        <v>0.92198546315740393</v>
      </c>
      <c r="N38" s="2" cm="1">
        <f t="array" ref="N38">_xlfn.LET(_xlpm.d,N$2:N$26,_xlpm.f,$A$2:$A$26,_xlpm.g,$B$2:$B$26,_xlpm.k,$C38,AVERAGE(_xlfn._xlws.FILTER(_xlpm.d,(_xlpm.f=_xlpm.k)*(_xlpm.g=0))))</f>
        <v>0.99400777141576946</v>
      </c>
      <c r="O38" s="2" cm="1">
        <f t="array" ref="O38">_xlfn.LET(_xlpm.d,O$2:O$26,_xlpm.f,$A$2:$A$26,_xlpm.g,$B$2:$B$26,_xlpm.k,$C38,AVERAGE(_xlfn._xlws.FILTER(_xlpm.d,(_xlpm.f=_xlpm.k)*(_xlpm.g=0))))</f>
        <v>0.93497007762779527</v>
      </c>
      <c r="P38" s="2" cm="1">
        <f t="array" ref="P38">_xlfn.LET(_xlpm.d,P$2:P$26,_xlpm.f,$A$2:$A$26,_xlpm.g,$B$2:$B$26,_xlpm.k,$C38,AVERAGE(_xlfn._xlws.FILTER(_xlpm.d,(_xlpm.f=_xlpm.k)*(_xlpm.g=0))))</f>
        <v>0.96371057226812296</v>
      </c>
      <c r="Q38" s="2" cm="1">
        <f t="array" ref="Q38">_xlfn.LET(_xlpm.d,Q$2:Q$26,_xlpm.f,$A$2:$A$26,_xlpm.g,$B$2:$B$26,_xlpm.k,$C38,AVERAGE(_xlfn._xlws.FILTER(_xlpm.d,(_xlpm.f=_xlpm.k)*(_xlpm.g=0))))</f>
        <v>0.96427275374237786</v>
      </c>
    </row>
    <row r="39" spans="3:17" ht="30" customHeight="1">
      <c r="C39" t="s">
        <v>56</v>
      </c>
      <c r="D39" s="2" cm="1">
        <f t="array" ref="D39">_xlfn.LET(_xlpm.d,D$2:D$26,_xlpm.f,$A$2:$A$26,_xlpm.g,$B$2:$B$26,_xlpm.k,$C39,AVERAGE(_xlfn._xlws.FILTER(_xlpm.d,(_xlpm.f=_xlpm.k)*(_xlpm.g=0))))</f>
        <v>0.48993850867733552</v>
      </c>
      <c r="E39" s="2" cm="1">
        <f t="array" ref="E39">_xlfn.LET(_xlpm.d,E$2:E$26,_xlpm.f,$A$2:$A$26,_xlpm.g,$B$2:$B$26,_xlpm.k,$C39,AVERAGE(_xlfn._xlws.FILTER(_xlpm.d,(_xlpm.f=_xlpm.k)*(_xlpm.g=0))))</f>
        <v>0.51184830624507727</v>
      </c>
      <c r="F39" s="2" cm="1">
        <f t="array" ref="F39">_xlfn.LET(_xlpm.d,F$2:F$26,_xlpm.f,$A$2:$A$26,_xlpm.g,$B$2:$B$26,_xlpm.k,$C39,AVERAGE(_xlfn._xlws.FILTER(_xlpm.d,(_xlpm.f=_xlpm.k)*(_xlpm.g=0))))</f>
        <v>0.53933844217024318</v>
      </c>
      <c r="G39" s="2" cm="1">
        <f t="array" ref="G39">_xlfn.LET(_xlpm.d,G$2:G$26,_xlpm.f,$A$2:$A$26,_xlpm.g,$B$2:$B$26,_xlpm.k,$C39,AVERAGE(_xlfn._xlws.FILTER(_xlpm.d,(_xlpm.f=_xlpm.k)*(_xlpm.g=0))))</f>
        <v>0.47732124052422853</v>
      </c>
      <c r="H39" s="2" cm="1">
        <f t="array" ref="H39">_xlfn.LET(_xlpm.d,H$2:H$26,_xlpm.f,$A$2:$A$26,_xlpm.g,$B$2:$B$26,_xlpm.k,$C39,AVERAGE(_xlfn._xlws.FILTER(_xlpm.d,(_xlpm.f=_xlpm.k)*(_xlpm.g=0))))</f>
        <v>0.35059806864765297</v>
      </c>
      <c r="I39" s="2" cm="1">
        <f t="array" ref="I39">_xlfn.LET(_xlpm.d,I$2:I$26,_xlpm.f,$A$2:$A$26,_xlpm.g,$B$2:$B$26,_xlpm.k,$C39,AVERAGE(_xlfn._xlws.FILTER(_xlpm.d,(_xlpm.f=_xlpm.k)*(_xlpm.g=0))))</f>
        <v>0.31374965060481075</v>
      </c>
      <c r="J39" s="2" cm="1">
        <f t="array" ref="J39">_xlfn.LET(_xlpm.d,J$2:J$26,_xlpm.f,$A$2:$A$26,_xlpm.g,$B$2:$B$26,_xlpm.k,$C39,AVERAGE(_xlfn._xlws.FILTER(_xlpm.d,(_xlpm.f=_xlpm.k)*(_xlpm.g=0))))</f>
        <v>0.38782547840306125</v>
      </c>
      <c r="K39" s="2" cm="1">
        <f t="array" ref="K39">_xlfn.LET(_xlpm.d,K$2:K$26,_xlpm.f,$A$2:$A$26,_xlpm.g,$B$2:$B$26,_xlpm.k,$C39,AVERAGE(_xlfn._xlws.FILTER(_xlpm.d,(_xlpm.f=_xlpm.k)*(_xlpm.g=0))))</f>
        <v>0.28376712600598825</v>
      </c>
      <c r="L39" s="2" cm="1">
        <f t="array" ref="L39">_xlfn.LET(_xlpm.d,L$2:L$26,_xlpm.f,$A$2:$A$26,_xlpm.g,$B$2:$B$26,_xlpm.k,$C39,AVERAGE(_xlfn._xlws.FILTER(_xlpm.d,(_xlpm.f=_xlpm.k)*(_xlpm.g=0))))</f>
        <v>0.49714427615482398</v>
      </c>
      <c r="M39" s="2" cm="1">
        <f t="array" ref="M39">_xlfn.LET(_xlpm.d,M$2:M$26,_xlpm.f,$A$2:$A$26,_xlpm.g,$B$2:$B$26,_xlpm.k,$C39,AVERAGE(_xlfn._xlws.FILTER(_xlpm.d,(_xlpm.f=_xlpm.k)*(_xlpm.g=0))))</f>
        <v>0.39038137200038925</v>
      </c>
      <c r="N39" s="2" cm="1">
        <f t="array" ref="N39">_xlfn.LET(_xlpm.d,N$2:N$26,_xlpm.f,$A$2:$A$26,_xlpm.g,$B$2:$B$26,_xlpm.k,$C39,AVERAGE(_xlfn._xlws.FILTER(_xlpm.d,(_xlpm.f=_xlpm.k)*(_xlpm.g=0))))</f>
        <v>0.31448778897552299</v>
      </c>
      <c r="O39" s="2" cm="1">
        <f t="array" ref="O39">_xlfn.LET(_xlpm.d,O$2:O$26,_xlpm.f,$A$2:$A$26,_xlpm.g,$B$2:$B$26,_xlpm.k,$C39,AVERAGE(_xlfn._xlws.FILTER(_xlpm.d,(_xlpm.f=_xlpm.k)*(_xlpm.g=0))))</f>
        <v>0.42528105153293894</v>
      </c>
      <c r="P39" s="2" cm="1">
        <f t="array" ref="P39">_xlfn.LET(_xlpm.d,P$2:P$26,_xlpm.f,$A$2:$A$26,_xlpm.g,$B$2:$B$26,_xlpm.k,$C39,AVERAGE(_xlfn._xlws.FILTER(_xlpm.d,(_xlpm.f=_xlpm.k)*(_xlpm.g=0))))</f>
        <v>0.45332428759039978</v>
      </c>
      <c r="Q39" s="2" cm="1">
        <f t="array" ref="Q39">_xlfn.LET(_xlpm.d,Q$2:Q$26,_xlpm.f,$A$2:$A$26,_xlpm.g,$B$2:$B$26,_xlpm.k,$C39,AVERAGE(_xlfn._xlws.FILTER(_xlpm.d,(_xlpm.f=_xlpm.k)*(_xlpm.g=0))))</f>
        <v>0.41807735365634413</v>
      </c>
    </row>
    <row r="40" spans="3:17" ht="30" customHeight="1">
      <c r="C40" t="s">
        <v>57</v>
      </c>
      <c r="D40" s="2" cm="1">
        <f t="array" ref="D40">_xlfn.LET(_xlpm.d,D$2:D$26,_xlpm.f,$A$2:$A$26,_xlpm.g,$B$2:$B$26,_xlpm.k,$C40,AVERAGE(_xlfn._xlws.FILTER(_xlpm.d,(_xlpm.f=_xlpm.k)*(_xlpm.g=0))))</f>
        <v>0.58340689218134956</v>
      </c>
      <c r="E40" s="2" cm="1">
        <f t="array" ref="E40">_xlfn.LET(_xlpm.d,E$2:E$26,_xlpm.f,$A$2:$A$26,_xlpm.g,$B$2:$B$26,_xlpm.k,$C40,AVERAGE(_xlfn._xlws.FILTER(_xlpm.d,(_xlpm.f=_xlpm.k)*(_xlpm.g=0))))</f>
        <v>0.51363391866667674</v>
      </c>
      <c r="F40" s="2" cm="1">
        <f t="array" ref="F40">_xlfn.LET(_xlpm.d,F$2:F$26,_xlpm.f,$A$2:$A$26,_xlpm.g,$B$2:$B$26,_xlpm.k,$C40,AVERAGE(_xlfn._xlws.FILTER(_xlpm.d,(_xlpm.f=_xlpm.k)*(_xlpm.g=0))))</f>
        <v>0.56458634427054355</v>
      </c>
      <c r="G40" s="2" cm="1">
        <f t="array" ref="G40">_xlfn.LET(_xlpm.d,G$2:G$26,_xlpm.f,$A$2:$A$26,_xlpm.g,$B$2:$B$26,_xlpm.k,$C40,AVERAGE(_xlfn._xlws.FILTER(_xlpm.d,(_xlpm.f=_xlpm.k)*(_xlpm.g=0))))</f>
        <v>0.47074019521089427</v>
      </c>
      <c r="H40" s="2" cm="1">
        <f t="array" ref="H40">_xlfn.LET(_xlpm.d,H$2:H$26,_xlpm.f,$A$2:$A$26,_xlpm.g,$B$2:$B$26,_xlpm.k,$C40,AVERAGE(_xlfn._xlws.FILTER(_xlpm.d,(_xlpm.f=_xlpm.k)*(_xlpm.g=0))))</f>
        <v>0.48168594344635551</v>
      </c>
      <c r="I40" s="2" cm="1">
        <f t="array" ref="I40">_xlfn.LET(_xlpm.d,I$2:I$26,_xlpm.f,$A$2:$A$26,_xlpm.g,$B$2:$B$26,_xlpm.k,$C40,AVERAGE(_xlfn._xlws.FILTER(_xlpm.d,(_xlpm.f=_xlpm.k)*(_xlpm.g=0))))</f>
        <v>0.46094910208110029</v>
      </c>
      <c r="J40" s="2" cm="1">
        <f t="array" ref="J40">_xlfn.LET(_xlpm.d,J$2:J$26,_xlpm.f,$A$2:$A$26,_xlpm.g,$B$2:$B$26,_xlpm.k,$C40,AVERAGE(_xlfn._xlws.FILTER(_xlpm.d,(_xlpm.f=_xlpm.k)*(_xlpm.g=0))))</f>
        <v>0.37846596058040621</v>
      </c>
      <c r="K40" s="2" cm="1">
        <f t="array" ref="K40">_xlfn.LET(_xlpm.d,K$2:K$26,_xlpm.f,$A$2:$A$26,_xlpm.g,$B$2:$B$26,_xlpm.k,$C40,AVERAGE(_xlfn._xlws.FILTER(_xlpm.d,(_xlpm.f=_xlpm.k)*(_xlpm.g=0))))</f>
        <v>0.35669339810023648</v>
      </c>
      <c r="L40" s="2" cm="1">
        <f t="array" ref="L40">_xlfn.LET(_xlpm.d,L$2:L$26,_xlpm.f,$A$2:$A$26,_xlpm.g,$B$2:$B$26,_xlpm.k,$C40,AVERAGE(_xlfn._xlws.FILTER(_xlpm.d,(_xlpm.f=_xlpm.k)*(_xlpm.g=0))))</f>
        <v>0.44867527971208848</v>
      </c>
      <c r="M40" s="2" cm="1">
        <f t="array" ref="M40">_xlfn.LET(_xlpm.d,M$2:M$26,_xlpm.f,$A$2:$A$26,_xlpm.g,$B$2:$B$26,_xlpm.k,$C40,AVERAGE(_xlfn._xlws.FILTER(_xlpm.d,(_xlpm.f=_xlpm.k)*(_xlpm.g=0))))</f>
        <v>0.35658833046710525</v>
      </c>
      <c r="N40" s="2" cm="1">
        <f t="array" ref="N40">_xlfn.LET(_xlpm.d,N$2:N$26,_xlpm.f,$A$2:$A$26,_xlpm.g,$B$2:$B$26,_xlpm.k,$C40,AVERAGE(_xlfn._xlws.FILTER(_xlpm.d,(_xlpm.f=_xlpm.k)*(_xlpm.g=0))))</f>
        <v>0.20778132461938298</v>
      </c>
      <c r="O40" s="2" cm="1">
        <f t="array" ref="O40">_xlfn.LET(_xlpm.d,O$2:O$26,_xlpm.f,$A$2:$A$26,_xlpm.g,$B$2:$B$26,_xlpm.k,$C40,AVERAGE(_xlfn._xlws.FILTER(_xlpm.d,(_xlpm.f=_xlpm.k)*(_xlpm.g=0))))</f>
        <v>0.32682862650295474</v>
      </c>
      <c r="P40" s="2" cm="1">
        <f t="array" ref="P40">_xlfn.LET(_xlpm.d,P$2:P$26,_xlpm.f,$A$2:$A$26,_xlpm.g,$B$2:$B$26,_xlpm.k,$C40,AVERAGE(_xlfn._xlws.FILTER(_xlpm.d,(_xlpm.f=_xlpm.k)*(_xlpm.g=0))))</f>
        <v>0.39126656017902894</v>
      </c>
      <c r="Q40" s="2" cm="1">
        <f t="array" ref="Q40">_xlfn.LET(_xlpm.d,Q$2:Q$26,_xlpm.f,$A$2:$A$26,_xlpm.g,$B$2:$B$26,_xlpm.k,$C40,AVERAGE(_xlfn._xlws.FILTER(_xlpm.d,(_xlpm.f=_xlpm.k)*(_xlpm.g=0))))</f>
        <v>0.42625399046293255</v>
      </c>
    </row>
    <row r="41" spans="3:17" ht="30" customHeight="1">
      <c r="C41" t="s">
        <v>55</v>
      </c>
      <c r="D41" s="2" cm="1">
        <f t="array" ref="D41">_xlfn.LET(_xlpm.d,D$2:D$26,_xlpm.f,$A$2:$A$26,_xlpm.g,$B$2:$B$26,_xlpm.k,$C41,AVERAGE(_xlfn._xlws.FILTER(_xlpm.d,(_xlpm.f=_xlpm.k)*(_xlpm.g=0))))</f>
        <v>0.64027607069282522</v>
      </c>
      <c r="E41" s="2" cm="1">
        <f t="array" ref="E41">_xlfn.LET(_xlpm.d,E$2:E$26,_xlpm.f,$A$2:$A$26,_xlpm.g,$B$2:$B$26,_xlpm.k,$C41,AVERAGE(_xlfn._xlws.FILTER(_xlpm.d,(_xlpm.f=_xlpm.k)*(_xlpm.g=0))))</f>
        <v>0.56238645150367528</v>
      </c>
      <c r="F41" s="2" cm="1">
        <f t="array" ref="F41">_xlfn.LET(_xlpm.d,F$2:F$26,_xlpm.f,$A$2:$A$26,_xlpm.g,$B$2:$B$26,_xlpm.k,$C41,AVERAGE(_xlfn._xlws.FILTER(_xlpm.d,(_xlpm.f=_xlpm.k)*(_xlpm.g=0))))</f>
        <v>0.56468137441806232</v>
      </c>
      <c r="G41" s="2" cm="1">
        <f t="array" ref="G41">_xlfn.LET(_xlpm.d,G$2:G$26,_xlpm.f,$A$2:$A$26,_xlpm.g,$B$2:$B$26,_xlpm.k,$C41,AVERAGE(_xlfn._xlws.FILTER(_xlpm.d,(_xlpm.f=_xlpm.k)*(_xlpm.g=0))))</f>
        <v>0.60707678896860429</v>
      </c>
      <c r="H41" s="2" cm="1">
        <f t="array" ref="H41">_xlfn.LET(_xlpm.d,H$2:H$26,_xlpm.f,$A$2:$A$26,_xlpm.g,$B$2:$B$26,_xlpm.k,$C41,AVERAGE(_xlfn._xlws.FILTER(_xlpm.d,(_xlpm.f=_xlpm.k)*(_xlpm.g=0))))</f>
        <v>0.49198741419575748</v>
      </c>
      <c r="I41" s="2" cm="1">
        <f t="array" ref="I41">_xlfn.LET(_xlpm.d,I$2:I$26,_xlpm.f,$A$2:$A$26,_xlpm.g,$B$2:$B$26,_xlpm.k,$C41,AVERAGE(_xlfn._xlws.FILTER(_xlpm.d,(_xlpm.f=_xlpm.k)*(_xlpm.g=0))))</f>
        <v>0.48506471128552653</v>
      </c>
      <c r="J41" s="2" cm="1">
        <f t="array" ref="J41">_xlfn.LET(_xlpm.d,J$2:J$26,_xlpm.f,$A$2:$A$26,_xlpm.g,$B$2:$B$26,_xlpm.k,$C41,AVERAGE(_xlfn._xlws.FILTER(_xlpm.d,(_xlpm.f=_xlpm.k)*(_xlpm.g=0))))</f>
        <v>0.48440758058654998</v>
      </c>
      <c r="K41" s="2" cm="1">
        <f t="array" ref="K41">_xlfn.LET(_xlpm.d,K$2:K$26,_xlpm.f,$A$2:$A$26,_xlpm.g,$B$2:$B$26,_xlpm.k,$C41,AVERAGE(_xlfn._xlws.FILTER(_xlpm.d,(_xlpm.f=_xlpm.k)*(_xlpm.g=0))))</f>
        <v>0.43613260759030453</v>
      </c>
      <c r="L41" s="2" cm="1">
        <f t="array" ref="L41">_xlfn.LET(_xlpm.d,L$2:L$26,_xlpm.f,$A$2:$A$26,_xlpm.g,$B$2:$B$26,_xlpm.k,$C41,AVERAGE(_xlfn._xlws.FILTER(_xlpm.d,(_xlpm.f=_xlpm.k)*(_xlpm.g=0))))</f>
        <v>0.38783849000794846</v>
      </c>
      <c r="M41" s="2" cm="1">
        <f t="array" ref="M41">_xlfn.LET(_xlpm.d,M$2:M$26,_xlpm.f,$A$2:$A$26,_xlpm.g,$B$2:$B$26,_xlpm.k,$C41,AVERAGE(_xlfn._xlws.FILTER(_xlpm.d,(_xlpm.f=_xlpm.k)*(_xlpm.g=0))))</f>
        <v>0.48275362035283753</v>
      </c>
      <c r="N41" s="2" cm="1">
        <f t="array" ref="N41">_xlfn.LET(_xlpm.d,N$2:N$26,_xlpm.f,$A$2:$A$26,_xlpm.g,$B$2:$B$26,_xlpm.k,$C41,AVERAGE(_xlfn._xlws.FILTER(_xlpm.d,(_xlpm.f=_xlpm.k)*(_xlpm.g=0))))</f>
        <v>0.42550117235074081</v>
      </c>
      <c r="O41" s="2" cm="1">
        <f t="array" ref="O41">_xlfn.LET(_xlpm.d,O$2:O$26,_xlpm.f,$A$2:$A$26,_xlpm.g,$B$2:$B$26,_xlpm.k,$C41,AVERAGE(_xlfn._xlws.FILTER(_xlpm.d,(_xlpm.f=_xlpm.k)*(_xlpm.g=0))))</f>
        <v>0.40532678122673449</v>
      </c>
      <c r="P41" s="2" cm="1">
        <f t="array" ref="P41">_xlfn.LET(_xlpm.d,P$2:P$26,_xlpm.f,$A$2:$A$26,_xlpm.g,$B$2:$B$26,_xlpm.k,$C41,AVERAGE(_xlfn._xlws.FILTER(_xlpm.d,(_xlpm.f=_xlpm.k)*(_xlpm.g=0))))</f>
        <v>0.40577826083347551</v>
      </c>
      <c r="Q41" s="2" cm="1">
        <f t="array" ref="Q41">_xlfn.LET(_xlpm.d,Q$2:Q$26,_xlpm.f,$A$2:$A$26,_xlpm.g,$B$2:$B$26,_xlpm.k,$C41,AVERAGE(_xlfn._xlws.FILTER(_xlpm.d,(_xlpm.f=_xlpm.k)*(_xlpm.g=0))))</f>
        <v>0.49070856338561869</v>
      </c>
    </row>
    <row r="42" spans="3:17" ht="30" customHeight="1">
      <c r="C42" t="s">
        <v>58</v>
      </c>
      <c r="D42" s="2" cm="1">
        <f t="array" ref="D42">_xlfn.LET(_xlpm.d,D$2:D$26,_xlpm.f,$A$2:$A$26,_xlpm.g,$B$2:$B$26,_xlpm.k,$C42,AVERAGE(_xlfn._xlws.FILTER(_xlpm.d,(_xlpm.f=_xlpm.k)*(_xlpm.g=0))))</f>
        <v>1</v>
      </c>
      <c r="E42" s="2" cm="1">
        <f t="array" ref="E42">_xlfn.LET(_xlpm.d,E$2:E$26,_xlpm.f,$A$2:$A$26,_xlpm.g,$B$2:$B$26,_xlpm.k,$C42,AVERAGE(_xlfn._xlws.FILTER(_xlpm.d,(_xlpm.f=_xlpm.k)*(_xlpm.g=0))))</f>
        <v>1</v>
      </c>
      <c r="F42" s="2" cm="1">
        <f t="array" ref="F42">_xlfn.LET(_xlpm.d,F$2:F$26,_xlpm.f,$A$2:$A$26,_xlpm.g,$B$2:$B$26,_xlpm.k,$C42,AVERAGE(_xlfn._xlws.FILTER(_xlpm.d,(_xlpm.f=_xlpm.k)*(_xlpm.g=0))))</f>
        <v>0.99848261644458525</v>
      </c>
      <c r="G42" s="2" cm="1">
        <f t="array" ref="G42">_xlfn.LET(_xlpm.d,G$2:G$26,_xlpm.f,$A$2:$A$26,_xlpm.g,$B$2:$B$26,_xlpm.k,$C42,AVERAGE(_xlfn._xlws.FILTER(_xlpm.d,(_xlpm.f=_xlpm.k)*(_xlpm.g=0))))</f>
        <v>0.98088214958449593</v>
      </c>
      <c r="H42" s="2" cm="1">
        <f t="array" ref="H42">_xlfn.LET(_xlpm.d,H$2:H$26,_xlpm.f,$A$2:$A$26,_xlpm.g,$B$2:$B$26,_xlpm.k,$C42,AVERAGE(_xlfn._xlws.FILTER(_xlpm.d,(_xlpm.f=_xlpm.k)*(_xlpm.g=0))))</f>
        <v>0.99518452469374552</v>
      </c>
      <c r="I42" s="2" cm="1">
        <f t="array" ref="I42">_xlfn.LET(_xlpm.d,I$2:I$26,_xlpm.f,$A$2:$A$26,_xlpm.g,$B$2:$B$26,_xlpm.k,$C42,AVERAGE(_xlfn._xlws.FILTER(_xlpm.d,(_xlpm.f=_xlpm.k)*(_xlpm.g=0))))</f>
        <v>0.97540349682705552</v>
      </c>
      <c r="J42" s="2" cm="1">
        <f t="array" ref="J42">_xlfn.LET(_xlpm.d,J$2:J$26,_xlpm.f,$A$2:$A$26,_xlpm.g,$B$2:$B$26,_xlpm.k,$C42,AVERAGE(_xlfn._xlws.FILTER(_xlpm.d,(_xlpm.f=_xlpm.k)*(_xlpm.g=0))))</f>
        <v>0.96657365237193127</v>
      </c>
      <c r="K42" s="2" cm="1">
        <f t="array" ref="K42">_xlfn.LET(_xlpm.d,K$2:K$26,_xlpm.f,$A$2:$A$26,_xlpm.g,$B$2:$B$26,_xlpm.k,$C42,AVERAGE(_xlfn._xlws.FILTER(_xlpm.d,(_xlpm.f=_xlpm.k)*(_xlpm.g=0))))</f>
        <v>0.99602415907997255</v>
      </c>
      <c r="L42" s="2" cm="1">
        <f t="array" ref="L42">_xlfn.LET(_xlpm.d,L$2:L$26,_xlpm.f,$A$2:$A$26,_xlpm.g,$B$2:$B$26,_xlpm.k,$C42,AVERAGE(_xlfn._xlws.FILTER(_xlpm.d,(_xlpm.f=_xlpm.k)*(_xlpm.g=0))))</f>
        <v>0.96855654475355879</v>
      </c>
      <c r="M42" s="2" cm="1">
        <f t="array" ref="M42">_xlfn.LET(_xlpm.d,M$2:M$26,_xlpm.f,$A$2:$A$26,_xlpm.g,$B$2:$B$26,_xlpm.k,$C42,AVERAGE(_xlfn._xlws.FILTER(_xlpm.d,(_xlpm.f=_xlpm.k)*(_xlpm.g=0))))</f>
        <v>0.95747624797295794</v>
      </c>
      <c r="N42" s="2" cm="1">
        <f t="array" ref="N42">_xlfn.LET(_xlpm.d,N$2:N$26,_xlpm.f,$A$2:$A$26,_xlpm.g,$B$2:$B$26,_xlpm.k,$C42,AVERAGE(_xlfn._xlws.FILTER(_xlpm.d,(_xlpm.f=_xlpm.k)*(_xlpm.g=0))))</f>
        <v>0.93437885218438621</v>
      </c>
      <c r="O42" s="2" cm="1">
        <f t="array" ref="O42">_xlfn.LET(_xlpm.d,O$2:O$26,_xlpm.f,$A$2:$A$26,_xlpm.g,$B$2:$B$26,_xlpm.k,$C42,AVERAGE(_xlfn._xlws.FILTER(_xlpm.d,(_xlpm.f=_xlpm.k)*(_xlpm.g=0))))</f>
        <v>0.9922002496847433</v>
      </c>
      <c r="P42" s="2" cm="1">
        <f t="array" ref="P42">_xlfn.LET(_xlpm.d,P$2:P$26,_xlpm.f,$A$2:$A$26,_xlpm.g,$B$2:$B$26,_xlpm.k,$C42,AVERAGE(_xlfn._xlws.FILTER(_xlpm.d,(_xlpm.f=_xlpm.k)*(_xlpm.g=0))))</f>
        <v>0.9288259880667088</v>
      </c>
      <c r="Q42" s="2" cm="1">
        <f t="array" ref="Q42">_xlfn.LET(_xlpm.d,Q$2:Q$26,_xlpm.f,$A$2:$A$26,_xlpm.g,$B$2:$B$26,_xlpm.k,$C42,AVERAGE(_xlfn._xlws.FILTER(_xlpm.d,(_xlpm.f=_xlpm.k)*(_xlpm.g=0))))</f>
        <v>0.97646065243570312</v>
      </c>
    </row>
  </sheetData>
  <conditionalFormatting sqref="D2:Q26 S2:S26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29:Q34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7:Q3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8:Q4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5CB1-E98D-4F41-BC23-A67569931093}">
  <dimension ref="A1:S52"/>
  <sheetViews>
    <sheetView tabSelected="1" workbookViewId="0">
      <pane xSplit="9080" ySplit="3520" topLeftCell="A42" activePane="bottomRight"/>
      <selection activeCell="B1" sqref="B1:C36"/>
      <selection pane="topRight" activeCell="B3" sqref="B3"/>
      <selection pane="bottomLeft" activeCell="C40" sqref="C40"/>
      <selection pane="bottomRight" activeCell="C51" sqref="C51"/>
    </sheetView>
  </sheetViews>
  <sheetFormatPr baseColWidth="10" defaultRowHeight="30" customHeight="1"/>
  <cols>
    <col min="1" max="1" width="11.625" customWidth="1"/>
    <col min="2" max="2" width="7.5" customWidth="1"/>
    <col min="3" max="3" width="16.125" customWidth="1"/>
    <col min="4" max="16" width="7" customWidth="1"/>
    <col min="17" max="18" width="7.375" customWidth="1"/>
    <col min="19" max="19" width="8.75" customWidth="1"/>
    <col min="20" max="20" width="9.125" customWidth="1"/>
    <col min="21" max="21" width="8.75" customWidth="1"/>
  </cols>
  <sheetData>
    <row r="1" spans="1:19" ht="30" customHeight="1">
      <c r="A1" t="s">
        <v>59</v>
      </c>
      <c r="B1" t="s">
        <v>63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47</v>
      </c>
      <c r="M1" t="s">
        <v>9</v>
      </c>
      <c r="N1" t="s">
        <v>48</v>
      </c>
      <c r="O1" t="s">
        <v>49</v>
      </c>
      <c r="P1" t="s">
        <v>10</v>
      </c>
      <c r="Q1" t="s">
        <v>36</v>
      </c>
      <c r="R1" t="s">
        <v>61</v>
      </c>
      <c r="S1" t="s">
        <v>62</v>
      </c>
    </row>
    <row r="2" spans="1:19" ht="30" customHeight="1">
      <c r="A2" t="str">
        <f>_xlfn.LET(_xlpm.c,$C2,_xlfn.TEXTBEFORE(_xlpm.c,"-"))</f>
        <v>arabic</v>
      </c>
      <c r="B2">
        <f>_xlfn.LET(_xlpm.c,_xlfn.SINGLE(Table13[condition]),IF(RIGHT(_xlpm.c,2)="1g",1,0))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>_xlfn.LET(_xlpm.d,$D2:$P2,AVERAGE(_xlpm.d))</f>
        <v>1</v>
      </c>
      <c r="R2" s="3">
        <f>_xlfn.LET(_xlpm.d,$D2:$P2,STDEV(_xlpm.d))</f>
        <v>0</v>
      </c>
      <c r="S2" s="1">
        <f>Table13[[#This Row],[average]]-SQRT(Table13[[#This Row],[stdev]])</f>
        <v>1</v>
      </c>
    </row>
    <row r="3" spans="1:19" ht="30" customHeight="1">
      <c r="A3" t="str">
        <f t="shared" ref="A3:A36" si="0">_xlfn.LET(_xlpm.c,$C3,_xlfn.TEXTBEFORE(_xlpm.c,"-"))</f>
        <v>arabic</v>
      </c>
      <c r="B3">
        <f>_xlfn.LET(_xlpm.c,_xlfn.SINGLE(Table13[condition]),IF(RIGHT(_xlpm.c,2)="1g",1,0))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ref="Q3:Q36" si="1">_xlfn.LET(_xlpm.d,$D3:$P3,AVERAGE(_xlpm.d))</f>
        <v>1</v>
      </c>
      <c r="R3" s="3">
        <f t="shared" ref="R3:R36" si="2">_xlfn.LET(_xlpm.d,$D3:$P3,STDEV(_xlpm.d))</f>
        <v>0</v>
      </c>
      <c r="S3" s="1">
        <f>Table13[[#This Row],[average]]-SQRT(Table13[[#This Row],[stdev]])</f>
        <v>1</v>
      </c>
    </row>
    <row r="4" spans="1:19" ht="30" customHeight="1">
      <c r="A4" t="str">
        <f t="shared" si="0"/>
        <v>arabic</v>
      </c>
      <c r="B4">
        <f>_xlfn.LET(_xlpm.c,_xlfn.SINGLE(Table13[condition]),IF(RIGHT(_xlpm.c,2)="1g",1,0))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 t="shared" si="1"/>
        <v>1</v>
      </c>
      <c r="R4" s="3">
        <f t="shared" si="2"/>
        <v>0</v>
      </c>
      <c r="S4" s="1">
        <f>Table13[[#This Row],[average]]-SQRT(Table13[[#This Row],[stdev]])</f>
        <v>1</v>
      </c>
    </row>
    <row r="5" spans="1:19" ht="30" customHeight="1">
      <c r="A5" t="str">
        <f t="shared" si="0"/>
        <v>arabic</v>
      </c>
      <c r="B5">
        <f>_xlfn.LET(_xlpm.c,_xlfn.SINGLE(Table13[condition]),IF(RIGHT(_xlpm.c,2)="1g",1,0))</f>
        <v>0</v>
      </c>
      <c r="C5" t="s">
        <v>14</v>
      </c>
      <c r="D5" s="1">
        <v>1</v>
      </c>
      <c r="E5" s="1">
        <v>1</v>
      </c>
      <c r="F5" s="1">
        <v>0.93741650206699101</v>
      </c>
      <c r="G5" s="1">
        <v>1</v>
      </c>
      <c r="H5" s="1">
        <v>1</v>
      </c>
      <c r="I5" s="1">
        <v>1</v>
      </c>
      <c r="J5" s="1">
        <v>0.81139757216219</v>
      </c>
      <c r="K5" s="1">
        <v>0.98987137100627498</v>
      </c>
      <c r="L5" s="1">
        <v>0.86115508387139905</v>
      </c>
      <c r="M5" s="1">
        <v>0.98513379052067596</v>
      </c>
      <c r="N5" s="1">
        <v>0.97603108566307795</v>
      </c>
      <c r="O5" s="1">
        <v>0.992292618629804</v>
      </c>
      <c r="P5" s="1">
        <v>1</v>
      </c>
      <c r="Q5" s="1">
        <f t="shared" si="1"/>
        <v>0.96563830953233942</v>
      </c>
      <c r="R5" s="3">
        <f t="shared" si="2"/>
        <v>6.0809505556915507E-2</v>
      </c>
      <c r="S5" s="1">
        <f>Table13[[#This Row],[average]]-SQRT(Table13[[#This Row],[stdev]])</f>
        <v>0.71904247510500063</v>
      </c>
    </row>
    <row r="6" spans="1:19" ht="30" customHeight="1">
      <c r="A6" t="str">
        <f t="shared" si="0"/>
        <v>arabic</v>
      </c>
      <c r="B6">
        <f>_xlfn.LET(_xlpm.c,_xlfn.SINGLE(Table13[condition]),IF(RIGHT(_xlpm.c,2)="1g",1,0))</f>
        <v>0</v>
      </c>
      <c r="C6" t="s">
        <v>15</v>
      </c>
      <c r="D6" s="1">
        <v>0.98948563009274104</v>
      </c>
      <c r="E6" s="1">
        <v>0.92706473864343797</v>
      </c>
      <c r="F6" s="1">
        <v>0.98590298263896803</v>
      </c>
      <c r="G6" s="1">
        <v>1</v>
      </c>
      <c r="H6" s="1">
        <v>0.98760377105832098</v>
      </c>
      <c r="I6" s="1">
        <v>1</v>
      </c>
      <c r="J6" s="1">
        <v>0.85740406193676499</v>
      </c>
      <c r="K6" s="1">
        <v>0.84566844683333997</v>
      </c>
      <c r="L6" s="1">
        <v>0.69051749641685201</v>
      </c>
      <c r="M6" s="1">
        <v>0.70280806210893998</v>
      </c>
      <c r="N6" s="1">
        <v>1</v>
      </c>
      <c r="O6" s="1">
        <v>0.74758769188137697</v>
      </c>
      <c r="P6" s="1">
        <v>0.85484228907249205</v>
      </c>
      <c r="Q6" s="1">
        <f t="shared" si="1"/>
        <v>0.8914527054371717</v>
      </c>
      <c r="R6" s="3">
        <f t="shared" si="2"/>
        <v>0.11749001086344858</v>
      </c>
      <c r="S6" s="1">
        <f>Table13[[#This Row],[average]]-SQRT(Table13[[#This Row],[stdev]])</f>
        <v>0.5486845463799912</v>
      </c>
    </row>
    <row r="7" spans="1:19" ht="30" customHeight="1">
      <c r="A7" t="str">
        <f t="shared" si="0"/>
        <v>arabic</v>
      </c>
      <c r="B7">
        <f>_xlfn.LET(_xlpm.c,_xlfn.SINGLE(Table13[condition]),IF(RIGHT(_xlpm.c,2)="1g",1,0))</f>
        <v>0</v>
      </c>
      <c r="C7" t="s">
        <v>37</v>
      </c>
      <c r="D7" s="1">
        <v>0.99752973928622601</v>
      </c>
      <c r="E7" s="1">
        <v>0.99572211705307401</v>
      </c>
      <c r="F7" s="1">
        <v>0.99357714333027303</v>
      </c>
      <c r="G7" s="1">
        <v>0.99332987328247102</v>
      </c>
      <c r="H7" s="1">
        <v>0.97558610777508403</v>
      </c>
      <c r="I7" s="1">
        <v>0.87595689127350396</v>
      </c>
      <c r="J7" s="1">
        <v>0.84636443206504097</v>
      </c>
      <c r="K7" s="1">
        <v>0.91193095184954498</v>
      </c>
      <c r="L7" s="1">
        <v>0.98490785289344795</v>
      </c>
      <c r="M7" s="1">
        <v>0.901190182741609</v>
      </c>
      <c r="N7" s="1">
        <v>0.78467460864965699</v>
      </c>
      <c r="O7" s="1">
        <v>1</v>
      </c>
      <c r="P7" s="1">
        <v>0.96601999077882095</v>
      </c>
      <c r="Q7" s="1">
        <f t="shared" si="1"/>
        <v>0.94052229930605802</v>
      </c>
      <c r="R7" s="3">
        <f t="shared" si="2"/>
        <v>7.0104077818586533E-2</v>
      </c>
      <c r="S7" s="1">
        <f>Table13[[#This Row],[average]]-SQRT(Table13[[#This Row],[stdev]])</f>
        <v>0.67575055266645423</v>
      </c>
    </row>
    <row r="8" spans="1:19" ht="30" customHeight="1">
      <c r="A8" t="str">
        <f t="shared" si="0"/>
        <v>arabic</v>
      </c>
      <c r="B8">
        <f>_xlfn.LET(_xlpm.c,_xlfn.SINGLE(Table13[condition]),IF(RIGHT(_xlpm.c,2)="1g",1,0))</f>
        <v>0</v>
      </c>
      <c r="C8" t="s">
        <v>38</v>
      </c>
      <c r="D8" s="1">
        <v>1</v>
      </c>
      <c r="E8" s="1">
        <v>1</v>
      </c>
      <c r="F8" s="1">
        <v>0.87463986211339995</v>
      </c>
      <c r="G8" s="1">
        <v>0.80500671505154597</v>
      </c>
      <c r="H8" s="1">
        <v>0.88076386946136898</v>
      </c>
      <c r="I8" s="1">
        <v>0.73824285841691295</v>
      </c>
      <c r="J8" s="1">
        <v>0.63936386501690301</v>
      </c>
      <c r="K8" s="1">
        <v>0.47274192889140199</v>
      </c>
      <c r="L8" s="1">
        <v>0.77668699009021402</v>
      </c>
      <c r="M8" s="1">
        <v>0.73201326402357103</v>
      </c>
      <c r="N8" s="1">
        <v>0.82322857000494098</v>
      </c>
      <c r="O8" s="1">
        <v>0.82863033198519698</v>
      </c>
      <c r="P8" s="1">
        <v>0.82603706558152801</v>
      </c>
      <c r="Q8" s="1">
        <f t="shared" si="1"/>
        <v>0.79979656312592173</v>
      </c>
      <c r="R8" s="3">
        <f t="shared" si="2"/>
        <v>0.14024891032240519</v>
      </c>
      <c r="S8" s="1">
        <f>Table13[[#This Row],[average]]-SQRT(Table13[[#This Row],[stdev]])</f>
        <v>0.42529835175181491</v>
      </c>
    </row>
    <row r="9" spans="1:19" ht="30" customHeight="1">
      <c r="A9" t="str">
        <f t="shared" si="0"/>
        <v>english</v>
      </c>
      <c r="B9">
        <f>_xlfn.LET(_xlpm.c,_xlfn.SINGLE(Table13[condition]),IF(RIGHT(_xlpm.c,2)="1g",1,0))</f>
        <v>1</v>
      </c>
      <c r="C9" t="s">
        <v>16</v>
      </c>
      <c r="D9" s="1">
        <v>1</v>
      </c>
      <c r="E9" s="1">
        <v>0.74193662337281896</v>
      </c>
      <c r="F9" s="1">
        <v>0.72231202504951397</v>
      </c>
      <c r="G9" s="1">
        <v>0.60405633120278002</v>
      </c>
      <c r="H9" s="1">
        <v>0.831412550414655</v>
      </c>
      <c r="I9" s="1">
        <v>0.43025661819474498</v>
      </c>
      <c r="J9" s="1">
        <v>0.59793497358768899</v>
      </c>
      <c r="K9" s="1">
        <v>0.43801146096476801</v>
      </c>
      <c r="L9" s="1">
        <v>0.22554495275564601</v>
      </c>
      <c r="M9" s="1">
        <v>0.487733937546528</v>
      </c>
      <c r="N9" s="1">
        <v>0.62718992217792602</v>
      </c>
      <c r="O9" s="1">
        <v>0.29624621574579402</v>
      </c>
      <c r="P9" s="1">
        <v>0.31774695488063298</v>
      </c>
      <c r="Q9" s="1">
        <f t="shared" si="1"/>
        <v>0.56310635122257668</v>
      </c>
      <c r="R9" s="3">
        <f t="shared" si="2"/>
        <v>0.22574500260951541</v>
      </c>
      <c r="S9" s="1">
        <f>Table13[[#This Row],[average]]-SQRT(Table13[[#This Row],[stdev]])</f>
        <v>8.7980049477961175E-2</v>
      </c>
    </row>
    <row r="10" spans="1:19" ht="30" customHeight="1">
      <c r="A10" t="str">
        <f t="shared" si="0"/>
        <v>english</v>
      </c>
      <c r="B10">
        <f>_xlfn.LET(_xlpm.c,_xlfn.SINGLE(Table13[condition]),IF(RIGHT(_xlpm.c,2)="1g",1,0))</f>
        <v>0</v>
      </c>
      <c r="C10" t="s">
        <v>17</v>
      </c>
      <c r="D10" s="1">
        <v>0.401426642894332</v>
      </c>
      <c r="E10" s="1">
        <v>0.388500799763142</v>
      </c>
      <c r="F10" s="1">
        <v>0.33335788968045399</v>
      </c>
      <c r="G10" s="1">
        <v>0.66242662941288799</v>
      </c>
      <c r="H10" s="1">
        <v>0</v>
      </c>
      <c r="I10" s="1">
        <v>0.32813324892699802</v>
      </c>
      <c r="J10" s="1">
        <v>0.34673554669703099</v>
      </c>
      <c r="K10" s="1">
        <v>0.25766720746327698</v>
      </c>
      <c r="L10" s="1">
        <v>0.31250067185335101</v>
      </c>
      <c r="M10" s="1">
        <v>0.20127708745537801</v>
      </c>
      <c r="N10" s="1">
        <v>0</v>
      </c>
      <c r="O10" s="1">
        <v>0.37514144305591202</v>
      </c>
      <c r="P10" s="1">
        <v>0.40492318578727798</v>
      </c>
      <c r="Q10" s="1">
        <f t="shared" si="1"/>
        <v>0.30862233484538781</v>
      </c>
      <c r="R10" s="3">
        <f t="shared" si="2"/>
        <v>0.1734321273066218</v>
      </c>
      <c r="S10" s="1">
        <f>Table13[[#This Row],[average]]-SQRT(Table13[[#This Row],[stdev]])</f>
        <v>-0.10782949587050877</v>
      </c>
    </row>
    <row r="11" spans="1:19" ht="30" customHeight="1">
      <c r="A11" t="str">
        <f t="shared" si="0"/>
        <v>english</v>
      </c>
      <c r="B11">
        <f>_xlfn.LET(_xlpm.c,_xlfn.SINGLE(Table13[condition]),IF(RIGHT(_xlpm.c,2)="1g",1,0))</f>
        <v>0</v>
      </c>
      <c r="C11" t="s">
        <v>18</v>
      </c>
      <c r="D11" s="1">
        <v>0.48838201014648602</v>
      </c>
      <c r="E11" s="1">
        <v>0.56311931871621901</v>
      </c>
      <c r="F11" s="1">
        <v>0.46972519286214798</v>
      </c>
      <c r="G11" s="1">
        <v>0.43321286869285902</v>
      </c>
      <c r="H11" s="1">
        <v>0.51992404733605901</v>
      </c>
      <c r="I11" s="1">
        <v>0.38199124572388199</v>
      </c>
      <c r="J11" s="1">
        <v>0.36713716387615403</v>
      </c>
      <c r="K11" s="1">
        <v>0.22177760406665101</v>
      </c>
      <c r="L11" s="1">
        <v>0.43178561471157501</v>
      </c>
      <c r="M11" s="1">
        <v>0.43637252039376501</v>
      </c>
      <c r="N11" s="1">
        <v>0.54061662770726004</v>
      </c>
      <c r="O11" s="1">
        <v>0.43762284507777899</v>
      </c>
      <c r="P11" s="1">
        <v>0.34544876024636401</v>
      </c>
      <c r="Q11" s="1">
        <f t="shared" si="1"/>
        <v>0.43362429381209239</v>
      </c>
      <c r="R11" s="3">
        <f t="shared" si="2"/>
        <v>9.1165233142293328E-2</v>
      </c>
      <c r="S11" s="1">
        <f>Table13[[#This Row],[average]]-SQRT(Table13[[#This Row],[stdev]])</f>
        <v>0.13168848417320023</v>
      </c>
    </row>
    <row r="12" spans="1:19" ht="30" customHeight="1">
      <c r="A12" t="str">
        <f t="shared" si="0"/>
        <v>english</v>
      </c>
      <c r="B12">
        <f>_xlfn.LET(_xlpm.c,_xlfn.SINGLE(Table13[condition]),IF(RIGHT(_xlpm.c,2)="1g",1,0))</f>
        <v>0</v>
      </c>
      <c r="C12" t="s">
        <v>19</v>
      </c>
      <c r="D12" s="1">
        <v>0.56932451332801604</v>
      </c>
      <c r="E12" s="1">
        <v>0.48055063065652898</v>
      </c>
      <c r="F12" s="1">
        <v>0.60685310934650105</v>
      </c>
      <c r="G12" s="1">
        <v>0.45928175915284503</v>
      </c>
      <c r="H12" s="1">
        <v>0.38170748811841299</v>
      </c>
      <c r="I12" s="1">
        <v>0.31530927749806797</v>
      </c>
      <c r="J12" s="1">
        <v>0.49256238033760902</v>
      </c>
      <c r="K12" s="1">
        <v>0.42806833233668001</v>
      </c>
      <c r="L12" s="1">
        <v>0.66709981195963497</v>
      </c>
      <c r="M12" s="1">
        <v>0.59732710515819298</v>
      </c>
      <c r="N12" s="1">
        <v>0.40934270756308999</v>
      </c>
      <c r="O12" s="1">
        <v>0.42843978703157998</v>
      </c>
      <c r="P12" s="1">
        <v>0.55688165974820403</v>
      </c>
      <c r="Q12" s="1">
        <f t="shared" si="1"/>
        <v>0.4917498894027203</v>
      </c>
      <c r="R12" s="3">
        <f t="shared" si="2"/>
        <v>0.10193061401237075</v>
      </c>
      <c r="S12" s="1">
        <f>Table13[[#This Row],[average]]-SQRT(Table13[[#This Row],[stdev]])</f>
        <v>0.17248414740654128</v>
      </c>
    </row>
    <row r="13" spans="1:19" ht="30" customHeight="1">
      <c r="A13" t="str">
        <f t="shared" si="0"/>
        <v>english</v>
      </c>
      <c r="B13">
        <f>_xlfn.LET(_xlpm.c,_xlfn.SINGLE(Table13[condition]),IF(RIGHT(_xlpm.c,2)="1g",1,0))</f>
        <v>0</v>
      </c>
      <c r="C13" t="s">
        <v>20</v>
      </c>
      <c r="D13" s="1">
        <v>0.50062086834050801</v>
      </c>
      <c r="E13" s="1">
        <v>0.61522247584441903</v>
      </c>
      <c r="F13" s="1">
        <v>0.74741757679187004</v>
      </c>
      <c r="G13" s="1">
        <v>0.35436370483832202</v>
      </c>
      <c r="H13" s="1">
        <v>0.50076073913614005</v>
      </c>
      <c r="I13" s="1">
        <v>0.22956483027029501</v>
      </c>
      <c r="J13" s="1">
        <v>0.34486682270145103</v>
      </c>
      <c r="K13" s="1">
        <v>0.22755536015734501</v>
      </c>
      <c r="L13" s="1">
        <v>0.57719100609473495</v>
      </c>
      <c r="M13" s="1">
        <v>0.32654877499422102</v>
      </c>
      <c r="N13" s="1">
        <v>0.30799182063174202</v>
      </c>
      <c r="O13" s="1">
        <v>0.45992013096648499</v>
      </c>
      <c r="P13" s="1">
        <v>0.50604354457975298</v>
      </c>
      <c r="Q13" s="1">
        <f t="shared" si="1"/>
        <v>0.4383128965651758</v>
      </c>
      <c r="R13" s="3">
        <f t="shared" si="2"/>
        <v>0.15604889540419781</v>
      </c>
      <c r="S13" s="1">
        <f>Table13[[#This Row],[average]]-SQRT(Table13[[#This Row],[stdev]])</f>
        <v>4.3282650376105125E-2</v>
      </c>
    </row>
    <row r="14" spans="1:19" ht="30" customHeight="1">
      <c r="A14" t="str">
        <f t="shared" si="0"/>
        <v>english</v>
      </c>
      <c r="B14">
        <f>_xlfn.LET(_xlpm.c,_xlfn.SINGLE(Table13[condition]),IF(RIGHT(_xlpm.c,2)="1g",1,0))</f>
        <v>0</v>
      </c>
      <c r="C14" t="s">
        <v>39</v>
      </c>
      <c r="D14" s="1">
        <v>0.60965118444940303</v>
      </c>
      <c r="E14" s="1">
        <v>0.42145254045890801</v>
      </c>
      <c r="F14" s="1">
        <v>0.59124588411297496</v>
      </c>
      <c r="G14" s="1">
        <v>0.49948849543033103</v>
      </c>
      <c r="H14" s="1">
        <v>0.55034304751983099</v>
      </c>
      <c r="I14" s="1">
        <v>0.53994529384483103</v>
      </c>
      <c r="J14" s="1">
        <v>0.73032522842201297</v>
      </c>
      <c r="K14" s="1">
        <v>0.57491788992188597</v>
      </c>
      <c r="L14" s="1">
        <v>0.55302644606229501</v>
      </c>
      <c r="M14" s="1">
        <v>0.440184647133878</v>
      </c>
      <c r="N14" s="1">
        <v>0.44968350488963599</v>
      </c>
      <c r="O14" s="1">
        <v>0.345856384538613</v>
      </c>
      <c r="P14" s="1">
        <v>0.43109407985776399</v>
      </c>
      <c r="Q14" s="1">
        <f t="shared" si="1"/>
        <v>0.51824727897248946</v>
      </c>
      <c r="R14" s="3">
        <f t="shared" si="2"/>
        <v>0.10100032892606477</v>
      </c>
      <c r="S14" s="1">
        <f>Table13[[#This Row],[average]]-SQRT(Table13[[#This Row],[stdev]])</f>
        <v>0.20044178983477057</v>
      </c>
    </row>
    <row r="15" spans="1:19" ht="30" customHeight="1">
      <c r="A15" t="str">
        <f t="shared" si="0"/>
        <v>english</v>
      </c>
      <c r="B15">
        <f>_xlfn.LET(_xlpm.c,_xlfn.SINGLE(Table13[condition]),IF(RIGHT(_xlpm.c,2)="1g",1,0))</f>
        <v>0</v>
      </c>
      <c r="C15" t="s">
        <v>40</v>
      </c>
      <c r="D15" s="1">
        <v>0.49654233031584399</v>
      </c>
      <c r="E15" s="1">
        <v>0.63932250876835905</v>
      </c>
      <c r="F15" s="1">
        <v>0.57406698023968505</v>
      </c>
      <c r="G15" s="1">
        <v>0.58285076005297098</v>
      </c>
      <c r="H15" s="1">
        <v>0.47079808776387699</v>
      </c>
      <c r="I15" s="1">
        <v>0.43501227677024201</v>
      </c>
      <c r="J15" s="1">
        <v>0.42304034041751198</v>
      </c>
      <c r="K15" s="1">
        <v>0.42414786414462702</v>
      </c>
      <c r="L15" s="1">
        <v>0.36659436235302001</v>
      </c>
      <c r="M15" s="1">
        <v>0.29016939310013001</v>
      </c>
      <c r="N15" s="1">
        <v>0.22254914961229599</v>
      </c>
      <c r="O15" s="1">
        <v>0.42135213501362401</v>
      </c>
      <c r="P15" s="1">
        <v>0.477464226056869</v>
      </c>
      <c r="Q15" s="1">
        <f t="shared" si="1"/>
        <v>0.44799310881608112</v>
      </c>
      <c r="R15" s="3">
        <f t="shared" si="2"/>
        <v>0.11505879906341876</v>
      </c>
      <c r="S15" s="1">
        <f>Table13[[#This Row],[average]]-SQRT(Table13[[#This Row],[stdev]])</f>
        <v>0.10878992624932105</v>
      </c>
    </row>
    <row r="16" spans="1:19" ht="30" customHeight="1">
      <c r="A16" t="str">
        <f t="shared" si="0"/>
        <v>french</v>
      </c>
      <c r="B16">
        <f>_xlfn.LET(_xlpm.c,_xlfn.SINGLE(Table13[condition]),IF(RIGHT(_xlpm.c,2)="1g",1,0))</f>
        <v>1</v>
      </c>
      <c r="C16" t="s">
        <v>21</v>
      </c>
      <c r="D16" s="1">
        <v>1</v>
      </c>
      <c r="E16" s="1">
        <v>0.82343509724196096</v>
      </c>
      <c r="F16" s="1">
        <v>0.73805030091847501</v>
      </c>
      <c r="G16" s="1">
        <v>0.60114498847877795</v>
      </c>
      <c r="H16" s="1">
        <v>0.62115331979232902</v>
      </c>
      <c r="I16" s="1">
        <v>0.72833772976989597</v>
      </c>
      <c r="J16" s="1">
        <v>0.53225673273868701</v>
      </c>
      <c r="K16" s="1">
        <v>0.59086148360908897</v>
      </c>
      <c r="L16" s="1">
        <v>0.62478171149599504</v>
      </c>
      <c r="M16" s="1">
        <v>0.56978090597397502</v>
      </c>
      <c r="N16" s="1">
        <v>0.38274515256360597</v>
      </c>
      <c r="O16" s="1">
        <v>0.63838193214806005</v>
      </c>
      <c r="P16" s="1">
        <v>0.68242109303004495</v>
      </c>
      <c r="Q16" s="1">
        <f t="shared" si="1"/>
        <v>0.65641157290468422</v>
      </c>
      <c r="R16" s="3">
        <f t="shared" si="2"/>
        <v>0.14893989013183279</v>
      </c>
      <c r="S16" s="1">
        <f>Table13[[#This Row],[average]]-SQRT(Table13[[#This Row],[stdev]])</f>
        <v>0.27048426092504108</v>
      </c>
    </row>
    <row r="17" spans="1:19" ht="30" customHeight="1">
      <c r="A17" t="str">
        <f t="shared" si="0"/>
        <v>french</v>
      </c>
      <c r="B17">
        <f>_xlfn.LET(_xlpm.c,_xlfn.SINGLE(Table13[condition]),IF(RIGHT(_xlpm.c,2)="1g",1,0))</f>
        <v>0</v>
      </c>
      <c r="C17" t="s">
        <v>22</v>
      </c>
      <c r="D17" s="1">
        <v>0.38055386759410798</v>
      </c>
      <c r="E17" s="1">
        <v>0.569406652765023</v>
      </c>
      <c r="F17" s="1">
        <v>0.51131015527350299</v>
      </c>
      <c r="G17" s="1">
        <v>0.14454733705115799</v>
      </c>
      <c r="H17" s="1">
        <v>0.40371785560450801</v>
      </c>
      <c r="I17" s="1">
        <v>0.39112601818274201</v>
      </c>
      <c r="J17" s="1">
        <v>0.32941164296130099</v>
      </c>
      <c r="K17" s="1">
        <v>0.25323534526213198</v>
      </c>
      <c r="L17" s="1">
        <v>0.25458608633575402</v>
      </c>
      <c r="M17" s="1">
        <v>0.39660751023200902</v>
      </c>
      <c r="N17" s="1">
        <v>0</v>
      </c>
      <c r="O17" s="1">
        <v>0.22163979103303599</v>
      </c>
      <c r="P17" s="1">
        <v>0.590942513385735</v>
      </c>
      <c r="Q17" s="1">
        <f t="shared" si="1"/>
        <v>0.34208344428315457</v>
      </c>
      <c r="R17" s="3">
        <f t="shared" si="2"/>
        <v>0.16811697219249036</v>
      </c>
      <c r="S17" s="1">
        <f>Table13[[#This Row],[average]]-SQRT(Table13[[#This Row],[stdev]])</f>
        <v>-6.793725299015424E-2</v>
      </c>
    </row>
    <row r="18" spans="1:19" ht="30" customHeight="1">
      <c r="A18" t="str">
        <f t="shared" si="0"/>
        <v>french</v>
      </c>
      <c r="B18">
        <f>_xlfn.LET(_xlpm.c,_xlfn.SINGLE(Table13[condition]),IF(RIGHT(_xlpm.c,2)="1g",1,0))</f>
        <v>0</v>
      </c>
      <c r="C18" t="s">
        <v>23</v>
      </c>
      <c r="D18" s="1">
        <v>0.65613638816046105</v>
      </c>
      <c r="E18" s="1">
        <v>0.32591262339001398</v>
      </c>
      <c r="F18" s="1">
        <v>0.61035076164203705</v>
      </c>
      <c r="G18" s="1">
        <v>0.45708724563866199</v>
      </c>
      <c r="H18" s="1">
        <v>0.40553303108398198</v>
      </c>
      <c r="I18" s="1">
        <v>0.33223279697987002</v>
      </c>
      <c r="J18" s="1">
        <v>0.29509455195216</v>
      </c>
      <c r="K18" s="1">
        <v>0.43540083874625102</v>
      </c>
      <c r="L18" s="1">
        <v>0.51038092117326395</v>
      </c>
      <c r="M18" s="1">
        <v>0.228092753604657</v>
      </c>
      <c r="N18" s="1">
        <v>0</v>
      </c>
      <c r="O18" s="1">
        <v>0.28708461149194298</v>
      </c>
      <c r="P18" s="1">
        <v>0.20575135159432301</v>
      </c>
      <c r="Q18" s="1">
        <f t="shared" si="1"/>
        <v>0.36531214426597103</v>
      </c>
      <c r="R18" s="3">
        <f t="shared" si="2"/>
        <v>0.17608208834569131</v>
      </c>
      <c r="S18" s="1">
        <f>Table13[[#This Row],[average]]-SQRT(Table13[[#This Row],[stdev]])</f>
        <v>-5.4309218805180637E-2</v>
      </c>
    </row>
    <row r="19" spans="1:19" ht="30" customHeight="1">
      <c r="A19" t="str">
        <f t="shared" si="0"/>
        <v>french</v>
      </c>
      <c r="B19">
        <f>_xlfn.LET(_xlpm.c,_xlfn.SINGLE(Table13[condition]),IF(RIGHT(_xlpm.c,2)="1g",1,0))</f>
        <v>0</v>
      </c>
      <c r="C19" t="s">
        <v>24</v>
      </c>
      <c r="D19" s="1">
        <v>0.62053832570441803</v>
      </c>
      <c r="E19" s="1">
        <v>0.54366660579845905</v>
      </c>
      <c r="F19" s="1">
        <v>0.70219309410513997</v>
      </c>
      <c r="G19" s="1">
        <v>0.59971714721511404</v>
      </c>
      <c r="H19" s="1">
        <v>0.53546021391788201</v>
      </c>
      <c r="I19" s="1">
        <v>0.61260025229374504</v>
      </c>
      <c r="J19" s="1">
        <v>0.46772143414454398</v>
      </c>
      <c r="K19" s="1">
        <v>0.379801932788493</v>
      </c>
      <c r="L19" s="1">
        <v>0.56849378165931996</v>
      </c>
      <c r="M19" s="1">
        <v>0.39997936477650498</v>
      </c>
      <c r="N19" s="1">
        <v>0.14379762962558701</v>
      </c>
      <c r="O19" s="1">
        <v>0.383634656102741</v>
      </c>
      <c r="P19" s="1">
        <v>0.38155999765298998</v>
      </c>
      <c r="Q19" s="1">
        <f t="shared" si="1"/>
        <v>0.4876280335219183</v>
      </c>
      <c r="R19" s="3">
        <f t="shared" si="2"/>
        <v>0.14827965453973813</v>
      </c>
      <c r="S19" s="1">
        <f>Table13[[#This Row],[average]]-SQRT(Table13[[#This Row],[stdev]])</f>
        <v>0.10255706014202548</v>
      </c>
    </row>
    <row r="20" spans="1:19" ht="30" customHeight="1">
      <c r="A20" t="str">
        <f t="shared" si="0"/>
        <v>french</v>
      </c>
      <c r="B20">
        <f>_xlfn.LET(_xlpm.c,_xlfn.SINGLE(Table13[condition]),IF(RIGHT(_xlpm.c,2)="1g",1,0))</f>
        <v>0</v>
      </c>
      <c r="C20" t="s">
        <v>25</v>
      </c>
      <c r="D20" s="1">
        <v>0.67639898726641101</v>
      </c>
      <c r="E20" s="1">
        <v>0.61554979271321097</v>
      </c>
      <c r="F20" s="1">
        <v>0.43449136606149402</v>
      </c>
      <c r="G20" s="1">
        <v>0.68160905093864299</v>
      </c>
      <c r="H20" s="1">
        <v>0.58203267317905005</v>
      </c>
      <c r="I20" s="1">
        <v>0.507837340868044</v>
      </c>
      <c r="J20" s="1">
        <v>0.42163621326362</v>
      </c>
      <c r="K20" s="1">
        <v>0.35833547560406998</v>
      </c>
      <c r="L20" s="1">
        <v>0.46124032968001599</v>
      </c>
      <c r="M20" s="1">
        <v>0.40167369325524999</v>
      </c>
      <c r="N20" s="1">
        <v>0.68732766885194496</v>
      </c>
      <c r="O20" s="1">
        <v>0.41495544738409901</v>
      </c>
      <c r="P20" s="1">
        <v>0.38681237808306801</v>
      </c>
      <c r="Q20" s="1">
        <f t="shared" si="1"/>
        <v>0.50999233978068625</v>
      </c>
      <c r="R20" s="3">
        <f t="shared" si="2"/>
        <v>0.12238944823482638</v>
      </c>
      <c r="S20" s="1">
        <f>Table13[[#This Row],[average]]-SQRT(Table13[[#This Row],[stdev]])</f>
        <v>0.16015030652163609</v>
      </c>
    </row>
    <row r="21" spans="1:19" ht="30" customHeight="1">
      <c r="A21" t="str">
        <f t="shared" si="0"/>
        <v>french</v>
      </c>
      <c r="B21">
        <f>_xlfn.LET(_xlpm.c,_xlfn.SINGLE(Table13[condition]),IF(RIGHT(_xlpm.c,2)="1g",1,0))</f>
        <v>0</v>
      </c>
      <c r="C21" t="s">
        <v>41</v>
      </c>
      <c r="D21" s="1">
        <v>0.71083369120332696</v>
      </c>
      <c r="E21" s="1">
        <v>0.71139499223605596</v>
      </c>
      <c r="F21" s="1">
        <v>0.58013962062881796</v>
      </c>
      <c r="G21" s="1">
        <v>0.35168560927742298</v>
      </c>
      <c r="H21" s="1">
        <v>0.508111089013775</v>
      </c>
      <c r="I21" s="1">
        <v>0.57110096043351699</v>
      </c>
      <c r="J21" s="1">
        <v>0.58701018088571499</v>
      </c>
      <c r="K21" s="1">
        <v>0.578348921063223</v>
      </c>
      <c r="L21" s="1">
        <v>0.404755226543216</v>
      </c>
      <c r="M21" s="1">
        <v>0.50600173522692404</v>
      </c>
      <c r="N21" s="1">
        <v>0.67139297218743199</v>
      </c>
      <c r="O21" s="1">
        <v>0.41807781869396299</v>
      </c>
      <c r="P21" s="1">
        <v>0.46523451180110897</v>
      </c>
      <c r="Q21" s="1">
        <f t="shared" si="1"/>
        <v>0.54339133301496134</v>
      </c>
      <c r="R21" s="3">
        <f t="shared" si="2"/>
        <v>0.1148604904325225</v>
      </c>
      <c r="S21" s="1">
        <f>Table13[[#This Row],[average]]-SQRT(Table13[[#This Row],[stdev]])</f>
        <v>0.20448059191559387</v>
      </c>
    </row>
    <row r="22" spans="1:19" ht="30" customHeight="1">
      <c r="A22" t="str">
        <f t="shared" si="0"/>
        <v>french</v>
      </c>
      <c r="B22">
        <f>_xlfn.LET(_xlpm.c,_xlfn.SINGLE(Table13[condition]),IF(RIGHT(_xlpm.c,2)="1g",1,0))</f>
        <v>0</v>
      </c>
      <c r="C22" t="s">
        <v>42</v>
      </c>
      <c r="D22" s="1">
        <v>0.46998858237670299</v>
      </c>
      <c r="E22" s="1">
        <v>0.47540921206711401</v>
      </c>
      <c r="F22" s="1">
        <v>0.5604767752259</v>
      </c>
      <c r="G22" s="1">
        <v>0.53586750572603703</v>
      </c>
      <c r="H22" s="1">
        <v>0.60317644241256196</v>
      </c>
      <c r="I22" s="1">
        <v>0.43308348539279201</v>
      </c>
      <c r="J22" s="1">
        <v>0.56763105819184001</v>
      </c>
      <c r="K22" s="1">
        <v>0.47381781495964098</v>
      </c>
      <c r="L22" s="1">
        <v>0.70650759186443901</v>
      </c>
      <c r="M22" s="1">
        <v>0.180262732128564</v>
      </c>
      <c r="N22" s="1">
        <v>0.638621661853921</v>
      </c>
      <c r="O22" s="1">
        <v>0.34192502998549001</v>
      </c>
      <c r="P22" s="1">
        <v>0.16674169988007601</v>
      </c>
      <c r="Q22" s="1">
        <f t="shared" si="1"/>
        <v>0.4733468916973137</v>
      </c>
      <c r="R22" s="3">
        <f t="shared" si="2"/>
        <v>0.16272138531434599</v>
      </c>
      <c r="S22" s="1">
        <f>Table13[[#This Row],[average]]-SQRT(Table13[[#This Row],[stdev]])</f>
        <v>6.9959503056634953E-2</v>
      </c>
    </row>
    <row r="23" spans="1:19" ht="30" customHeight="1">
      <c r="A23" t="str">
        <f t="shared" si="0"/>
        <v>german</v>
      </c>
      <c r="B23">
        <f>_xlfn.LET(_xlpm.c,_xlfn.SINGLE(Table13[condition]),IF(RIGHT(_xlpm.c,2)="1g",1,0))</f>
        <v>1</v>
      </c>
      <c r="C23" t="s">
        <v>26</v>
      </c>
      <c r="D23" s="1">
        <v>1</v>
      </c>
      <c r="E23" s="1">
        <v>0.71998017214334598</v>
      </c>
      <c r="F23" s="1">
        <v>0.695772931352586</v>
      </c>
      <c r="G23" s="1">
        <v>0.79735144017417803</v>
      </c>
      <c r="H23" s="1">
        <v>0.79470341285568402</v>
      </c>
      <c r="I23" s="1">
        <v>0.76876466084145001</v>
      </c>
      <c r="J23" s="1">
        <v>0.54239108498988398</v>
      </c>
      <c r="K23" s="1">
        <v>0.74753645999836105</v>
      </c>
      <c r="L23" s="1">
        <v>0.72825197871357705</v>
      </c>
      <c r="M23" s="1">
        <v>0.58059494659154198</v>
      </c>
      <c r="N23" s="1">
        <v>0.59485837733048896</v>
      </c>
      <c r="O23" s="1">
        <v>0.67916893219846597</v>
      </c>
      <c r="P23" s="1">
        <v>0.67881343597684696</v>
      </c>
      <c r="Q23" s="1">
        <f t="shared" si="1"/>
        <v>0.71755291024357004</v>
      </c>
      <c r="R23" s="3">
        <f t="shared" si="2"/>
        <v>0.11679038331704608</v>
      </c>
      <c r="S23" s="1">
        <f>Table13[[#This Row],[average]]-SQRT(Table13[[#This Row],[stdev]])</f>
        <v>0.37580683006554361</v>
      </c>
    </row>
    <row r="24" spans="1:19" ht="30" customHeight="1">
      <c r="A24" t="str">
        <f t="shared" si="0"/>
        <v>german</v>
      </c>
      <c r="B24">
        <f>_xlfn.LET(_xlpm.c,_xlfn.SINGLE(Table13[condition]),IF(RIGHT(_xlpm.c,2)="1g",1,0))</f>
        <v>0</v>
      </c>
      <c r="C24" t="s">
        <v>27</v>
      </c>
      <c r="D24" s="1">
        <v>0.59620138113468701</v>
      </c>
      <c r="E24" s="1">
        <v>0.53799243148856801</v>
      </c>
      <c r="F24" s="1">
        <v>0.46901929055263503</v>
      </c>
      <c r="G24" s="1">
        <v>0.65350178927070002</v>
      </c>
      <c r="H24" s="1">
        <v>0.27938314162152</v>
      </c>
      <c r="I24" s="1">
        <v>0.43517293345968699</v>
      </c>
      <c r="J24" s="1">
        <v>0.328611119309138</v>
      </c>
      <c r="K24" s="1">
        <v>0.32944321247472602</v>
      </c>
      <c r="L24" s="1">
        <v>0.53422175971713604</v>
      </c>
      <c r="M24" s="1">
        <v>0.52872876935838897</v>
      </c>
      <c r="N24" s="1">
        <v>0.42479068347523702</v>
      </c>
      <c r="O24" s="1">
        <v>0.50105118616404698</v>
      </c>
      <c r="P24" s="1">
        <v>0.37713772182914201</v>
      </c>
      <c r="Q24" s="1">
        <f t="shared" si="1"/>
        <v>0.46117349383504708</v>
      </c>
      <c r="R24" s="3">
        <f t="shared" si="2"/>
        <v>0.11169546967771862</v>
      </c>
      <c r="S24" s="1">
        <f>Table13[[#This Row],[average]]-SQRT(Table13[[#This Row],[stdev]])</f>
        <v>0.12696477210905949</v>
      </c>
    </row>
    <row r="25" spans="1:19" ht="30" customHeight="1">
      <c r="A25" t="str">
        <f t="shared" si="0"/>
        <v>german</v>
      </c>
      <c r="B25">
        <f>_xlfn.LET(_xlpm.c,_xlfn.SINGLE(Table13[condition]),IF(RIGHT(_xlpm.c,2)="1g",1,0))</f>
        <v>0</v>
      </c>
      <c r="C25" t="s">
        <v>28</v>
      </c>
      <c r="D25" s="1">
        <v>0.59970441373952499</v>
      </c>
      <c r="E25" s="1">
        <v>0.55943584490868303</v>
      </c>
      <c r="F25" s="1">
        <v>0.51829680679940004</v>
      </c>
      <c r="G25" s="1">
        <v>0.67596892743794101</v>
      </c>
      <c r="H25" s="1">
        <v>0.57178747902607296</v>
      </c>
      <c r="I25" s="1">
        <v>0.43334160794606702</v>
      </c>
      <c r="J25" s="1">
        <v>0.65656850960406099</v>
      </c>
      <c r="K25" s="1">
        <v>0.63932560850068698</v>
      </c>
      <c r="L25" s="1">
        <v>0.21000753619395399</v>
      </c>
      <c r="M25" s="1">
        <v>0.35249887493906501</v>
      </c>
      <c r="N25" s="1">
        <v>0.57921213757388001</v>
      </c>
      <c r="O25" s="1">
        <v>0.22333423280835701</v>
      </c>
      <c r="P25" s="1">
        <v>0.351693122570572</v>
      </c>
      <c r="Q25" s="1">
        <f t="shared" si="1"/>
        <v>0.49009039246525121</v>
      </c>
      <c r="R25" s="3">
        <f t="shared" si="2"/>
        <v>0.16012614278761877</v>
      </c>
      <c r="S25" s="1">
        <f>Table13[[#This Row],[average]]-SQRT(Table13[[#This Row],[stdev]])</f>
        <v>8.9932745046613471E-2</v>
      </c>
    </row>
    <row r="26" spans="1:19" ht="30" customHeight="1">
      <c r="A26" t="str">
        <f t="shared" si="0"/>
        <v>german</v>
      </c>
      <c r="B26">
        <f>_xlfn.LET(_xlpm.c,_xlfn.SINGLE(Table13[condition]),IF(RIGHT(_xlpm.c,2)="1g",1,0))</f>
        <v>0</v>
      </c>
      <c r="C26" t="s">
        <v>29</v>
      </c>
      <c r="D26" s="1">
        <v>0.75084651012992298</v>
      </c>
      <c r="E26" s="1">
        <v>0.53513544631274801</v>
      </c>
      <c r="F26" s="1">
        <v>0.60891176616922205</v>
      </c>
      <c r="G26" s="1">
        <v>0.54152915793172496</v>
      </c>
      <c r="H26" s="1">
        <v>0.57719174250826299</v>
      </c>
      <c r="I26" s="1">
        <v>0.53127112990087699</v>
      </c>
      <c r="J26" s="1">
        <v>0.51610139431381497</v>
      </c>
      <c r="K26" s="1">
        <v>0.297611016440612</v>
      </c>
      <c r="L26" s="1">
        <v>0.29832838918927401</v>
      </c>
      <c r="M26" s="1">
        <v>0.45764636017034899</v>
      </c>
      <c r="N26" s="1">
        <v>0.47720072478549802</v>
      </c>
      <c r="O26" s="1">
        <v>0.58717103312894803</v>
      </c>
      <c r="P26" s="1">
        <v>0.396812588597236</v>
      </c>
      <c r="Q26" s="1">
        <f t="shared" si="1"/>
        <v>0.50582748150603785</v>
      </c>
      <c r="R26" s="3">
        <f t="shared" si="2"/>
        <v>0.1247303599991173</v>
      </c>
      <c r="S26" s="1">
        <f>Table13[[#This Row],[average]]-SQRT(Table13[[#This Row],[stdev]])</f>
        <v>0.1526556253239274</v>
      </c>
    </row>
    <row r="27" spans="1:19" ht="30" customHeight="1">
      <c r="A27" t="str">
        <f t="shared" si="0"/>
        <v>german</v>
      </c>
      <c r="B27">
        <f>_xlfn.LET(_xlpm.c,_xlfn.SINGLE(Table13[condition]),IF(RIGHT(_xlpm.c,2)="1g",1,0))</f>
        <v>0</v>
      </c>
      <c r="C27" t="s">
        <v>30</v>
      </c>
      <c r="D27" s="1">
        <v>0.61435197776716599</v>
      </c>
      <c r="E27" s="1">
        <v>0.61698208330470194</v>
      </c>
      <c r="F27" s="1">
        <v>0.66249763415099205</v>
      </c>
      <c r="G27" s="1">
        <v>0.55730728123405104</v>
      </c>
      <c r="H27" s="1">
        <v>0.53958729362717395</v>
      </c>
      <c r="I27" s="1">
        <v>0.540473173835475</v>
      </c>
      <c r="J27" s="1">
        <v>0.43634929911918602</v>
      </c>
      <c r="K27" s="1">
        <v>0.47815059294519302</v>
      </c>
      <c r="L27" s="1">
        <v>0.50879627493142998</v>
      </c>
      <c r="M27" s="1">
        <v>0.59214047694354699</v>
      </c>
      <c r="N27" s="1">
        <v>0.22080114356834801</v>
      </c>
      <c r="O27" s="1">
        <v>0.30975067280558599</v>
      </c>
      <c r="P27" s="1">
        <v>0.49746961033695197</v>
      </c>
      <c r="Q27" s="1">
        <f t="shared" si="1"/>
        <v>0.50574288573613857</v>
      </c>
      <c r="R27" s="3">
        <f t="shared" si="2"/>
        <v>0.12465837694810723</v>
      </c>
      <c r="S27" s="1">
        <f>Table13[[#This Row],[average]]-SQRT(Table13[[#This Row],[stdev]])</f>
        <v>0.1526729536432071</v>
      </c>
    </row>
    <row r="28" spans="1:19" ht="30" customHeight="1">
      <c r="A28" t="str">
        <f t="shared" si="0"/>
        <v>german</v>
      </c>
      <c r="B28">
        <f>_xlfn.LET(_xlpm.c,_xlfn.SINGLE(Table13[condition]),IF(RIGHT(_xlpm.c,2)="1g",1,0))</f>
        <v>0</v>
      </c>
      <c r="C28" t="s">
        <v>43</v>
      </c>
      <c r="D28" s="1">
        <v>0.81655107608211097</v>
      </c>
      <c r="E28" s="1">
        <v>0.73179516452892301</v>
      </c>
      <c r="F28" s="1">
        <v>0.49062575388934199</v>
      </c>
      <c r="G28" s="1">
        <v>0.50460880863436097</v>
      </c>
      <c r="H28" s="1">
        <v>0.550442232146374</v>
      </c>
      <c r="I28" s="1">
        <v>0.34353349037866099</v>
      </c>
      <c r="J28" s="1">
        <v>0.56262423268324802</v>
      </c>
      <c r="K28" s="1">
        <v>0.39779742454338102</v>
      </c>
      <c r="L28" s="1">
        <v>0.56783610830023801</v>
      </c>
      <c r="M28" s="1">
        <v>0.25619009044129099</v>
      </c>
      <c r="N28" s="1">
        <v>0.46227218781582302</v>
      </c>
      <c r="O28" s="1">
        <v>0.37273731171505098</v>
      </c>
      <c r="P28" s="1">
        <v>0.26062267705833803</v>
      </c>
      <c r="Q28" s="1">
        <f t="shared" si="1"/>
        <v>0.48597204293978008</v>
      </c>
      <c r="R28" s="3">
        <f t="shared" si="2"/>
        <v>0.16629380462480811</v>
      </c>
      <c r="S28" s="1">
        <f>Table13[[#This Row],[average]]-SQRT(Table13[[#This Row],[stdev]])</f>
        <v>7.8180669042773654E-2</v>
      </c>
    </row>
    <row r="29" spans="1:19" ht="30" customHeight="1">
      <c r="A29" t="str">
        <f t="shared" si="0"/>
        <v>german</v>
      </c>
      <c r="B29">
        <f>_xlfn.LET(_xlpm.c,_xlfn.SINGLE(Table13[condition]),IF(RIGHT(_xlpm.c,2)="1g",1,0))</f>
        <v>0</v>
      </c>
      <c r="C29" t="s">
        <v>44</v>
      </c>
      <c r="D29" s="1">
        <v>0.66236140880956895</v>
      </c>
      <c r="E29" s="1">
        <v>0.59923415221357301</v>
      </c>
      <c r="F29" s="1">
        <v>0.56139553838143097</v>
      </c>
      <c r="G29" s="1">
        <v>0.56990364450026598</v>
      </c>
      <c r="H29" s="1">
        <v>0.53164221667073797</v>
      </c>
      <c r="I29" s="1">
        <v>0.57003335662468202</v>
      </c>
      <c r="J29" s="1">
        <v>0.39534832727779501</v>
      </c>
      <c r="K29" s="1">
        <v>0.49640921833632201</v>
      </c>
      <c r="L29" s="1">
        <v>0.22348672569255701</v>
      </c>
      <c r="M29" s="1">
        <v>0.24765380366321299</v>
      </c>
      <c r="N29" s="1">
        <v>0.44918533181454501</v>
      </c>
      <c r="O29" s="1">
        <v>0.413045644818473</v>
      </c>
      <c r="P29" s="1">
        <v>0.38782829447651401</v>
      </c>
      <c r="Q29" s="1">
        <f t="shared" si="1"/>
        <v>0.46980982025228291</v>
      </c>
      <c r="R29" s="3">
        <f t="shared" si="2"/>
        <v>0.13315104459045918</v>
      </c>
      <c r="S29" s="1">
        <f>Table13[[#This Row],[average]]-SQRT(Table13[[#This Row],[stdev]])</f>
        <v>0.10491114309592603</v>
      </c>
    </row>
    <row r="30" spans="1:19" ht="30" customHeight="1">
      <c r="A30" t="str">
        <f t="shared" si="0"/>
        <v>russian</v>
      </c>
      <c r="B30">
        <f>_xlfn.LET(_xlpm.c,_xlfn.SINGLE(Table13[condition]),IF(RIGHT(_xlpm.c,2)="1g",1,0))</f>
        <v>1</v>
      </c>
      <c r="C30" t="s">
        <v>31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f t="shared" si="1"/>
        <v>1</v>
      </c>
      <c r="R30" s="3">
        <f t="shared" si="2"/>
        <v>0</v>
      </c>
      <c r="S30" s="1">
        <f>Table13[[#This Row],[average]]-SQRT(Table13[[#This Row],[stdev]])</f>
        <v>1</v>
      </c>
    </row>
    <row r="31" spans="1:19" ht="30" customHeight="1">
      <c r="A31" t="str">
        <f t="shared" si="0"/>
        <v>russian</v>
      </c>
      <c r="B31">
        <f>_xlfn.LET(_xlpm.c,_xlfn.SINGLE(Table13[condition]),IF(RIGHT(_xlpm.c,2)="1g",1,0))</f>
        <v>0</v>
      </c>
      <c r="C31" t="s">
        <v>32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f t="shared" si="1"/>
        <v>1</v>
      </c>
      <c r="R31" s="3">
        <f t="shared" si="2"/>
        <v>0</v>
      </c>
      <c r="S31" s="1">
        <f>Table13[[#This Row],[average]]-SQRT(Table13[[#This Row],[stdev]])</f>
        <v>1</v>
      </c>
    </row>
    <row r="32" spans="1:19" ht="30" customHeight="1">
      <c r="A32" t="str">
        <f t="shared" si="0"/>
        <v>russian</v>
      </c>
      <c r="B32">
        <f>_xlfn.LET(_xlpm.c,_xlfn.SINGLE(Table13[condition]),IF(RIGHT(_xlpm.c,2)="1g",1,0))</f>
        <v>0</v>
      </c>
      <c r="C32" t="s">
        <v>33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0.93517015324375397</v>
      </c>
      <c r="M32" s="1">
        <v>1</v>
      </c>
      <c r="N32" s="1">
        <v>1</v>
      </c>
      <c r="O32" s="1">
        <v>1</v>
      </c>
      <c r="P32" s="1">
        <v>1</v>
      </c>
      <c r="Q32" s="1">
        <f t="shared" si="1"/>
        <v>0.99501308871105798</v>
      </c>
      <c r="R32" s="3">
        <f t="shared" si="2"/>
        <v>1.7980564358470605E-2</v>
      </c>
      <c r="S32" s="1">
        <f>Table13[[#This Row],[average]]-SQRT(Table13[[#This Row],[stdev]])</f>
        <v>0.86092146198339614</v>
      </c>
    </row>
    <row r="33" spans="1:19" ht="30" customHeight="1">
      <c r="A33" t="str">
        <f t="shared" si="0"/>
        <v>russian</v>
      </c>
      <c r="B33">
        <f>_xlfn.LET(_xlpm.c,_xlfn.SINGLE(Table13[condition]),IF(RIGHT(_xlpm.c,2)="1g",1,0))</f>
        <v>0</v>
      </c>
      <c r="C33" t="s">
        <v>34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0.98715481656402704</v>
      </c>
      <c r="L33" s="1">
        <v>0.96859602621111196</v>
      </c>
      <c r="M33" s="1">
        <v>0.83803650669021901</v>
      </c>
      <c r="N33" s="1">
        <v>1</v>
      </c>
      <c r="O33" s="1">
        <v>0.97305693448466801</v>
      </c>
      <c r="P33" s="1">
        <v>0.88119019278623101</v>
      </c>
      <c r="Q33" s="1">
        <f t="shared" si="1"/>
        <v>0.97292572897971208</v>
      </c>
      <c r="R33" s="3">
        <f t="shared" si="2"/>
        <v>5.2198236380840195E-2</v>
      </c>
      <c r="S33" s="1">
        <f>Table13[[#This Row],[average]]-SQRT(Table13[[#This Row],[stdev]])</f>
        <v>0.74445639541207509</v>
      </c>
    </row>
    <row r="34" spans="1:19" ht="30" customHeight="1">
      <c r="A34" t="str">
        <f t="shared" si="0"/>
        <v>russian</v>
      </c>
      <c r="B34">
        <f>_xlfn.LET(_xlpm.c,_xlfn.SINGLE(Table13[condition]),IF(RIGHT(_xlpm.c,2)="1g",1,0))</f>
        <v>0</v>
      </c>
      <c r="C34" t="s">
        <v>35</v>
      </c>
      <c r="D34" s="1">
        <v>1</v>
      </c>
      <c r="E34" s="1">
        <v>1</v>
      </c>
      <c r="F34" s="1">
        <v>0.99393046577834099</v>
      </c>
      <c r="G34" s="1">
        <v>0.92352859833798395</v>
      </c>
      <c r="H34" s="1">
        <v>0.98073809877498197</v>
      </c>
      <c r="I34" s="1">
        <v>0.90161398730822195</v>
      </c>
      <c r="J34" s="1">
        <v>0.86629460948772496</v>
      </c>
      <c r="K34" s="1">
        <v>0.99694181975586305</v>
      </c>
      <c r="L34" s="1">
        <v>0.97045999955936901</v>
      </c>
      <c r="M34" s="1">
        <v>0.99186848520161297</v>
      </c>
      <c r="N34" s="1">
        <v>0.73751540873754495</v>
      </c>
      <c r="O34" s="1">
        <v>0.99574406425430495</v>
      </c>
      <c r="P34" s="1">
        <v>0.83411375948060396</v>
      </c>
      <c r="Q34" s="1">
        <f t="shared" si="1"/>
        <v>0.93790379205204233</v>
      </c>
      <c r="R34" s="3">
        <f t="shared" si="2"/>
        <v>8.2192898527714262E-2</v>
      </c>
      <c r="S34" s="1">
        <f>Table13[[#This Row],[average]]-SQRT(Table13[[#This Row],[stdev]])</f>
        <v>0.65121075319739163</v>
      </c>
    </row>
    <row r="35" spans="1:19" ht="30" customHeight="1">
      <c r="A35" t="str">
        <f t="shared" si="0"/>
        <v>russian</v>
      </c>
      <c r="B35">
        <f>_xlfn.LET(_xlpm.c,_xlfn.SINGLE(Table13[condition]),IF(RIGHT(_xlpm.c,2)="1g",1,0))</f>
        <v>0</v>
      </c>
      <c r="C35" t="s">
        <v>45</v>
      </c>
      <c r="D35" s="1">
        <v>0.94562001698312204</v>
      </c>
      <c r="E35" s="1">
        <v>1</v>
      </c>
      <c r="F35" s="1">
        <v>1</v>
      </c>
      <c r="G35" s="1">
        <v>1</v>
      </c>
      <c r="H35" s="1">
        <v>1</v>
      </c>
      <c r="I35" s="1">
        <v>0.99561361315584596</v>
      </c>
      <c r="J35" s="1">
        <v>1</v>
      </c>
      <c r="K35" s="1">
        <v>0.827970413848088</v>
      </c>
      <c r="L35" s="1">
        <v>1</v>
      </c>
      <c r="M35" s="1">
        <v>1</v>
      </c>
      <c r="N35" s="1">
        <v>1</v>
      </c>
      <c r="O35" s="1">
        <v>0.83905049565259904</v>
      </c>
      <c r="P35" s="1">
        <v>1</v>
      </c>
      <c r="Q35" s="1">
        <f t="shared" si="1"/>
        <v>0.96986573381843499</v>
      </c>
      <c r="R35" s="3">
        <f t="shared" si="2"/>
        <v>6.2363439092826586E-2</v>
      </c>
      <c r="S35" s="1">
        <f>Table13[[#This Row],[average]]-SQRT(Table13[[#This Row],[stdev]])</f>
        <v>0.72013900498704497</v>
      </c>
    </row>
    <row r="36" spans="1:19" ht="30" customHeight="1">
      <c r="A36" t="str">
        <f t="shared" si="0"/>
        <v>russian</v>
      </c>
      <c r="B36">
        <f>_xlfn.LET(_xlpm.c,_xlfn.SINGLE(Table13[condition]),IF(RIGHT(_xlpm.c,2)="1g",1,0))</f>
        <v>0</v>
      </c>
      <c r="C36" t="s">
        <v>46</v>
      </c>
      <c r="D36" s="1">
        <v>0.99198467612891295</v>
      </c>
      <c r="E36" s="1">
        <v>0.99670749578332596</v>
      </c>
      <c r="F36" s="1">
        <v>1</v>
      </c>
      <c r="G36" s="1">
        <v>0.85200085414081395</v>
      </c>
      <c r="H36" s="1">
        <v>0.91263637133707598</v>
      </c>
      <c r="I36" s="1">
        <v>0.98887284321325497</v>
      </c>
      <c r="J36" s="1">
        <v>0.65432963616967299</v>
      </c>
      <c r="K36" s="1">
        <v>0.815952047261567</v>
      </c>
      <c r="L36" s="1">
        <v>0.744261422850515</v>
      </c>
      <c r="M36" s="1">
        <v>0.980733549429882</v>
      </c>
      <c r="N36" s="1">
        <v>0.64072320190348397</v>
      </c>
      <c r="O36" s="1">
        <v>0.86776457725563405</v>
      </c>
      <c r="P36" s="1">
        <v>0.73977643429644302</v>
      </c>
      <c r="Q36" s="1">
        <f t="shared" si="1"/>
        <v>0.86044177767466024</v>
      </c>
      <c r="R36" s="3">
        <f t="shared" si="2"/>
        <v>0.13227432923327967</v>
      </c>
      <c r="S36" s="1">
        <f>Table13[[#This Row],[average]]-SQRT(Table13[[#This Row],[stdev]])</f>
        <v>0.4967463979497046</v>
      </c>
    </row>
    <row r="38" spans="1:19" ht="30" customHeight="1">
      <c r="C38" t="s">
        <v>64</v>
      </c>
    </row>
    <row r="39" spans="1:19" ht="30" customHeight="1">
      <c r="C39" t="s">
        <v>53</v>
      </c>
      <c r="D39" s="2">
        <f>_xlfn.LET(_xlpm.d,D$2:D$36,AVERAGE(_xlpm.d))</f>
        <v>0.78700097776954259</v>
      </c>
      <c r="E39" s="2">
        <f t="shared" ref="E39:Q39" si="3">_xlfn.LET(_xlpm.d,E$2:E$36,AVERAGE(_xlpm.d))</f>
        <v>0.74671227200493162</v>
      </c>
      <c r="F39" s="2">
        <f t="shared" si="3"/>
        <v>0.74211364026177407</v>
      </c>
      <c r="G39" s="2">
        <f t="shared" si="3"/>
        <v>0.70975361494585287</v>
      </c>
      <c r="H39" s="2">
        <f t="shared" si="3"/>
        <v>0.69989132349016336</v>
      </c>
      <c r="I39" s="2">
        <f t="shared" si="3"/>
        <v>0.66741205490012301</v>
      </c>
      <c r="J39" s="2">
        <f t="shared" si="3"/>
        <v>0.64618606898036413</v>
      </c>
      <c r="K39" s="2">
        <f t="shared" si="3"/>
        <v>0.62504151029535793</v>
      </c>
      <c r="L39" s="2">
        <f t="shared" si="3"/>
        <v>0.64763349464048836</v>
      </c>
      <c r="M39" s="2">
        <f t="shared" si="3"/>
        <v>0.6174071235372538</v>
      </c>
      <c r="N39" s="2">
        <f t="shared" si="3"/>
        <v>0.60719292225677035</v>
      </c>
      <c r="O39" s="2">
        <f t="shared" si="3"/>
        <v>0.62287611303004653</v>
      </c>
      <c r="P39" s="2">
        <f t="shared" si="3"/>
        <v>0.62775494684074085</v>
      </c>
      <c r="Q39" s="2">
        <f t="shared" si="3"/>
        <v>0.67284431253487775</v>
      </c>
    </row>
    <row r="40" spans="1:19" ht="30" customHeight="1">
      <c r="C40" t="s">
        <v>54</v>
      </c>
      <c r="D40" s="2" cm="1">
        <f t="array" ref="D40">_xlfn.LET(_xlpm.d,D$2:D$36,_xlpm.f,$A$2:$A$36,_xlpm.k,$C40,AVERAGE(_xlfn._xlws.FILTER(_xlpm.d,_xlpm.f=_xlpm.k)))</f>
        <v>0.9981450527684238</v>
      </c>
      <c r="E40" s="2" cm="1">
        <f t="array" ref="E40">_xlfn.LET(_xlpm.d,E$2:E$36,_xlpm.f,$A$2:$A$36,_xlpm.k,$C40,AVERAGE(_xlfn._xlws.FILTER(_xlpm.d,_xlpm.f=_xlpm.k)))</f>
        <v>0.98896955081378735</v>
      </c>
      <c r="F40" s="2" cm="1">
        <f t="array" ref="F40">_xlfn.LET(_xlpm.d,F$2:F$36,_xlpm.f,$A$2:$A$36,_xlpm.k,$C40,AVERAGE(_xlfn._xlws.FILTER(_xlpm.d,_xlpm.f=_xlpm.k)))</f>
        <v>0.97021949859280454</v>
      </c>
      <c r="G40" s="2" cm="1">
        <f t="array" ref="G40">_xlfn.LET(_xlpm.d,G$2:G$36,_xlpm.f,$A$2:$A$36,_xlpm.k,$C40,AVERAGE(_xlfn._xlws.FILTER(_xlpm.d,_xlpm.f=_xlpm.k)))</f>
        <v>0.97119094119057381</v>
      </c>
      <c r="H40" s="2" cm="1">
        <f t="array" ref="H40">_xlfn.LET(_xlpm.d,H$2:H$36,_xlpm.f,$A$2:$A$36,_xlpm.k,$C40,AVERAGE(_xlfn._xlws.FILTER(_xlpm.d,_xlpm.f=_xlpm.k)))</f>
        <v>0.97770767832782479</v>
      </c>
      <c r="I40" s="2" cm="1">
        <f t="array" ref="I40">_xlfn.LET(_xlpm.d,I$2:I$36,_xlpm.f,$A$2:$A$36,_xlpm.k,$C40,AVERAGE(_xlfn._xlws.FILTER(_xlpm.d,_xlpm.f=_xlpm.k)))</f>
        <v>0.94488567852720251</v>
      </c>
      <c r="J40" s="2" cm="1">
        <f t="array" ref="J40">_xlfn.LET(_xlpm.d,J$2:J$36,_xlpm.f,$A$2:$A$36,_xlpm.k,$C40,AVERAGE(_xlfn._xlws.FILTER(_xlpm.d,_xlpm.f=_xlpm.k)))</f>
        <v>0.8792185615972713</v>
      </c>
      <c r="K40" s="2" cm="1">
        <f t="array" ref="K40">_xlfn.LET(_xlpm.d,K$2:K$36,_xlpm.f,$A$2:$A$36,_xlpm.k,$C40,AVERAGE(_xlfn._xlws.FILTER(_xlpm.d,_xlpm.f=_xlpm.k)))</f>
        <v>0.88860181408293748</v>
      </c>
      <c r="L40" s="2" cm="1">
        <f t="array" ref="L40">_xlfn.LET(_xlpm.d,L$2:L$36,_xlpm.f,$A$2:$A$36,_xlpm.k,$C40,AVERAGE(_xlfn._xlws.FILTER(_xlpm.d,_xlpm.f=_xlpm.k)))</f>
        <v>0.90189534618170186</v>
      </c>
      <c r="M40" s="2" cm="1">
        <f t="array" ref="M40">_xlfn.LET(_xlpm.d,M$2:M$36,_xlpm.f,$A$2:$A$36,_xlpm.k,$C40,AVERAGE(_xlfn._xlws.FILTER(_xlpm.d,_xlpm.f=_xlpm.k)))</f>
        <v>0.9030207570563995</v>
      </c>
      <c r="N40" s="2" cm="1">
        <f t="array" ref="N40">_xlfn.LET(_xlpm.d,N$2:N$36,_xlpm.f,$A$2:$A$36,_xlpm.k,$C40,AVERAGE(_xlfn._xlws.FILTER(_xlpm.d,_xlpm.f=_xlpm.k)))</f>
        <v>0.94056203775966796</v>
      </c>
      <c r="O40" s="2" cm="1">
        <f t="array" ref="O40">_xlfn.LET(_xlpm.d,O$2:O$36,_xlpm.f,$A$2:$A$36,_xlpm.k,$C40,AVERAGE(_xlfn._xlws.FILTER(_xlpm.d,_xlpm.f=_xlpm.k)))</f>
        <v>0.93835866321376837</v>
      </c>
      <c r="P40" s="2" cm="1">
        <f t="array" ref="P40">_xlfn.LET(_xlpm.d,P$2:P$36,_xlpm.f,$A$2:$A$36,_xlpm.k,$C40,AVERAGE(_xlfn._xlws.FILTER(_xlpm.d,_xlpm.f=_xlpm.k)))</f>
        <v>0.9495570493475487</v>
      </c>
      <c r="Q40" s="2" cm="1">
        <f t="array" ref="Q40">_xlfn.LET(_xlpm.d,Q$2:Q$36,_xlpm.f,$A$2:$A$36,_xlpm.k,$C40,AVERAGE(_xlfn._xlws.FILTER(_xlpm.d,_xlpm.f=_xlpm.k)))</f>
        <v>0.94248712534307011</v>
      </c>
    </row>
    <row r="41" spans="1:19" ht="30" customHeight="1">
      <c r="C41" t="s">
        <v>55</v>
      </c>
      <c r="D41" s="2" cm="1">
        <f t="array" ref="D41">_xlfn.LET(_xlpm.d,D$2:D$36,_xlpm.f,$A$2:$A$36,_xlpm.k,$C41,AVERAGE(_xlfn._xlws.FILTER(_xlpm.d,_xlpm.f=_xlpm.k)))</f>
        <v>0.72000239538042587</v>
      </c>
      <c r="E41" s="2" cm="1">
        <f t="array" ref="E41">_xlfn.LET(_xlpm.d,E$2:E$36,_xlpm.f,$A$2:$A$36,_xlpm.k,$C41,AVERAGE(_xlfn._xlws.FILTER(_xlpm.d,_xlpm.f=_xlpm.k)))</f>
        <v>0.61436504212864906</v>
      </c>
      <c r="F41" s="2" cm="1">
        <f t="array" ref="F41">_xlfn.LET(_xlpm.d,F$2:F$36,_xlpm.f,$A$2:$A$36,_xlpm.k,$C41,AVERAGE(_xlfn._xlws.FILTER(_xlpm.d,_xlpm.f=_xlpm.k)))</f>
        <v>0.57235996018508684</v>
      </c>
      <c r="G41" s="2" cm="1">
        <f t="array" ref="G41">_xlfn.LET(_xlpm.d,G$2:G$36,_xlpm.f,$A$2:$A$36,_xlpm.k,$C41,AVERAGE(_xlfn._xlws.FILTER(_xlpm.d,_xlpm.f=_xlpm.k)))</f>
        <v>0.61431014988331756</v>
      </c>
      <c r="H41" s="2" cm="1">
        <f t="array" ref="H41">_xlfn.LET(_xlpm.d,H$2:H$36,_xlpm.f,$A$2:$A$36,_xlpm.k,$C41,AVERAGE(_xlfn._xlws.FILTER(_xlpm.d,_xlpm.f=_xlpm.k)))</f>
        <v>0.54924821692226078</v>
      </c>
      <c r="I41" s="2" cm="1">
        <f t="array" ref="I41">_xlfn.LET(_xlpm.d,I$2:I$36,_xlpm.f,$A$2:$A$36,_xlpm.k,$C41,AVERAGE(_xlfn._xlws.FILTER(_xlpm.d,_xlpm.f=_xlpm.k)))</f>
        <v>0.51751290756955703</v>
      </c>
      <c r="J41" s="2" cm="1">
        <f t="array" ref="J41">_xlfn.LET(_xlpm.d,J$2:J$36,_xlpm.f,$A$2:$A$36,_xlpm.k,$C41,AVERAGE(_xlfn._xlws.FILTER(_xlpm.d,_xlpm.f=_xlpm.k)))</f>
        <v>0.491141995328161</v>
      </c>
      <c r="K41" s="2" cm="1">
        <f t="array" ref="K41">_xlfn.LET(_xlpm.d,K$2:K$36,_xlpm.f,$A$2:$A$36,_xlpm.k,$C41,AVERAGE(_xlfn._xlws.FILTER(_xlpm.d,_xlpm.f=_xlpm.k)))</f>
        <v>0.48375336189132601</v>
      </c>
      <c r="L41" s="2" cm="1">
        <f t="array" ref="L41">_xlfn.LET(_xlpm.d,L$2:L$36,_xlpm.f,$A$2:$A$36,_xlpm.k,$C41,AVERAGE(_xlfn._xlws.FILTER(_xlpm.d,_xlpm.f=_xlpm.k)))</f>
        <v>0.43870411039116652</v>
      </c>
      <c r="M41" s="2" cm="1">
        <f t="array" ref="M41">_xlfn.LET(_xlpm.d,M$2:M$36,_xlpm.f,$A$2:$A$36,_xlpm.k,$C41,AVERAGE(_xlfn._xlws.FILTER(_xlpm.d,_xlpm.f=_xlpm.k)))</f>
        <v>0.43077904601534228</v>
      </c>
      <c r="N41" s="2" cm="1">
        <f t="array" ref="N41">_xlfn.LET(_xlpm.d,N$2:N$36,_xlpm.f,$A$2:$A$36,_xlpm.k,$C41,AVERAGE(_xlfn._xlws.FILTER(_xlpm.d,_xlpm.f=_xlpm.k)))</f>
        <v>0.4583315123376886</v>
      </c>
      <c r="O41" s="2" cm="1">
        <f t="array" ref="O41">_xlfn.LET(_xlpm.d,O$2:O$36,_xlpm.f,$A$2:$A$36,_xlpm.k,$C41,AVERAGE(_xlfn._xlws.FILTER(_xlpm.d,_xlpm.f=_xlpm.k)))</f>
        <v>0.44089414480556116</v>
      </c>
      <c r="P41" s="2" cm="1">
        <f t="array" ref="P41">_xlfn.LET(_xlpm.d,P$2:P$36,_xlpm.f,$A$2:$A$36,_xlpm.k,$C41,AVERAGE(_xlfn._xlws.FILTER(_xlpm.d,_xlpm.f=_xlpm.k)))</f>
        <v>0.42148249297794299</v>
      </c>
      <c r="Q41" s="2" cm="1">
        <f t="array" ref="Q41">_xlfn.LET(_xlpm.d,Q$2:Q$36,_xlpm.f,$A$2:$A$36,_xlpm.k,$C41,AVERAGE(_xlfn._xlws.FILTER(_xlpm.d,_xlpm.f=_xlpm.k)))</f>
        <v>0.5194527181397296</v>
      </c>
    </row>
    <row r="42" spans="1:19" ht="30" customHeight="1">
      <c r="C42" t="s">
        <v>56</v>
      </c>
      <c r="D42" s="2" cm="1">
        <f t="array" ref="D42">_xlfn.LET(_xlpm.d,D$2:D$36,_xlpm.f,$A$2:$A$36,_xlpm.k,$C42,AVERAGE(_xlfn._xlws.FILTER(_xlpm.d,_xlpm.f=_xlpm.k)))</f>
        <v>0.58084964992494126</v>
      </c>
      <c r="E42" s="2" cm="1">
        <f t="array" ref="E42">_xlfn.LET(_xlpm.d,E$2:E$36,_xlpm.f,$A$2:$A$36,_xlpm.k,$C42,AVERAGE(_xlfn._xlws.FILTER(_xlpm.d,_xlpm.f=_xlpm.k)))</f>
        <v>0.55001498536862781</v>
      </c>
      <c r="F42" s="2" cm="1">
        <f t="array" ref="F42">_xlfn.LET(_xlpm.d,F$2:F$36,_xlpm.f,$A$2:$A$36,_xlpm.k,$C42,AVERAGE(_xlfn._xlws.FILTER(_xlpm.d,_xlpm.f=_xlpm.k)))</f>
        <v>0.57785409401187804</v>
      </c>
      <c r="G42" s="2" cm="1">
        <f t="array" ref="G42">_xlfn.LET(_xlpm.d,G$2:G$36,_xlpm.f,$A$2:$A$36,_xlpm.k,$C42,AVERAGE(_xlfn._xlws.FILTER(_xlpm.d,_xlpm.f=_xlpm.k)))</f>
        <v>0.51366864982614224</v>
      </c>
      <c r="H42" s="2" cm="1">
        <f t="array" ref="H42">_xlfn.LET(_xlpm.d,H$2:H$36,_xlpm.f,$A$2:$A$36,_xlpm.k,$C42,AVERAGE(_xlfn._xlws.FILTER(_xlpm.d,_xlpm.f=_xlpm.k)))</f>
        <v>0.46499228004128218</v>
      </c>
      <c r="I42" s="2" cm="1">
        <f t="array" ref="I42">_xlfn.LET(_xlpm.d,I$2:I$36,_xlpm.f,$A$2:$A$36,_xlpm.k,$C42,AVERAGE(_xlfn._xlws.FILTER(_xlpm.d,_xlpm.f=_xlpm.k)))</f>
        <v>0.38003039874700867</v>
      </c>
      <c r="J42" s="2" cm="1">
        <f t="array" ref="J42">_xlfn.LET(_xlpm.d,J$2:J$36,_xlpm.f,$A$2:$A$36,_xlpm.k,$C42,AVERAGE(_xlfn._xlws.FILTER(_xlpm.d,_xlpm.f=_xlpm.k)))</f>
        <v>0.47180035086277983</v>
      </c>
      <c r="K42" s="2" cm="1">
        <f t="array" ref="K42">_xlfn.LET(_xlpm.d,K$2:K$36,_xlpm.f,$A$2:$A$36,_xlpm.k,$C42,AVERAGE(_xlfn._xlws.FILTER(_xlpm.d,_xlpm.f=_xlpm.k)))</f>
        <v>0.36744938843646197</v>
      </c>
      <c r="L42" s="2" cm="1">
        <f t="array" ref="L42">_xlfn.LET(_xlpm.d,L$2:L$36,_xlpm.f,$A$2:$A$36,_xlpm.k,$C42,AVERAGE(_xlfn._xlws.FILTER(_xlpm.d,_xlpm.f=_xlpm.k)))</f>
        <v>0.44767755225575101</v>
      </c>
      <c r="M42" s="2" cm="1">
        <f t="array" ref="M42">_xlfn.LET(_xlpm.d,M$2:M$36,_xlpm.f,$A$2:$A$36,_xlpm.k,$C42,AVERAGE(_xlfn._xlws.FILTER(_xlpm.d,_xlpm.f=_xlpm.k)))</f>
        <v>0.39708763796887042</v>
      </c>
      <c r="N42" s="2" cm="1">
        <f t="array" ref="N42">_xlfn.LET(_xlpm.d,N$2:N$36,_xlpm.f,$A$2:$A$36,_xlpm.k,$C42,AVERAGE(_xlfn._xlws.FILTER(_xlpm.d,_xlpm.f=_xlpm.k)))</f>
        <v>0.36533910465456426</v>
      </c>
      <c r="O42" s="2" cm="1">
        <f t="array" ref="O42">_xlfn.LET(_xlpm.d,O$2:O$36,_xlpm.f,$A$2:$A$36,_xlpm.k,$C42,AVERAGE(_xlfn._xlws.FILTER(_xlpm.d,_xlpm.f=_xlpm.k)))</f>
        <v>0.39493984877568383</v>
      </c>
      <c r="P42" s="2" cm="1">
        <f t="array" ref="P42">_xlfn.LET(_xlpm.d,P$2:P$36,_xlpm.f,$A$2:$A$36,_xlpm.k,$C42,AVERAGE(_xlfn._xlws.FILTER(_xlpm.d,_xlpm.f=_xlpm.k)))</f>
        <v>0.43422891587955215</v>
      </c>
      <c r="Q42" s="2" cm="1">
        <f t="array" ref="Q42">_xlfn.LET(_xlpm.d,Q$2:Q$36,_xlpm.f,$A$2:$A$36,_xlpm.k,$C42,AVERAGE(_xlfn._xlws.FILTER(_xlpm.d,_xlpm.f=_xlpm.k)))</f>
        <v>0.45737945051950341</v>
      </c>
    </row>
    <row r="43" spans="1:19" ht="30" customHeight="1">
      <c r="C43" t="s">
        <v>57</v>
      </c>
      <c r="D43" s="2" cm="1">
        <f t="array" ref="D43">_xlfn.LET(_xlpm.d,D$2:D$36,_xlpm.f,$A$2:$A$36,_xlpm.k,$C43,AVERAGE(_xlfn._xlws.FILTER(_xlpm.d,_xlpm.f=_xlpm.k)))</f>
        <v>0.64492140604363257</v>
      </c>
      <c r="E43" s="2" cm="1">
        <f t="array" ref="E43">_xlfn.LET(_xlpm.d,E$2:E$36,_xlpm.f,$A$2:$A$36,_xlpm.k,$C43,AVERAGE(_xlfn._xlws.FILTER(_xlpm.d,_xlpm.f=_xlpm.k)))</f>
        <v>0.58068213945883396</v>
      </c>
      <c r="F43" s="2" cm="1">
        <f t="array" ref="F43">_xlfn.LET(_xlpm.d,F$2:F$36,_xlpm.f,$A$2:$A$36,_xlpm.k,$C43,AVERAGE(_xlfn._xlws.FILTER(_xlpm.d,_xlpm.f=_xlpm.k)))</f>
        <v>0.59100172483648106</v>
      </c>
      <c r="G43" s="2" cm="1">
        <f t="array" ref="G43">_xlfn.LET(_xlpm.d,G$2:G$36,_xlpm.f,$A$2:$A$36,_xlpm.k,$C43,AVERAGE(_xlfn._xlws.FILTER(_xlpm.d,_xlpm.f=_xlpm.k)))</f>
        <v>0.48166555490368784</v>
      </c>
      <c r="H43" s="2" cm="1">
        <f t="array" ref="H43">_xlfn.LET(_xlpm.d,H$2:H$36,_xlpm.f,$A$2:$A$36,_xlpm.k,$C43,AVERAGE(_xlfn._xlws.FILTER(_xlpm.d,_xlpm.f=_xlpm.k)))</f>
        <v>0.5227406607148698</v>
      </c>
      <c r="I43" s="2" cm="1">
        <f t="array" ref="I43">_xlfn.LET(_xlpm.d,I$2:I$36,_xlpm.f,$A$2:$A$36,_xlpm.k,$C43,AVERAGE(_xlfn._xlws.FILTER(_xlpm.d,_xlpm.f=_xlpm.k)))</f>
        <v>0.51090265484580077</v>
      </c>
      <c r="J43" s="2" cm="1">
        <f t="array" ref="J43">_xlfn.LET(_xlpm.d,J$2:J$36,_xlpm.f,$A$2:$A$36,_xlpm.k,$C43,AVERAGE(_xlfn._xlws.FILTER(_xlpm.d,_xlpm.f=_xlpm.k)))</f>
        <v>0.45725168773398106</v>
      </c>
      <c r="K43" s="2" cm="1">
        <f t="array" ref="K43">_xlfn.LET(_xlpm.d,K$2:K$36,_xlpm.f,$A$2:$A$36,_xlpm.k,$C43,AVERAGE(_xlfn._xlws.FILTER(_xlpm.d,_xlpm.f=_xlpm.k)))</f>
        <v>0.43854311600469986</v>
      </c>
      <c r="L43" s="2" cm="1">
        <f t="array" ref="L43">_xlfn.LET(_xlpm.d,L$2:L$36,_xlpm.f,$A$2:$A$36,_xlpm.k,$C43,AVERAGE(_xlfn._xlws.FILTER(_xlpm.d,_xlpm.f=_xlpm.k)))</f>
        <v>0.50439223553600054</v>
      </c>
      <c r="M43" s="2" cm="1">
        <f t="array" ref="M43">_xlfn.LET(_xlpm.d,M$2:M$36,_xlpm.f,$A$2:$A$36,_xlpm.k,$C43,AVERAGE(_xlfn._xlws.FILTER(_xlpm.d,_xlpm.f=_xlpm.k)))</f>
        <v>0.38319981359969768</v>
      </c>
      <c r="N43" s="2" cm="1">
        <f t="array" ref="N43">_xlfn.LET(_xlpm.d,N$2:N$36,_xlpm.f,$A$2:$A$36,_xlpm.k,$C43,AVERAGE(_xlfn._xlws.FILTER(_xlpm.d,_xlpm.f=_xlpm.k)))</f>
        <v>0.36055501215464159</v>
      </c>
      <c r="O43" s="2" cm="1">
        <f t="array" ref="O43">_xlfn.LET(_xlpm.d,O$2:O$36,_xlpm.f,$A$2:$A$36,_xlpm.k,$C43,AVERAGE(_xlfn._xlws.FILTER(_xlpm.d,_xlpm.f=_xlpm.k)))</f>
        <v>0.38652846954847597</v>
      </c>
      <c r="P43" s="2" cm="1">
        <f t="array" ref="P43">_xlfn.LET(_xlpm.d,P$2:P$36,_xlpm.f,$A$2:$A$36,_xlpm.k,$C43,AVERAGE(_xlfn._xlws.FILTER(_xlpm.d,_xlpm.f=_xlpm.k)))</f>
        <v>0.41135193506104939</v>
      </c>
      <c r="Q43" s="2" cm="1">
        <f t="array" ref="Q43">_xlfn.LET(_xlpm.d,Q$2:Q$36,_xlpm.f,$A$2:$A$36,_xlpm.k,$C43,AVERAGE(_xlfn._xlws.FILTER(_xlpm.d,_xlpm.f=_xlpm.k)))</f>
        <v>0.482595108495527</v>
      </c>
    </row>
    <row r="44" spans="1:19" ht="30" customHeight="1">
      <c r="C44" t="s">
        <v>58</v>
      </c>
      <c r="D44" s="2" cm="1">
        <f t="array" ref="D44">_xlfn.LET(_xlpm.d,D$2:D$36,_xlpm.f,$A$2:$A$36,_xlpm.k,$C44,AVERAGE(_xlfn._xlws.FILTER(_xlpm.d,_xlpm.f=_xlpm.k)))</f>
        <v>0.99108638473029076</v>
      </c>
      <c r="E44" s="2" cm="1">
        <f t="array" ref="E44">_xlfn.LET(_xlpm.d,E$2:E$36,_xlpm.f,$A$2:$A$36,_xlpm.k,$C44,AVERAGE(_xlfn._xlws.FILTER(_xlpm.d,_xlpm.f=_xlpm.k)))</f>
        <v>0.99952964225476093</v>
      </c>
      <c r="F44" s="2" cm="1">
        <f t="array" ref="F44">_xlfn.LET(_xlpm.d,F$2:F$36,_xlpm.f,$A$2:$A$36,_xlpm.k,$C44,AVERAGE(_xlfn._xlws.FILTER(_xlpm.d,_xlpm.f=_xlpm.k)))</f>
        <v>0.99913292368262019</v>
      </c>
      <c r="G44" s="2" cm="1">
        <f t="array" ref="G44">_xlfn.LET(_xlpm.d,G$2:G$36,_xlpm.f,$A$2:$A$36,_xlpm.k,$C44,AVERAGE(_xlfn._xlws.FILTER(_xlpm.d,_xlpm.f=_xlpm.k)))</f>
        <v>0.96793277892554264</v>
      </c>
      <c r="H44" s="2" cm="1">
        <f t="array" ref="H44">_xlfn.LET(_xlpm.d,H$2:H$36,_xlpm.f,$A$2:$A$36,_xlpm.k,$C44,AVERAGE(_xlfn._xlws.FILTER(_xlpm.d,_xlpm.f=_xlpm.k)))</f>
        <v>0.98476778144457966</v>
      </c>
      <c r="I44" s="2" cm="1">
        <f t="array" ref="I44">_xlfn.LET(_xlpm.d,I$2:I$36,_xlpm.f,$A$2:$A$36,_xlpm.k,$C44,AVERAGE(_xlfn._xlws.FILTER(_xlpm.d,_xlpm.f=_xlpm.k)))</f>
        <v>0.98372863481104622</v>
      </c>
      <c r="J44" s="2" cm="1">
        <f t="array" ref="J44">_xlfn.LET(_xlpm.d,J$2:J$36,_xlpm.f,$A$2:$A$36,_xlpm.k,$C44,AVERAGE(_xlfn._xlws.FILTER(_xlpm.d,_xlpm.f=_xlpm.k)))</f>
        <v>0.93151774937962828</v>
      </c>
      <c r="K44" s="2" cm="1">
        <f t="array" ref="K44">_xlfn.LET(_xlpm.d,K$2:K$36,_xlpm.f,$A$2:$A$36,_xlpm.k,$C44,AVERAGE(_xlfn._xlws.FILTER(_xlpm.d,_xlpm.f=_xlpm.k)))</f>
        <v>0.9468598710613636</v>
      </c>
      <c r="L44" s="2" cm="1">
        <f t="array" ref="L44">_xlfn.LET(_xlpm.d,L$2:L$36,_xlpm.f,$A$2:$A$36,_xlpm.k,$C44,AVERAGE(_xlfn._xlws.FILTER(_xlpm.d,_xlpm.f=_xlpm.k)))</f>
        <v>0.94549822883782142</v>
      </c>
      <c r="M44" s="2" cm="1">
        <f t="array" ref="M44">_xlfn.LET(_xlpm.d,M$2:M$36,_xlpm.f,$A$2:$A$36,_xlpm.k,$C44,AVERAGE(_xlfn._xlws.FILTER(_xlpm.d,_xlpm.f=_xlpm.k)))</f>
        <v>0.97294836304595911</v>
      </c>
      <c r="N44" s="2" cm="1">
        <f t="array" ref="N44">_xlfn.LET(_xlpm.d,N$2:N$36,_xlpm.f,$A$2:$A$36,_xlpm.k,$C44,AVERAGE(_xlfn._xlws.FILTER(_xlpm.d,_xlpm.f=_xlpm.k)))</f>
        <v>0.9111769443772898</v>
      </c>
      <c r="O44" s="2" cm="1">
        <f t="array" ref="O44">_xlfn.LET(_xlpm.d,O$2:O$36,_xlpm.f,$A$2:$A$36,_xlpm.k,$C44,AVERAGE(_xlfn._xlws.FILTER(_xlpm.d,_xlpm.f=_xlpm.k)))</f>
        <v>0.95365943880674375</v>
      </c>
      <c r="P44" s="2" cm="1">
        <f t="array" ref="P44">_xlfn.LET(_xlpm.d,P$2:P$36,_xlpm.f,$A$2:$A$36,_xlpm.k,$C44,AVERAGE(_xlfn._xlws.FILTER(_xlpm.d,_xlpm.f=_xlpm.k)))</f>
        <v>0.92215434093761117</v>
      </c>
      <c r="Q44" s="2" cm="1">
        <f t="array" ref="Q44">_xlfn.LET(_xlpm.d,Q$2:Q$36,_xlpm.f,$A$2:$A$36,_xlpm.k,$C44,AVERAGE(_xlfn._xlws.FILTER(_xlpm.d,_xlpm.f=_xlpm.k)))</f>
        <v>0.96230716017655826</v>
      </c>
    </row>
    <row r="46" spans="1:19" ht="30" customHeight="1">
      <c r="C46" t="s">
        <v>65</v>
      </c>
    </row>
    <row r="47" spans="1:19" ht="30" customHeight="1">
      <c r="C47" t="s">
        <v>53</v>
      </c>
      <c r="D47" s="2" cm="1">
        <f t="array" ref="D47">_xlfn.LET(_xlpm.d,D$2:D$36,_xlpm.g,$B$2:$B$36,AVERAGE(_xlfn._xlws.FILTER(_xlpm.d,(_xlpm.g=0))))</f>
        <v>0.75150114073113317</v>
      </c>
      <c r="E47" s="2" cm="1">
        <f t="array" ref="E47">_xlfn.LET(_xlpm.d,E$2:E$36,_xlpm.g,$B$2:$B$36,AVERAGE(_xlfn._xlws.FILTER(_xlpm.d,(_xlpm.g=0))))</f>
        <v>0.72831925424714938</v>
      </c>
      <c r="F47" s="2" cm="1">
        <f t="array" ref="F47">_xlfn.LET(_xlpm.d,F$2:F$36,_xlpm.g,$B$2:$B$36,AVERAGE(_xlfn._xlws.FILTER(_xlpm.d,(_xlpm.g=0))))</f>
        <v>0.72726140506138393</v>
      </c>
      <c r="G47" s="2" cm="1">
        <f t="array" ref="G47">_xlfn.LET(_xlpm.d,G$2:G$36,_xlpm.g,$B$2:$B$36,AVERAGE(_xlfn._xlws.FILTER(_xlpm.d,(_xlpm.g=0))))</f>
        <v>0.69462745877497056</v>
      </c>
      <c r="H47" s="2" cm="1">
        <f t="array" ref="H47">_xlfn.LET(_xlpm.d,H$2:H$36,_xlpm.g,$B$2:$B$36,AVERAGE(_xlfn._xlws.FILTER(_xlpm.d,(_xlpm.g=0))))</f>
        <v>0.67496423463643507</v>
      </c>
      <c r="I47" s="2" cm="1">
        <f t="array" ref="I47">_xlfn.LET(_xlpm.d,I$2:I$36,_xlpm.g,$B$2:$B$36,AVERAGE(_xlfn._xlws.FILTER(_xlpm.d,(_xlpm.g=0))))</f>
        <v>0.64773543042327375</v>
      </c>
      <c r="J47" s="2" cm="1">
        <f t="array" ref="J47">_xlfn.LET(_xlpm.d,J$2:J$36,_xlpm.g,$B$2:$B$36,AVERAGE(_xlfn._xlws.FILTER(_xlpm.d,(_xlpm.g=0))))</f>
        <v>0.63146432076654946</v>
      </c>
      <c r="K47" s="2" cm="1">
        <f t="array" ref="K47">_xlfn.LET(_xlpm.d,K$2:K$36,_xlpm.g,$B$2:$B$36,AVERAGE(_xlfn._xlws.FILTER(_xlpm.d,(_xlpm.g=0))))</f>
        <v>0.60333478185884348</v>
      </c>
      <c r="L47" s="2" cm="1">
        <f t="array" ref="L47">_xlfn.LET(_xlpm.d,L$2:L$36,_xlpm.g,$B$2:$B$36,AVERAGE(_xlfn._xlws.FILTER(_xlpm.d,(_xlpm.g=0))))</f>
        <v>0.6362864556483957</v>
      </c>
      <c r="M47" s="2" cm="1">
        <f t="array" ref="M47">_xlfn.LET(_xlpm.d,M$2:M$36,_xlpm.g,$B$2:$B$36,AVERAGE(_xlfn._xlws.FILTER(_xlpm.d,(_xlpm.g=0))))</f>
        <v>0.59903798445639456</v>
      </c>
      <c r="N47" s="2" cm="1">
        <f t="array" ref="N47">_xlfn.LET(_xlpm.d,N$2:N$36,_xlpm.g,$B$2:$B$36,AVERAGE(_xlfn._xlws.FILTER(_xlpm.d,(_xlpm.g=0))))</f>
        <v>0.58823196089716479</v>
      </c>
      <c r="O47" s="2" cm="1">
        <f t="array" ref="O47">_xlfn.LET(_xlpm.d,O$2:O$36,_xlpm.g,$B$2:$B$36,AVERAGE(_xlfn._xlws.FILTER(_xlpm.d,(_xlpm.g=0))))</f>
        <v>0.60622889586531037</v>
      </c>
      <c r="P47" s="2" cm="1">
        <f t="array" ref="P47">_xlfn.LET(_xlpm.d,P$2:P$36,_xlpm.g,$B$2:$B$36,AVERAGE(_xlfn._xlws.FILTER(_xlpm.d,(_xlpm.g=0))))</f>
        <v>0.6097480551846135</v>
      </c>
      <c r="Q47" s="2" cm="1">
        <f t="array" ref="Q47">_xlfn.LET(_xlpm.d,Q$2:Q$36,_xlpm.g,$B$2:$B$36,AVERAGE(_xlfn._xlws.FILTER(_xlpm.d,(_xlpm.g=0))))</f>
        <v>0.65374933681166292</v>
      </c>
    </row>
    <row r="48" spans="1:19" ht="30" customHeight="1">
      <c r="C48" t="s">
        <v>54</v>
      </c>
      <c r="D48" s="2" cm="1">
        <f t="array" ref="D48">_xlfn.LET(_xlpm.d,D$2:D$36,_xlpm.f,$A$2:$A$36,_xlpm.g,$B$2:$B$36,_xlpm.k,$C48,AVERAGE(_xlfn._xlws.FILTER(_xlpm.d,(_xlpm.f=_xlpm.k)*(_xlpm.g=0))))</f>
        <v>0.99783589489649449</v>
      </c>
      <c r="E48" s="2" cm="1">
        <f t="array" ref="E48">_xlfn.LET(_xlpm.d,E$2:E$36,_xlpm.f,$A$2:$A$36,_xlpm.g,$B$2:$B$36,_xlpm.k,$C48,AVERAGE(_xlfn._xlws.FILTER(_xlpm.d,(_xlpm.f=_xlpm.k)*(_xlpm.g=0))))</f>
        <v>0.98713114261608537</v>
      </c>
      <c r="F48" s="2" cm="1">
        <f t="array" ref="F48">_xlfn.LET(_xlpm.d,F$2:F$36,_xlpm.f,$A$2:$A$36,_xlpm.g,$B$2:$B$36,_xlpm.k,$C48,AVERAGE(_xlfn._xlws.FILTER(_xlpm.d,(_xlpm.f=_xlpm.k)*(_xlpm.g=0))))</f>
        <v>0.96525608169160526</v>
      </c>
      <c r="G48" s="2" cm="1">
        <f t="array" ref="G48">_xlfn.LET(_xlpm.d,G$2:G$36,_xlpm.f,$A$2:$A$36,_xlpm.g,$B$2:$B$36,_xlpm.k,$C48,AVERAGE(_xlfn._xlws.FILTER(_xlpm.d,(_xlpm.f=_xlpm.k)*(_xlpm.g=0))))</f>
        <v>0.9663894313890028</v>
      </c>
      <c r="H48" s="2" cm="1">
        <f t="array" ref="H48">_xlfn.LET(_xlpm.d,H$2:H$36,_xlpm.f,$A$2:$A$36,_xlpm.g,$B$2:$B$36,_xlpm.k,$C48,AVERAGE(_xlfn._xlws.FILTER(_xlpm.d,(_xlpm.f=_xlpm.k)*(_xlpm.g=0))))</f>
        <v>0.97399229138246224</v>
      </c>
      <c r="I48" s="2" cm="1">
        <f t="array" ref="I48">_xlfn.LET(_xlpm.d,I$2:I$36,_xlpm.f,$A$2:$A$36,_xlpm.g,$B$2:$B$36,_xlpm.k,$C48,AVERAGE(_xlfn._xlws.FILTER(_xlpm.d,(_xlpm.f=_xlpm.k)*(_xlpm.g=0))))</f>
        <v>0.93569995828173624</v>
      </c>
      <c r="J48" s="2" cm="1">
        <f t="array" ref="J48">_xlfn.LET(_xlpm.d,J$2:J$36,_xlpm.f,$A$2:$A$36,_xlpm.g,$B$2:$B$36,_xlpm.k,$C48,AVERAGE(_xlfn._xlws.FILTER(_xlpm.d,(_xlpm.f=_xlpm.k)*(_xlpm.g=0))))</f>
        <v>0.85908832186348316</v>
      </c>
      <c r="K48" s="2" cm="1">
        <f t="array" ref="K48">_xlfn.LET(_xlpm.d,K$2:K$36,_xlpm.f,$A$2:$A$36,_xlpm.g,$B$2:$B$36,_xlpm.k,$C48,AVERAGE(_xlfn._xlws.FILTER(_xlpm.d,(_xlpm.f=_xlpm.k)*(_xlpm.g=0))))</f>
        <v>0.87003544976342706</v>
      </c>
      <c r="L48" s="2" cm="1">
        <f t="array" ref="L48">_xlfn.LET(_xlpm.d,L$2:L$36,_xlpm.f,$A$2:$A$36,_xlpm.g,$B$2:$B$36,_xlpm.k,$C48,AVERAGE(_xlfn._xlws.FILTER(_xlpm.d,(_xlpm.f=_xlpm.k)*(_xlpm.g=0))))</f>
        <v>0.88554457054531877</v>
      </c>
      <c r="M48" s="2" cm="1">
        <f t="array" ref="M48">_xlfn.LET(_xlpm.d,M$2:M$36,_xlpm.f,$A$2:$A$36,_xlpm.g,$B$2:$B$36,_xlpm.k,$C48,AVERAGE(_xlfn._xlws.FILTER(_xlpm.d,(_xlpm.f=_xlpm.k)*(_xlpm.g=0))))</f>
        <v>0.88685754989913257</v>
      </c>
      <c r="N48" s="2" cm="1">
        <f t="array" ref="N48">_xlfn.LET(_xlpm.d,N$2:N$36,_xlpm.f,$A$2:$A$36,_xlpm.g,$B$2:$B$36,_xlpm.k,$C48,AVERAGE(_xlfn._xlws.FILTER(_xlpm.d,(_xlpm.f=_xlpm.k)*(_xlpm.g=0))))</f>
        <v>0.93065571071961273</v>
      </c>
      <c r="O48" s="2" cm="1">
        <f t="array" ref="O48">_xlfn.LET(_xlpm.d,O$2:O$36,_xlpm.f,$A$2:$A$36,_xlpm.g,$B$2:$B$36,_xlpm.k,$C48,AVERAGE(_xlfn._xlws.FILTER(_xlpm.d,(_xlpm.f=_xlpm.k)*(_xlpm.g=0))))</f>
        <v>0.92808510708272962</v>
      </c>
      <c r="P48" s="2" cm="1">
        <f t="array" ref="P48">_xlfn.LET(_xlpm.d,P$2:P$36,_xlpm.f,$A$2:$A$36,_xlpm.g,$B$2:$B$36,_xlpm.k,$C48,AVERAGE(_xlfn._xlws.FILTER(_xlpm.d,(_xlpm.f=_xlpm.k)*(_xlpm.g=0))))</f>
        <v>0.94114989090547352</v>
      </c>
      <c r="Q48" s="2" cm="1">
        <f t="array" ref="Q48">_xlfn.LET(_xlpm.d,Q$2:Q$36,_xlpm.f,$A$2:$A$36,_xlpm.g,$B$2:$B$36,_xlpm.k,$C48,AVERAGE(_xlfn._xlws.FILTER(_xlpm.d,(_xlpm.f=_xlpm.k)*(_xlpm.g=0))))</f>
        <v>0.93290164623358185</v>
      </c>
    </row>
    <row r="49" spans="3:17" ht="30" customHeight="1">
      <c r="C49" t="s">
        <v>56</v>
      </c>
      <c r="D49" s="2" cm="1">
        <f t="array" ref="D49">_xlfn.LET(_xlpm.d,D$2:D$36,_xlpm.f,$A$2:$A$36,_xlpm.g,$B$2:$B$36,_xlpm.k,$C49,AVERAGE(_xlfn._xlws.FILTER(_xlpm.d,(_xlpm.f=_xlpm.k)*(_xlpm.g=0))))</f>
        <v>0.51099125824576486</v>
      </c>
      <c r="E49" s="2" cm="1">
        <f t="array" ref="E49">_xlfn.LET(_xlpm.d,E$2:E$36,_xlpm.f,$A$2:$A$36,_xlpm.g,$B$2:$B$36,_xlpm.k,$C49,AVERAGE(_xlfn._xlws.FILTER(_xlpm.d,(_xlpm.f=_xlpm.k)*(_xlpm.g=0))))</f>
        <v>0.5180280457012626</v>
      </c>
      <c r="F49" s="2" cm="1">
        <f t="array" ref="F49">_xlfn.LET(_xlpm.d,F$2:F$36,_xlpm.f,$A$2:$A$36,_xlpm.g,$B$2:$B$36,_xlpm.k,$C49,AVERAGE(_xlfn._xlws.FILTER(_xlpm.d,(_xlpm.f=_xlpm.k)*(_xlpm.g=0))))</f>
        <v>0.5537777721722722</v>
      </c>
      <c r="G49" s="2" cm="1">
        <f t="array" ref="G49">_xlfn.LET(_xlpm.d,G$2:G$36,_xlpm.f,$A$2:$A$36,_xlpm.g,$B$2:$B$36,_xlpm.k,$C49,AVERAGE(_xlfn._xlws.FILTER(_xlpm.d,(_xlpm.f=_xlpm.k)*(_xlpm.g=0))))</f>
        <v>0.4986040362633693</v>
      </c>
      <c r="H49" s="2" cm="1">
        <f t="array" ref="H49">_xlfn.LET(_xlpm.d,H$2:H$36,_xlpm.f,$A$2:$A$36,_xlpm.g,$B$2:$B$36,_xlpm.k,$C49,AVERAGE(_xlfn._xlws.FILTER(_xlpm.d,(_xlpm.f=_xlpm.k)*(_xlpm.g=0))))</f>
        <v>0.40392223497905327</v>
      </c>
      <c r="I49" s="2" cm="1">
        <f t="array" ref="I49">_xlfn.LET(_xlpm.d,I$2:I$36,_xlpm.f,$A$2:$A$36,_xlpm.g,$B$2:$B$36,_xlpm.k,$C49,AVERAGE(_xlfn._xlws.FILTER(_xlpm.d,(_xlpm.f=_xlpm.k)*(_xlpm.g=0))))</f>
        <v>0.37165936217238604</v>
      </c>
      <c r="J49" s="2" cm="1">
        <f t="array" ref="J49">_xlfn.LET(_xlpm.d,J$2:J$36,_xlpm.f,$A$2:$A$36,_xlpm.g,$B$2:$B$36,_xlpm.k,$C49,AVERAGE(_xlfn._xlws.FILTER(_xlpm.d,(_xlpm.f=_xlpm.k)*(_xlpm.g=0))))</f>
        <v>0.45077791374196163</v>
      </c>
      <c r="K49" s="2" cm="1">
        <f t="array" ref="K49">_xlfn.LET(_xlpm.d,K$2:K$36,_xlpm.f,$A$2:$A$36,_xlpm.g,$B$2:$B$36,_xlpm.k,$C49,AVERAGE(_xlfn._xlws.FILTER(_xlpm.d,(_xlpm.f=_xlpm.k)*(_xlpm.g=0))))</f>
        <v>0.35568904301507764</v>
      </c>
      <c r="L49" s="2" cm="1">
        <f t="array" ref="L49">_xlfn.LET(_xlpm.d,L$2:L$36,_xlpm.f,$A$2:$A$36,_xlpm.g,$B$2:$B$36,_xlpm.k,$C49,AVERAGE(_xlfn._xlws.FILTER(_xlpm.d,(_xlpm.f=_xlpm.k)*(_xlpm.g=0))))</f>
        <v>0.48469965217243516</v>
      </c>
      <c r="M49" s="2" cm="1">
        <f t="array" ref="M49">_xlfn.LET(_xlpm.d,M$2:M$36,_xlpm.f,$A$2:$A$36,_xlpm.g,$B$2:$B$36,_xlpm.k,$C49,AVERAGE(_xlfn._xlws.FILTER(_xlpm.d,(_xlpm.f=_xlpm.k)*(_xlpm.g=0))))</f>
        <v>0.38197992137259412</v>
      </c>
      <c r="N49" s="2" cm="1">
        <f t="array" ref="N49">_xlfn.LET(_xlpm.d,N$2:N$36,_xlpm.f,$A$2:$A$36,_xlpm.g,$B$2:$B$36,_xlpm.k,$C49,AVERAGE(_xlfn._xlws.FILTER(_xlpm.d,(_xlpm.f=_xlpm.k)*(_xlpm.g=0))))</f>
        <v>0.32169730173400396</v>
      </c>
      <c r="O49" s="2" cm="1">
        <f t="array" ref="O49">_xlfn.LET(_xlpm.d,O$2:O$36,_xlpm.f,$A$2:$A$36,_xlpm.g,$B$2:$B$36,_xlpm.k,$C49,AVERAGE(_xlfn._xlws.FILTER(_xlpm.d,(_xlpm.f=_xlpm.k)*(_xlpm.g=0))))</f>
        <v>0.41138878761399877</v>
      </c>
      <c r="P49" s="2" cm="1">
        <f t="array" ref="P49">_xlfn.LET(_xlpm.d,P$2:P$36,_xlpm.f,$A$2:$A$36,_xlpm.g,$B$2:$B$36,_xlpm.k,$C49,AVERAGE(_xlfn._xlws.FILTER(_xlpm.d,(_xlpm.f=_xlpm.k)*(_xlpm.g=0))))</f>
        <v>0.45364257604603869</v>
      </c>
      <c r="Q49" s="2" cm="1">
        <f t="array" ref="Q49">_xlfn.LET(_xlpm.d,Q$2:Q$36,_xlpm.f,$A$2:$A$36,_xlpm.g,$B$2:$B$36,_xlpm.k,$C49,AVERAGE(_xlfn._xlws.FILTER(_xlpm.d,(_xlpm.f=_xlpm.k)*(_xlpm.g=0))))</f>
        <v>0.4397583004023245</v>
      </c>
    </row>
    <row r="50" spans="3:17" ht="30" customHeight="1">
      <c r="C50" t="s">
        <v>57</v>
      </c>
      <c r="D50" s="2" cm="1">
        <f t="array" ref="D50">_xlfn.LET(_xlpm.d,D$2:D$36,_xlpm.f,$A$2:$A$36,_xlpm.g,$B$2:$B$36,_xlpm.k,$C50,AVERAGE(_xlfn._xlws.FILTER(_xlpm.d,(_xlpm.f=_xlpm.k)*(_xlpm.g=0))))</f>
        <v>0.58574164038423804</v>
      </c>
      <c r="E50" s="2" cm="1">
        <f t="array" ref="E50">_xlfn.LET(_xlpm.d,E$2:E$36,_xlpm.f,$A$2:$A$36,_xlpm.g,$B$2:$B$36,_xlpm.k,$C50,AVERAGE(_xlfn._xlws.FILTER(_xlpm.d,(_xlpm.f=_xlpm.k)*(_xlpm.g=0))))</f>
        <v>0.54022331316164618</v>
      </c>
      <c r="F50" s="2" cm="1">
        <f t="array" ref="F50">_xlfn.LET(_xlpm.d,F$2:F$36,_xlpm.f,$A$2:$A$36,_xlpm.g,$B$2:$B$36,_xlpm.k,$C50,AVERAGE(_xlfn._xlws.FILTER(_xlpm.d,(_xlpm.f=_xlpm.k)*(_xlpm.g=0))))</f>
        <v>0.5664936288228154</v>
      </c>
      <c r="G50" s="2" cm="1">
        <f t="array" ref="G50">_xlfn.LET(_xlpm.d,G$2:G$36,_xlpm.f,$A$2:$A$36,_xlpm.g,$B$2:$B$36,_xlpm.k,$C50,AVERAGE(_xlfn._xlws.FILTER(_xlpm.d,(_xlpm.f=_xlpm.k)*(_xlpm.g=0))))</f>
        <v>0.46175231597450622</v>
      </c>
      <c r="H50" s="2" cm="1">
        <f t="array" ref="H50">_xlfn.LET(_xlpm.d,H$2:H$36,_xlpm.f,$A$2:$A$36,_xlpm.g,$B$2:$B$36,_xlpm.k,$C50,AVERAGE(_xlfn._xlws.FILTER(_xlpm.d,(_xlpm.f=_xlpm.k)*(_xlpm.g=0))))</f>
        <v>0.50633855086862656</v>
      </c>
      <c r="I50" s="2" cm="1">
        <f t="array" ref="I50">_xlfn.LET(_xlpm.d,I$2:I$36,_xlpm.f,$A$2:$A$36,_xlpm.g,$B$2:$B$36,_xlpm.k,$C50,AVERAGE(_xlfn._xlws.FILTER(_xlpm.d,(_xlpm.f=_xlpm.k)*(_xlpm.g=0))))</f>
        <v>0.47466347569178508</v>
      </c>
      <c r="J50" s="2" cm="1">
        <f t="array" ref="J50">_xlfn.LET(_xlpm.d,J$2:J$36,_xlpm.f,$A$2:$A$36,_xlpm.g,$B$2:$B$36,_xlpm.k,$C50,AVERAGE(_xlfn._xlws.FILTER(_xlpm.d,(_xlpm.f=_xlpm.k)*(_xlpm.g=0))))</f>
        <v>0.44475084689986327</v>
      </c>
      <c r="K50" s="2" cm="1">
        <f t="array" ref="K50">_xlfn.LET(_xlpm.d,K$2:K$36,_xlpm.f,$A$2:$A$36,_xlpm.g,$B$2:$B$36,_xlpm.k,$C50,AVERAGE(_xlfn._xlws.FILTER(_xlpm.d,(_xlpm.f=_xlpm.k)*(_xlpm.g=0))))</f>
        <v>0.41315672140396836</v>
      </c>
      <c r="L50" s="2" cm="1">
        <f t="array" ref="L50">_xlfn.LET(_xlpm.d,L$2:L$36,_xlpm.f,$A$2:$A$36,_xlpm.g,$B$2:$B$36,_xlpm.k,$C50,AVERAGE(_xlfn._xlws.FILTER(_xlpm.d,(_xlpm.f=_xlpm.k)*(_xlpm.g=0))))</f>
        <v>0.4843273228760015</v>
      </c>
      <c r="M50" s="2" cm="1">
        <f t="array" ref="M50">_xlfn.LET(_xlpm.d,M$2:M$36,_xlpm.f,$A$2:$A$36,_xlpm.g,$B$2:$B$36,_xlpm.k,$C50,AVERAGE(_xlfn._xlws.FILTER(_xlpm.d,(_xlpm.f=_xlpm.k)*(_xlpm.g=0))))</f>
        <v>0.35210296487065151</v>
      </c>
      <c r="N50" s="2" cm="1">
        <f t="array" ref="N50">_xlfn.LET(_xlpm.d,N$2:N$36,_xlpm.f,$A$2:$A$36,_xlpm.g,$B$2:$B$36,_xlpm.k,$C50,AVERAGE(_xlfn._xlws.FILTER(_xlpm.d,(_xlpm.f=_xlpm.k)*(_xlpm.g=0))))</f>
        <v>0.35685665541981421</v>
      </c>
      <c r="O50" s="2" cm="1">
        <f t="array" ref="O50">_xlfn.LET(_xlpm.d,O$2:O$36,_xlpm.f,$A$2:$A$36,_xlpm.g,$B$2:$B$36,_xlpm.k,$C50,AVERAGE(_xlfn._xlws.FILTER(_xlpm.d,(_xlpm.f=_xlpm.k)*(_xlpm.g=0))))</f>
        <v>0.34455289244854531</v>
      </c>
      <c r="P50" s="2" cm="1">
        <f t="array" ref="P50">_xlfn.LET(_xlpm.d,P$2:P$36,_xlpm.f,$A$2:$A$36,_xlpm.g,$B$2:$B$36,_xlpm.k,$C50,AVERAGE(_xlfn._xlws.FILTER(_xlpm.d,(_xlpm.f=_xlpm.k)*(_xlpm.g=0))))</f>
        <v>0.36617374206621683</v>
      </c>
      <c r="Q50" s="2" cm="1">
        <f t="array" ref="Q50">_xlfn.LET(_xlpm.d,Q$2:Q$36,_xlpm.f,$A$2:$A$36,_xlpm.g,$B$2:$B$36,_xlpm.k,$C50,AVERAGE(_xlfn._xlws.FILTER(_xlpm.d,(_xlpm.f=_xlpm.k)*(_xlpm.g=0))))</f>
        <v>0.45362569776066747</v>
      </c>
    </row>
    <row r="51" spans="3:17" ht="30" customHeight="1">
      <c r="C51" t="s">
        <v>55</v>
      </c>
      <c r="D51" s="2" cm="1">
        <f t="array" ref="D51">_xlfn.LET(_xlpm.d,D$2:D$36,_xlpm.f,$A$2:$A$36,_xlpm.g,$B$2:$B$36,_xlpm.k,$C51,AVERAGE(_xlfn._xlws.FILTER(_xlpm.d,(_xlpm.f=_xlpm.k)*(_xlpm.g=0))))</f>
        <v>0.67333612794383013</v>
      </c>
      <c r="E51" s="2" cm="1">
        <f t="array" ref="E51">_xlfn.LET(_xlpm.d,E$2:E$36,_xlpm.f,$A$2:$A$36,_xlpm.g,$B$2:$B$36,_xlpm.k,$C51,AVERAGE(_xlfn._xlws.FILTER(_xlpm.d,(_xlpm.f=_xlpm.k)*(_xlpm.g=0))))</f>
        <v>0.59676252045953282</v>
      </c>
      <c r="F51" s="2" cm="1">
        <f t="array" ref="F51">_xlfn.LET(_xlpm.d,F$2:F$36,_xlpm.f,$A$2:$A$36,_xlpm.g,$B$2:$B$36,_xlpm.k,$C51,AVERAGE(_xlfn._xlws.FILTER(_xlpm.d,(_xlpm.f=_xlpm.k)*(_xlpm.g=0))))</f>
        <v>0.55179113165717042</v>
      </c>
      <c r="G51" s="2" cm="1">
        <f t="array" ref="G51">_xlfn.LET(_xlpm.d,G$2:G$36,_xlpm.f,$A$2:$A$36,_xlpm.g,$B$2:$B$36,_xlpm.k,$C51,AVERAGE(_xlfn._xlws.FILTER(_xlpm.d,(_xlpm.f=_xlpm.k)*(_xlpm.g=0))))</f>
        <v>0.58380326816817407</v>
      </c>
      <c r="H51" s="2" cm="1">
        <f t="array" ref="H51">_xlfn.LET(_xlpm.d,H$2:H$36,_xlpm.f,$A$2:$A$36,_xlpm.g,$B$2:$B$36,_xlpm.k,$C51,AVERAGE(_xlfn._xlws.FILTER(_xlpm.d,(_xlpm.f=_xlpm.k)*(_xlpm.g=0))))</f>
        <v>0.50833901760002365</v>
      </c>
      <c r="I51" s="2" cm="1">
        <f t="array" ref="I51">_xlfn.LET(_xlpm.d,I$2:I$36,_xlpm.f,$A$2:$A$36,_xlpm.g,$B$2:$B$36,_xlpm.k,$C51,AVERAGE(_xlfn._xlws.FILTER(_xlpm.d,(_xlpm.f=_xlpm.k)*(_xlpm.g=0))))</f>
        <v>0.47563761535757482</v>
      </c>
      <c r="J51" s="2" cm="1">
        <f t="array" ref="J51">_xlfn.LET(_xlpm.d,J$2:J$36,_xlpm.f,$A$2:$A$36,_xlpm.g,$B$2:$B$36,_xlpm.k,$C51,AVERAGE(_xlfn._xlws.FILTER(_xlpm.d,(_xlpm.f=_xlpm.k)*(_xlpm.g=0))))</f>
        <v>0.48260048038454051</v>
      </c>
      <c r="K51" s="2" cm="1">
        <f t="array" ref="K51">_xlfn.LET(_xlpm.d,K$2:K$36,_xlpm.f,$A$2:$A$36,_xlpm.g,$B$2:$B$36,_xlpm.k,$C51,AVERAGE(_xlfn._xlws.FILTER(_xlpm.d,(_xlpm.f=_xlpm.k)*(_xlpm.g=0))))</f>
        <v>0.43978951220682011</v>
      </c>
      <c r="L51" s="2" cm="1">
        <f t="array" ref="L51">_xlfn.LET(_xlpm.d,L$2:L$36,_xlpm.f,$A$2:$A$36,_xlpm.g,$B$2:$B$36,_xlpm.k,$C51,AVERAGE(_xlfn._xlws.FILTER(_xlpm.d,(_xlpm.f=_xlpm.k)*(_xlpm.g=0))))</f>
        <v>0.39044613233743147</v>
      </c>
      <c r="M51" s="2" cm="1">
        <f t="array" ref="M51">_xlfn.LET(_xlpm.d,M$2:M$36,_xlpm.f,$A$2:$A$36,_xlpm.g,$B$2:$B$36,_xlpm.k,$C51,AVERAGE(_xlfn._xlws.FILTER(_xlpm.d,(_xlpm.f=_xlpm.k)*(_xlpm.g=0))))</f>
        <v>0.40580972925264236</v>
      </c>
      <c r="N51" s="2" cm="1">
        <f t="array" ref="N51">_xlfn.LET(_xlpm.d,N$2:N$36,_xlpm.f,$A$2:$A$36,_xlpm.g,$B$2:$B$36,_xlpm.k,$C51,AVERAGE(_xlfn._xlws.FILTER(_xlpm.d,(_xlpm.f=_xlpm.k)*(_xlpm.g=0))))</f>
        <v>0.43557703483888854</v>
      </c>
      <c r="O51" s="2" cm="1">
        <f t="array" ref="O51">_xlfn.LET(_xlpm.d,O$2:O$36,_xlpm.f,$A$2:$A$36,_xlpm.g,$B$2:$B$36,_xlpm.k,$C51,AVERAGE(_xlfn._xlws.FILTER(_xlpm.d,(_xlpm.f=_xlpm.k)*(_xlpm.g=0))))</f>
        <v>0.401181680240077</v>
      </c>
      <c r="P51" s="2" cm="1">
        <f t="array" ref="P51">_xlfn.LET(_xlpm.d,P$2:P$36,_xlpm.f,$A$2:$A$36,_xlpm.g,$B$2:$B$36,_xlpm.k,$C51,AVERAGE(_xlfn._xlws.FILTER(_xlpm.d,(_xlpm.f=_xlpm.k)*(_xlpm.g=0))))</f>
        <v>0.37859400247812564</v>
      </c>
      <c r="Q51" s="2" cm="1">
        <f t="array" ref="Q51">_xlfn.LET(_xlpm.d,Q$2:Q$36,_xlpm.f,$A$2:$A$36,_xlpm.g,$B$2:$B$36,_xlpm.k,$C51,AVERAGE(_xlfn._xlws.FILTER(_xlpm.d,(_xlpm.f=_xlpm.k)*(_xlpm.g=0))))</f>
        <v>0.48643601945575626</v>
      </c>
    </row>
    <row r="52" spans="3:17" ht="30" customHeight="1">
      <c r="C52" t="s">
        <v>58</v>
      </c>
      <c r="D52" s="2" cm="1">
        <f t="array" ref="D52">_xlfn.LET(_xlpm.d,D$2:D$36,_xlpm.f,$A$2:$A$36,_xlpm.g,$B$2:$B$36,_xlpm.k,$C52,AVERAGE(_xlfn._xlws.FILTER(_xlpm.d,(_xlpm.f=_xlpm.k)*(_xlpm.g=0))))</f>
        <v>0.98960078218533931</v>
      </c>
      <c r="E52" s="2" cm="1">
        <f t="array" ref="E52">_xlfn.LET(_xlpm.d,E$2:E$36,_xlpm.f,$A$2:$A$36,_xlpm.g,$B$2:$B$36,_xlpm.k,$C52,AVERAGE(_xlfn._xlws.FILTER(_xlpm.d,(_xlpm.f=_xlpm.k)*(_xlpm.g=0))))</f>
        <v>0.99945124929722107</v>
      </c>
      <c r="F52" s="2" cm="1">
        <f t="array" ref="F52">_xlfn.LET(_xlpm.d,F$2:F$36,_xlpm.f,$A$2:$A$36,_xlpm.g,$B$2:$B$36,_xlpm.k,$C52,AVERAGE(_xlfn._xlws.FILTER(_xlpm.d,(_xlpm.f=_xlpm.k)*(_xlpm.g=0))))</f>
        <v>0.99898841096305679</v>
      </c>
      <c r="G52" s="2" cm="1">
        <f t="array" ref="G52">_xlfn.LET(_xlpm.d,G$2:G$36,_xlpm.f,$A$2:$A$36,_xlpm.g,$B$2:$B$36,_xlpm.k,$C52,AVERAGE(_xlfn._xlws.FILTER(_xlpm.d,(_xlpm.f=_xlpm.k)*(_xlpm.g=0))))</f>
        <v>0.96258824207979965</v>
      </c>
      <c r="H52" s="2" cm="1">
        <f t="array" ref="H52">_xlfn.LET(_xlpm.d,H$2:H$36,_xlpm.f,$A$2:$A$36,_xlpm.g,$B$2:$B$36,_xlpm.k,$C52,AVERAGE(_xlfn._xlws.FILTER(_xlpm.d,(_xlpm.f=_xlpm.k)*(_xlpm.g=0))))</f>
        <v>0.98222907835200957</v>
      </c>
      <c r="I52" s="2" cm="1">
        <f t="array" ref="I52">_xlfn.LET(_xlpm.d,I$2:I$36,_xlpm.f,$A$2:$A$36,_xlpm.g,$B$2:$B$36,_xlpm.k,$C52,AVERAGE(_xlfn._xlws.FILTER(_xlpm.d,(_xlpm.f=_xlpm.k)*(_xlpm.g=0))))</f>
        <v>0.98101674061288724</v>
      </c>
      <c r="J52" s="2" cm="1">
        <f t="array" ref="J52">_xlfn.LET(_xlpm.d,J$2:J$36,_xlpm.f,$A$2:$A$36,_xlpm.g,$B$2:$B$36,_xlpm.k,$C52,AVERAGE(_xlfn._xlws.FILTER(_xlpm.d,(_xlpm.f=_xlpm.k)*(_xlpm.g=0))))</f>
        <v>0.92010404094289966</v>
      </c>
      <c r="K52" s="2" cm="1">
        <f t="array" ref="K52">_xlfn.LET(_xlpm.d,K$2:K$36,_xlpm.f,$A$2:$A$36,_xlpm.g,$B$2:$B$36,_xlpm.k,$C52,AVERAGE(_xlfn._xlws.FILTER(_xlpm.d,(_xlpm.f=_xlpm.k)*(_xlpm.g=0))))</f>
        <v>0.93800318290492424</v>
      </c>
      <c r="L52" s="2" cm="1">
        <f t="array" ref="L52">_xlfn.LET(_xlpm.d,L$2:L$36,_xlpm.f,$A$2:$A$36,_xlpm.g,$B$2:$B$36,_xlpm.k,$C52,AVERAGE(_xlfn._xlws.FILTER(_xlpm.d,(_xlpm.f=_xlpm.k)*(_xlpm.g=0))))</f>
        <v>0.93641460031079171</v>
      </c>
      <c r="M52" s="2" cm="1">
        <f t="array" ref="M52">_xlfn.LET(_xlpm.d,M$2:M$36,_xlpm.f,$A$2:$A$36,_xlpm.g,$B$2:$B$36,_xlpm.k,$C52,AVERAGE(_xlfn._xlws.FILTER(_xlpm.d,(_xlpm.f=_xlpm.k)*(_xlpm.g=0))))</f>
        <v>0.96843975688695227</v>
      </c>
      <c r="N52" s="2" cm="1">
        <f t="array" ref="N52">_xlfn.LET(_xlpm.d,N$2:N$36,_xlpm.f,$A$2:$A$36,_xlpm.g,$B$2:$B$36,_xlpm.k,$C52,AVERAGE(_xlfn._xlws.FILTER(_xlpm.d,(_xlpm.f=_xlpm.k)*(_xlpm.g=0))))</f>
        <v>0.89637310177350482</v>
      </c>
      <c r="O52" s="2" cm="1">
        <f t="array" ref="O52">_xlfn.LET(_xlpm.d,O$2:O$36,_xlpm.f,$A$2:$A$36,_xlpm.g,$B$2:$B$36,_xlpm.k,$C52,AVERAGE(_xlfn._xlws.FILTER(_xlpm.d,(_xlpm.f=_xlpm.k)*(_xlpm.g=0))))</f>
        <v>0.94593601194120103</v>
      </c>
      <c r="P52" s="2" cm="1">
        <f t="array" ref="P52">_xlfn.LET(_xlpm.d,P$2:P$36,_xlpm.f,$A$2:$A$36,_xlpm.g,$B$2:$B$36,_xlpm.k,$C52,AVERAGE(_xlfn._xlws.FILTER(_xlpm.d,(_xlpm.f=_xlpm.k)*(_xlpm.g=0))))</f>
        <v>0.909180064427213</v>
      </c>
      <c r="Q52" s="2" cm="1">
        <f t="array" ref="Q52">_xlfn.LET(_xlpm.d,Q$2:Q$36,_xlpm.f,$A$2:$A$36,_xlpm.g,$B$2:$B$36,_xlpm.k,$C52,AVERAGE(_xlfn._xlws.FILTER(_xlpm.d,(_xlpm.f=_xlpm.k)*(_xlpm.g=0))))</f>
        <v>0.95602502020598468</v>
      </c>
    </row>
  </sheetData>
  <conditionalFormatting sqref="D2:P36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9:Q44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Q2:Q36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S2:S36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7:Q4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8:Q5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V49"/>
  <sheetViews>
    <sheetView workbookViewId="0">
      <pane xSplit="9080" ySplit="3520" topLeftCell="C36" activePane="bottomRight"/>
      <selection activeCell="B1" sqref="B1:B1048576"/>
      <selection pane="topRight" activeCell="G2" sqref="G2:S36"/>
      <selection pane="bottomLeft" activeCell="C31" sqref="C31"/>
      <selection pane="bottomRight" activeCell="D24" sqref="D24"/>
    </sheetView>
  </sheetViews>
  <sheetFormatPr baseColWidth="10" defaultRowHeight="30" customHeight="1"/>
  <cols>
    <col min="1" max="1" width="16.625" customWidth="1"/>
    <col min="2" max="2" width="9" customWidth="1"/>
    <col min="3" max="5" width="7.875" customWidth="1"/>
    <col min="6" max="6" width="9.5" customWidth="1"/>
    <col min="7" max="19" width="7.375" customWidth="1"/>
    <col min="20" max="20" width="8.75" customWidth="1"/>
    <col min="21" max="21" width="9.125" customWidth="1"/>
    <col min="22" max="22" width="8.75" customWidth="1"/>
  </cols>
  <sheetData>
    <row r="1" spans="1:22" ht="30" customHeight="1">
      <c r="A1" t="s">
        <v>0</v>
      </c>
      <c r="B1" t="s">
        <v>59</v>
      </c>
      <c r="C1" t="s">
        <v>50</v>
      </c>
      <c r="D1" t="s">
        <v>51</v>
      </c>
      <c r="E1" t="s">
        <v>60</v>
      </c>
      <c r="F1" t="s">
        <v>52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47</v>
      </c>
      <c r="P1" t="s">
        <v>9</v>
      </c>
      <c r="Q1" t="s">
        <v>48</v>
      </c>
      <c r="R1" t="s">
        <v>49</v>
      </c>
      <c r="S1" t="s">
        <v>10</v>
      </c>
      <c r="T1" t="s">
        <v>36</v>
      </c>
      <c r="U1" t="s">
        <v>61</v>
      </c>
      <c r="V1" t="s">
        <v>62</v>
      </c>
    </row>
    <row r="2" spans="1:22" ht="30" customHeight="1">
      <c r="A2" t="s">
        <v>11</v>
      </c>
      <c r="B2" t="str">
        <f>_xlfn.TEXTBEFORE(Table1[[#This Row],[condition]],"-")</f>
        <v>arabic</v>
      </c>
      <c r="C2" t="b">
        <f>LEFT(Table1[[#This Row],[encoding]],3)=C$1</f>
        <v>0</v>
      </c>
      <c r="D2" t="b">
        <f>LEFT(Table1[[#This Row],[encoding]],2)=D$1</f>
        <v>0</v>
      </c>
      <c r="E2" t="b">
        <f>NOT(OR(C2,D2))</f>
        <v>1</v>
      </c>
      <c r="F2" t="str">
        <f>_xlfn.TEXTAFTER(Table1[[#This Row],[condition]],"-")</f>
        <v>1g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f>_xlfn.LET(_xlpm.d,$G2:$S2,AVERAGE(_xlpm.d))</f>
        <v>1</v>
      </c>
      <c r="U2" s="3">
        <f>_xlfn.LET(_xlpm.d,$G2:$S2,STDEV(_xlpm.d))</f>
        <v>0</v>
      </c>
      <c r="V2" s="1">
        <f>Table1[[#This Row],[average]]-SQRT(Table1[[#This Row],[stdev]])</f>
        <v>1</v>
      </c>
    </row>
    <row r="3" spans="1:22" ht="30" customHeight="1">
      <c r="A3" t="s">
        <v>12</v>
      </c>
      <c r="B3" t="str">
        <f>_xlfn.TEXTBEFORE(Table1[[#This Row],[condition]],"-")</f>
        <v>arabic</v>
      </c>
      <c r="C3" t="b">
        <f>LEFT(Table1[[#This Row],[encoding]],3)=C$1</f>
        <v>0</v>
      </c>
      <c r="D3" t="b">
        <f>LEFT(Table1[[#This Row],[encoding]],2)=D$1</f>
        <v>0</v>
      </c>
      <c r="E3" t="b">
        <f t="shared" ref="E3:E36" si="0">NOT(OR(C3,D3))</f>
        <v>1</v>
      </c>
      <c r="F3" t="str">
        <f>_xlfn.TEXTAFTER(Table1[[#This Row],[condition]],"-")</f>
        <v>2g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f t="shared" ref="T3:T36" si="1">_xlfn.LET(_xlpm.d,$G3:$S3,AVERAGE(_xlpm.d))</f>
        <v>1</v>
      </c>
      <c r="U3" s="3">
        <f t="shared" ref="U3:U36" si="2">_xlfn.LET(_xlpm.d,$G3:$S3,STDEV(_xlpm.d))</f>
        <v>0</v>
      </c>
      <c r="V3" s="1">
        <f>Table1[[#This Row],[average]]-SQRT(Table1[[#This Row],[stdev]])</f>
        <v>1</v>
      </c>
    </row>
    <row r="4" spans="1:22" ht="30" customHeight="1">
      <c r="A4" t="s">
        <v>13</v>
      </c>
      <c r="B4" t="str">
        <f>_xlfn.TEXTBEFORE(Table1[[#This Row],[condition]],"-")</f>
        <v>arabic</v>
      </c>
      <c r="C4" t="b">
        <f>LEFT(Table1[[#This Row],[encoding]],3)=C$1</f>
        <v>0</v>
      </c>
      <c r="D4" t="b">
        <f>LEFT(Table1[[#This Row],[encoding]],2)=D$1</f>
        <v>0</v>
      </c>
      <c r="E4" t="b">
        <f t="shared" si="0"/>
        <v>1</v>
      </c>
      <c r="F4" t="str">
        <f>_xlfn.TEXTAFTER(Table1[[#This Row],[condition]],"-")</f>
        <v>3g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f t="shared" si="1"/>
        <v>1</v>
      </c>
      <c r="U4" s="3">
        <f t="shared" si="2"/>
        <v>0</v>
      </c>
      <c r="V4" s="1">
        <f>Table1[[#This Row],[average]]-SQRT(Table1[[#This Row],[stdev]])</f>
        <v>1</v>
      </c>
    </row>
    <row r="5" spans="1:22" ht="30" customHeight="1">
      <c r="A5" t="s">
        <v>14</v>
      </c>
      <c r="B5" t="str">
        <f>_xlfn.TEXTBEFORE(Table1[[#This Row],[condition]],"-")</f>
        <v>arabic</v>
      </c>
      <c r="C5" t="b">
        <f>LEFT(Table1[[#This Row],[encoding]],3)=C$1</f>
        <v>0</v>
      </c>
      <c r="D5" t="b">
        <f>LEFT(Table1[[#This Row],[encoding]],2)=D$1</f>
        <v>1</v>
      </c>
      <c r="E5" t="b">
        <f t="shared" si="0"/>
        <v>0</v>
      </c>
      <c r="F5" t="str">
        <f>_xlfn.TEXTAFTER(Table1[[#This Row],[condition]],"-")</f>
        <v>sk2g</v>
      </c>
      <c r="G5" s="1">
        <v>1</v>
      </c>
      <c r="H5" s="1">
        <v>1</v>
      </c>
      <c r="I5" s="1">
        <v>0.93741650206699101</v>
      </c>
      <c r="J5" s="1">
        <v>1</v>
      </c>
      <c r="K5" s="1">
        <v>1</v>
      </c>
      <c r="L5" s="1">
        <v>1</v>
      </c>
      <c r="M5" s="1">
        <v>0.81139757216219</v>
      </c>
      <c r="N5" s="1">
        <v>0.98987137100627498</v>
      </c>
      <c r="O5" s="1">
        <v>0.86115508387139905</v>
      </c>
      <c r="P5" s="1">
        <v>0.98513379052067596</v>
      </c>
      <c r="Q5" s="1">
        <v>0.97603108566307795</v>
      </c>
      <c r="R5" s="1">
        <v>0.992292618629804</v>
      </c>
      <c r="S5" s="1">
        <v>1</v>
      </c>
      <c r="T5" s="1">
        <f t="shared" si="1"/>
        <v>0.96563830953233942</v>
      </c>
      <c r="U5" s="3">
        <f t="shared" si="2"/>
        <v>6.0809505556915507E-2</v>
      </c>
      <c r="V5" s="1">
        <f>Table1[[#This Row],[average]]-SQRT(Table1[[#This Row],[stdev]])</f>
        <v>0.71904247510500063</v>
      </c>
    </row>
    <row r="6" spans="1:22" ht="30" customHeight="1">
      <c r="A6" t="s">
        <v>15</v>
      </c>
      <c r="B6" t="str">
        <f>_xlfn.TEXTBEFORE(Table1[[#This Row],[condition]],"-")</f>
        <v>arabic</v>
      </c>
      <c r="C6" t="b">
        <f>LEFT(Table1[[#This Row],[encoding]],3)=C$1</f>
        <v>0</v>
      </c>
      <c r="D6" t="b">
        <f>LEFT(Table1[[#This Row],[encoding]],2)=D$1</f>
        <v>1</v>
      </c>
      <c r="E6" t="b">
        <f t="shared" si="0"/>
        <v>0</v>
      </c>
      <c r="F6" t="str">
        <f>_xlfn.TEXTAFTER(Table1[[#This Row],[condition]],"-")</f>
        <v>sk3g</v>
      </c>
      <c r="G6" s="1">
        <v>0.98948563009274104</v>
      </c>
      <c r="H6" s="1">
        <v>0.92706473864343797</v>
      </c>
      <c r="I6" s="1">
        <v>0.98590298263896803</v>
      </c>
      <c r="J6" s="1">
        <v>1</v>
      </c>
      <c r="K6" s="1">
        <v>0.98760377105832098</v>
      </c>
      <c r="L6" s="1">
        <v>1</v>
      </c>
      <c r="M6" s="1">
        <v>0.85740406193676499</v>
      </c>
      <c r="N6" s="1">
        <v>0.84566844683333997</v>
      </c>
      <c r="O6" s="1">
        <v>0.69051749641685201</v>
      </c>
      <c r="P6" s="1">
        <v>0.70280806210893998</v>
      </c>
      <c r="Q6" s="1">
        <v>1</v>
      </c>
      <c r="R6" s="1">
        <v>0.74758769188137697</v>
      </c>
      <c r="S6" s="1">
        <v>0.85484228907249205</v>
      </c>
      <c r="T6" s="1">
        <f t="shared" si="1"/>
        <v>0.8914527054371717</v>
      </c>
      <c r="U6" s="3">
        <f t="shared" si="2"/>
        <v>0.11749001086344858</v>
      </c>
      <c r="V6" s="1">
        <f>Table1[[#This Row],[average]]-SQRT(Table1[[#This Row],[stdev]])</f>
        <v>0.5486845463799912</v>
      </c>
    </row>
    <row r="7" spans="1:22" ht="30" customHeight="1">
      <c r="A7" t="s">
        <v>37</v>
      </c>
      <c r="B7" t="str">
        <f>_xlfn.TEXTBEFORE(Table1[[#This Row],[condition]],"-")</f>
        <v>arabic</v>
      </c>
      <c r="C7" t="b">
        <f>LEFT(Table1[[#This Row],[encoding]],3)=C$1</f>
        <v>1</v>
      </c>
      <c r="D7" t="b">
        <f>LEFT(Table1[[#This Row],[encoding]],2)=D$1</f>
        <v>0</v>
      </c>
      <c r="E7" t="b">
        <f t="shared" si="0"/>
        <v>0</v>
      </c>
      <c r="F7" t="str">
        <f>_xlfn.TEXTAFTER(Table1[[#This Row],[condition]],"-")</f>
        <v>xsk2g</v>
      </c>
      <c r="G7" s="1">
        <v>0.99752973928622601</v>
      </c>
      <c r="H7" s="1">
        <v>0.99572211705307401</v>
      </c>
      <c r="I7" s="1">
        <v>0.99357714333027303</v>
      </c>
      <c r="J7" s="1">
        <v>0.99332987328247102</v>
      </c>
      <c r="K7" s="1">
        <v>0.97558610777508403</v>
      </c>
      <c r="L7" s="1">
        <v>0.87595689127350396</v>
      </c>
      <c r="M7" s="1">
        <v>0.84636443206504097</v>
      </c>
      <c r="N7" s="1">
        <v>0.91193095184954498</v>
      </c>
      <c r="O7" s="1">
        <v>0.98490785289344795</v>
      </c>
      <c r="P7" s="1">
        <v>0.901190182741609</v>
      </c>
      <c r="Q7" s="1">
        <v>0.78467460864965699</v>
      </c>
      <c r="R7" s="1">
        <v>1</v>
      </c>
      <c r="S7" s="1">
        <v>0.96601999077882095</v>
      </c>
      <c r="T7" s="1">
        <f t="shared" si="1"/>
        <v>0.94052229930605802</v>
      </c>
      <c r="U7" s="3">
        <f t="shared" si="2"/>
        <v>7.0104077818586533E-2</v>
      </c>
      <c r="V7" s="1">
        <f>Table1[[#This Row],[average]]-SQRT(Table1[[#This Row],[stdev]])</f>
        <v>0.67575055266645423</v>
      </c>
    </row>
    <row r="8" spans="1:22" ht="30" customHeight="1">
      <c r="A8" t="s">
        <v>38</v>
      </c>
      <c r="B8" t="str">
        <f>_xlfn.TEXTBEFORE(Table1[[#This Row],[condition]],"-")</f>
        <v>arabic</v>
      </c>
      <c r="C8" t="b">
        <f>LEFT(Table1[[#This Row],[encoding]],3)=C$1</f>
        <v>1</v>
      </c>
      <c r="D8" t="b">
        <f>LEFT(Table1[[#This Row],[encoding]],2)=D$1</f>
        <v>0</v>
      </c>
      <c r="E8" t="b">
        <f t="shared" si="0"/>
        <v>0</v>
      </c>
      <c r="F8" t="str">
        <f>_xlfn.TEXTAFTER(Table1[[#This Row],[condition]],"-")</f>
        <v>xsk3g</v>
      </c>
      <c r="G8" s="1">
        <v>1</v>
      </c>
      <c r="H8" s="1">
        <v>1</v>
      </c>
      <c r="I8" s="1">
        <v>0.87463986211339995</v>
      </c>
      <c r="J8" s="1">
        <v>0.80500671505154597</v>
      </c>
      <c r="K8" s="1">
        <v>0.88076386946136898</v>
      </c>
      <c r="L8" s="1">
        <v>0.73824285841691295</v>
      </c>
      <c r="M8" s="1">
        <v>0.63936386501690301</v>
      </c>
      <c r="N8" s="1">
        <v>0.47274192889140199</v>
      </c>
      <c r="O8" s="1">
        <v>0.77668699009021402</v>
      </c>
      <c r="P8" s="1">
        <v>0.73201326402357103</v>
      </c>
      <c r="Q8" s="1">
        <v>0.82322857000494098</v>
      </c>
      <c r="R8" s="1">
        <v>0.82863033198519698</v>
      </c>
      <c r="S8" s="1">
        <v>0.82603706558152801</v>
      </c>
      <c r="T8" s="1">
        <f t="shared" si="1"/>
        <v>0.79979656312592173</v>
      </c>
      <c r="U8" s="3">
        <f t="shared" si="2"/>
        <v>0.14024891032240519</v>
      </c>
      <c r="V8" s="1">
        <f>Table1[[#This Row],[average]]-SQRT(Table1[[#This Row],[stdev]])</f>
        <v>0.42529835175181491</v>
      </c>
    </row>
    <row r="9" spans="1:22" ht="30" customHeight="1">
      <c r="A9" t="s">
        <v>16</v>
      </c>
      <c r="B9" t="str">
        <f>_xlfn.TEXTBEFORE(Table1[[#This Row],[condition]],"-")</f>
        <v>english</v>
      </c>
      <c r="C9" t="b">
        <f>LEFT(Table1[[#This Row],[encoding]],3)=C$1</f>
        <v>0</v>
      </c>
      <c r="D9" t="b">
        <f>LEFT(Table1[[#This Row],[encoding]],2)=D$1</f>
        <v>0</v>
      </c>
      <c r="E9" t="b">
        <f t="shared" si="0"/>
        <v>1</v>
      </c>
      <c r="F9" t="str">
        <f>_xlfn.TEXTAFTER(Table1[[#This Row],[condition]],"-")</f>
        <v>1g</v>
      </c>
      <c r="G9" s="1">
        <v>1</v>
      </c>
      <c r="H9" s="1">
        <v>0.74193662337281896</v>
      </c>
      <c r="I9" s="1">
        <v>0.72231202504951397</v>
      </c>
      <c r="J9" s="1">
        <v>0.60405633120278002</v>
      </c>
      <c r="K9" s="1">
        <v>0.831412550414655</v>
      </c>
      <c r="L9" s="1">
        <v>0.43025661819474498</v>
      </c>
      <c r="M9" s="1">
        <v>0.59793497358768899</v>
      </c>
      <c r="N9" s="1">
        <v>0.43801146096476801</v>
      </c>
      <c r="O9" s="1">
        <v>0.22554495275564601</v>
      </c>
      <c r="P9" s="1">
        <v>0.487733937546528</v>
      </c>
      <c r="Q9" s="1">
        <v>0.62718992217792602</v>
      </c>
      <c r="R9" s="1">
        <v>0.29624621574579402</v>
      </c>
      <c r="S9" s="1">
        <v>0.31774695488063298</v>
      </c>
      <c r="T9" s="1">
        <f t="shared" si="1"/>
        <v>0.56310635122257668</v>
      </c>
      <c r="U9" s="3">
        <f t="shared" si="2"/>
        <v>0.22574500260951541</v>
      </c>
      <c r="V9" s="1">
        <f>Table1[[#This Row],[average]]-SQRT(Table1[[#This Row],[stdev]])</f>
        <v>8.7980049477961175E-2</v>
      </c>
    </row>
    <row r="10" spans="1:22" ht="30" customHeight="1">
      <c r="A10" t="s">
        <v>17</v>
      </c>
      <c r="B10" t="str">
        <f>_xlfn.TEXTBEFORE(Table1[[#This Row],[condition]],"-")</f>
        <v>english</v>
      </c>
      <c r="C10" t="b">
        <f>LEFT(Table1[[#This Row],[encoding]],3)=C$1</f>
        <v>0</v>
      </c>
      <c r="D10" t="b">
        <f>LEFT(Table1[[#This Row],[encoding]],2)=D$1</f>
        <v>0</v>
      </c>
      <c r="E10" t="b">
        <f t="shared" si="0"/>
        <v>1</v>
      </c>
      <c r="F10" t="str">
        <f>_xlfn.TEXTAFTER(Table1[[#This Row],[condition]],"-")</f>
        <v>2g</v>
      </c>
      <c r="G10" s="1">
        <v>0.401426642894332</v>
      </c>
      <c r="H10" s="1">
        <v>0.388500799763142</v>
      </c>
      <c r="I10" s="1">
        <v>0.33335788968045399</v>
      </c>
      <c r="J10" s="1">
        <v>0.66242662941288799</v>
      </c>
      <c r="K10" s="1">
        <v>0</v>
      </c>
      <c r="L10" s="1">
        <v>0.32813324892699802</v>
      </c>
      <c r="M10" s="1">
        <v>0.34673554669703099</v>
      </c>
      <c r="N10" s="1">
        <v>0.25766720746327698</v>
      </c>
      <c r="O10" s="1">
        <v>0.31250067185335101</v>
      </c>
      <c r="P10" s="1">
        <v>0.20127708745537801</v>
      </c>
      <c r="Q10" s="1">
        <v>0</v>
      </c>
      <c r="R10" s="1">
        <v>0.37514144305591202</v>
      </c>
      <c r="S10" s="1">
        <v>0.40492318578727798</v>
      </c>
      <c r="T10" s="1">
        <f t="shared" si="1"/>
        <v>0.30862233484538781</v>
      </c>
      <c r="U10" s="3">
        <f t="shared" si="2"/>
        <v>0.1734321273066218</v>
      </c>
      <c r="V10" s="1">
        <f>Table1[[#This Row],[average]]-SQRT(Table1[[#This Row],[stdev]])</f>
        <v>-0.10782949587050877</v>
      </c>
    </row>
    <row r="11" spans="1:22" ht="30" customHeight="1">
      <c r="A11" t="s">
        <v>18</v>
      </c>
      <c r="B11" t="str">
        <f>_xlfn.TEXTBEFORE(Table1[[#This Row],[condition]],"-")</f>
        <v>english</v>
      </c>
      <c r="C11" t="b">
        <f>LEFT(Table1[[#This Row],[encoding]],3)=C$1</f>
        <v>0</v>
      </c>
      <c r="D11" t="b">
        <f>LEFT(Table1[[#This Row],[encoding]],2)=D$1</f>
        <v>0</v>
      </c>
      <c r="E11" t="b">
        <f t="shared" si="0"/>
        <v>1</v>
      </c>
      <c r="F11" t="str">
        <f>_xlfn.TEXTAFTER(Table1[[#This Row],[condition]],"-")</f>
        <v>3g</v>
      </c>
      <c r="G11" s="1">
        <v>0.48838201014648602</v>
      </c>
      <c r="H11" s="1">
        <v>0.56311931871621901</v>
      </c>
      <c r="I11" s="1">
        <v>0.46972519286214798</v>
      </c>
      <c r="J11" s="1">
        <v>0.43321286869285902</v>
      </c>
      <c r="K11" s="1">
        <v>0.51992404733605901</v>
      </c>
      <c r="L11" s="1">
        <v>0.38199124572388199</v>
      </c>
      <c r="M11" s="1">
        <v>0.36713716387615403</v>
      </c>
      <c r="N11" s="1">
        <v>0.22177760406665101</v>
      </c>
      <c r="O11" s="1">
        <v>0.43178561471157501</v>
      </c>
      <c r="P11" s="1">
        <v>0.43637252039376501</v>
      </c>
      <c r="Q11" s="1">
        <v>0.54061662770726004</v>
      </c>
      <c r="R11" s="1">
        <v>0.43762284507777899</v>
      </c>
      <c r="S11" s="1">
        <v>0.34544876024636401</v>
      </c>
      <c r="T11" s="1">
        <f t="shared" si="1"/>
        <v>0.43362429381209239</v>
      </c>
      <c r="U11" s="3">
        <f t="shared" si="2"/>
        <v>9.1165233142293328E-2</v>
      </c>
      <c r="V11" s="1">
        <f>Table1[[#This Row],[average]]-SQRT(Table1[[#This Row],[stdev]])</f>
        <v>0.13168848417320023</v>
      </c>
    </row>
    <row r="12" spans="1:22" ht="30" customHeight="1">
      <c r="A12" t="s">
        <v>19</v>
      </c>
      <c r="B12" t="str">
        <f>_xlfn.TEXTBEFORE(Table1[[#This Row],[condition]],"-")</f>
        <v>english</v>
      </c>
      <c r="C12" t="b">
        <f>LEFT(Table1[[#This Row],[encoding]],3)=C$1</f>
        <v>0</v>
      </c>
      <c r="D12" t="b">
        <f>LEFT(Table1[[#This Row],[encoding]],2)=D$1</f>
        <v>1</v>
      </c>
      <c r="E12" t="b">
        <f t="shared" si="0"/>
        <v>0</v>
      </c>
      <c r="F12" t="str">
        <f>_xlfn.TEXTAFTER(Table1[[#This Row],[condition]],"-")</f>
        <v>sk2g</v>
      </c>
      <c r="G12" s="1">
        <v>0.56932451332801604</v>
      </c>
      <c r="H12" s="1">
        <v>0.48055063065652898</v>
      </c>
      <c r="I12" s="1">
        <v>0.60685310934650105</v>
      </c>
      <c r="J12" s="1">
        <v>0.45928175915284503</v>
      </c>
      <c r="K12" s="1">
        <v>0.38170748811841299</v>
      </c>
      <c r="L12" s="1">
        <v>0.31530927749806797</v>
      </c>
      <c r="M12" s="1">
        <v>0.49256238033760902</v>
      </c>
      <c r="N12" s="1">
        <v>0.42806833233668001</v>
      </c>
      <c r="O12" s="1">
        <v>0.66709981195963497</v>
      </c>
      <c r="P12" s="1">
        <v>0.59732710515819298</v>
      </c>
      <c r="Q12" s="1">
        <v>0.40934270756308999</v>
      </c>
      <c r="R12" s="1">
        <v>0.42843978703157998</v>
      </c>
      <c r="S12" s="1">
        <v>0.55688165974820403</v>
      </c>
      <c r="T12" s="1">
        <f t="shared" si="1"/>
        <v>0.4917498894027203</v>
      </c>
      <c r="U12" s="3">
        <f t="shared" si="2"/>
        <v>0.10193061401237075</v>
      </c>
      <c r="V12" s="1">
        <f>Table1[[#This Row],[average]]-SQRT(Table1[[#This Row],[stdev]])</f>
        <v>0.17248414740654128</v>
      </c>
    </row>
    <row r="13" spans="1:22" ht="30" customHeight="1">
      <c r="A13" t="s">
        <v>20</v>
      </c>
      <c r="B13" t="str">
        <f>_xlfn.TEXTBEFORE(Table1[[#This Row],[condition]],"-")</f>
        <v>english</v>
      </c>
      <c r="C13" t="b">
        <f>LEFT(Table1[[#This Row],[encoding]],3)=C$1</f>
        <v>0</v>
      </c>
      <c r="D13" t="b">
        <f>LEFT(Table1[[#This Row],[encoding]],2)=D$1</f>
        <v>1</v>
      </c>
      <c r="E13" t="b">
        <f t="shared" si="0"/>
        <v>0</v>
      </c>
      <c r="F13" t="str">
        <f>_xlfn.TEXTAFTER(Table1[[#This Row],[condition]],"-")</f>
        <v>sk3g</v>
      </c>
      <c r="G13" s="1">
        <v>0.50062086834050801</v>
      </c>
      <c r="H13" s="1">
        <v>0.61522247584441903</v>
      </c>
      <c r="I13" s="1">
        <v>0.74741757679187004</v>
      </c>
      <c r="J13" s="1">
        <v>0.35436370483832202</v>
      </c>
      <c r="K13" s="1">
        <v>0.50076073913614005</v>
      </c>
      <c r="L13" s="1">
        <v>0.22956483027029501</v>
      </c>
      <c r="M13" s="1">
        <v>0.34486682270145103</v>
      </c>
      <c r="N13" s="1">
        <v>0.22755536015734501</v>
      </c>
      <c r="O13" s="1">
        <v>0.57719100609473495</v>
      </c>
      <c r="P13" s="1">
        <v>0.32654877499422102</v>
      </c>
      <c r="Q13" s="1">
        <v>0.30799182063174202</v>
      </c>
      <c r="R13" s="1">
        <v>0.45992013096648499</v>
      </c>
      <c r="S13" s="1">
        <v>0.50604354457975298</v>
      </c>
      <c r="T13" s="1">
        <f t="shared" si="1"/>
        <v>0.4383128965651758</v>
      </c>
      <c r="U13" s="3">
        <f t="shared" si="2"/>
        <v>0.15604889540419781</v>
      </c>
      <c r="V13" s="1">
        <f>Table1[[#This Row],[average]]-SQRT(Table1[[#This Row],[stdev]])</f>
        <v>4.3282650376105125E-2</v>
      </c>
    </row>
    <row r="14" spans="1:22" ht="30" customHeight="1">
      <c r="A14" t="s">
        <v>39</v>
      </c>
      <c r="B14" t="str">
        <f>_xlfn.TEXTBEFORE(Table1[[#This Row],[condition]],"-")</f>
        <v>english</v>
      </c>
      <c r="C14" t="b">
        <f>LEFT(Table1[[#This Row],[encoding]],3)=C$1</f>
        <v>1</v>
      </c>
      <c r="D14" t="b">
        <f>LEFT(Table1[[#This Row],[encoding]],2)=D$1</f>
        <v>0</v>
      </c>
      <c r="E14" t="b">
        <f t="shared" si="0"/>
        <v>0</v>
      </c>
      <c r="F14" t="str">
        <f>_xlfn.TEXTAFTER(Table1[[#This Row],[condition]],"-")</f>
        <v>xsk2g</v>
      </c>
      <c r="G14" s="1">
        <v>0.60965118444940303</v>
      </c>
      <c r="H14" s="1">
        <v>0.42145254045890801</v>
      </c>
      <c r="I14" s="1">
        <v>0.59124588411297496</v>
      </c>
      <c r="J14" s="1">
        <v>0.49948849543033103</v>
      </c>
      <c r="K14" s="1">
        <v>0.55034304751983099</v>
      </c>
      <c r="L14" s="1">
        <v>0.53994529384483103</v>
      </c>
      <c r="M14" s="1">
        <v>0.73032522842201297</v>
      </c>
      <c r="N14" s="1">
        <v>0.57491788992188597</v>
      </c>
      <c r="O14" s="1">
        <v>0.55302644606229501</v>
      </c>
      <c r="P14" s="1">
        <v>0.440184647133878</v>
      </c>
      <c r="Q14" s="1">
        <v>0.44968350488963599</v>
      </c>
      <c r="R14" s="1">
        <v>0.345856384538613</v>
      </c>
      <c r="S14" s="1">
        <v>0.43109407985776399</v>
      </c>
      <c r="T14" s="1">
        <f t="shared" si="1"/>
        <v>0.51824727897248946</v>
      </c>
      <c r="U14" s="3">
        <f t="shared" si="2"/>
        <v>0.10100032892606477</v>
      </c>
      <c r="V14" s="1">
        <f>Table1[[#This Row],[average]]-SQRT(Table1[[#This Row],[stdev]])</f>
        <v>0.20044178983477057</v>
      </c>
    </row>
    <row r="15" spans="1:22" ht="30" customHeight="1">
      <c r="A15" t="s">
        <v>40</v>
      </c>
      <c r="B15" t="str">
        <f>_xlfn.TEXTBEFORE(Table1[[#This Row],[condition]],"-")</f>
        <v>english</v>
      </c>
      <c r="C15" t="b">
        <f>LEFT(Table1[[#This Row],[encoding]],3)=C$1</f>
        <v>1</v>
      </c>
      <c r="D15" t="b">
        <f>LEFT(Table1[[#This Row],[encoding]],2)=D$1</f>
        <v>0</v>
      </c>
      <c r="E15" t="b">
        <f t="shared" si="0"/>
        <v>0</v>
      </c>
      <c r="F15" t="str">
        <f>_xlfn.TEXTAFTER(Table1[[#This Row],[condition]],"-")</f>
        <v>xsk3g</v>
      </c>
      <c r="G15" s="1">
        <v>0.49654233031584399</v>
      </c>
      <c r="H15" s="1">
        <v>0.63932250876835905</v>
      </c>
      <c r="I15" s="1">
        <v>0.57406698023968505</v>
      </c>
      <c r="J15" s="1">
        <v>0.58285076005297098</v>
      </c>
      <c r="K15" s="1">
        <v>0.47079808776387699</v>
      </c>
      <c r="L15" s="1">
        <v>0.43501227677024201</v>
      </c>
      <c r="M15" s="1">
        <v>0.42304034041751198</v>
      </c>
      <c r="N15" s="1">
        <v>0.42414786414462702</v>
      </c>
      <c r="O15" s="1">
        <v>0.36659436235302001</v>
      </c>
      <c r="P15" s="1">
        <v>0.29016939310013001</v>
      </c>
      <c r="Q15" s="1">
        <v>0.22254914961229599</v>
      </c>
      <c r="R15" s="1">
        <v>0.42135213501362401</v>
      </c>
      <c r="S15" s="1">
        <v>0.477464226056869</v>
      </c>
      <c r="T15" s="1">
        <f t="shared" si="1"/>
        <v>0.44799310881608112</v>
      </c>
      <c r="U15" s="3">
        <f t="shared" si="2"/>
        <v>0.11505879906341876</v>
      </c>
      <c r="V15" s="1">
        <f>Table1[[#This Row],[average]]-SQRT(Table1[[#This Row],[stdev]])</f>
        <v>0.10878992624932105</v>
      </c>
    </row>
    <row r="16" spans="1:22" ht="30" customHeight="1">
      <c r="A16" t="s">
        <v>21</v>
      </c>
      <c r="B16" t="str">
        <f>_xlfn.TEXTBEFORE(Table1[[#This Row],[condition]],"-")</f>
        <v>french</v>
      </c>
      <c r="C16" t="b">
        <f>LEFT(Table1[[#This Row],[encoding]],3)=C$1</f>
        <v>0</v>
      </c>
      <c r="D16" t="b">
        <f>LEFT(Table1[[#This Row],[encoding]],2)=D$1</f>
        <v>0</v>
      </c>
      <c r="E16" t="b">
        <f t="shared" si="0"/>
        <v>1</v>
      </c>
      <c r="F16" t="str">
        <f>_xlfn.TEXTAFTER(Table1[[#This Row],[condition]],"-")</f>
        <v>1g</v>
      </c>
      <c r="G16" s="1">
        <v>1</v>
      </c>
      <c r="H16" s="1">
        <v>0.82343509724196096</v>
      </c>
      <c r="I16" s="1">
        <v>0.73805030091847501</v>
      </c>
      <c r="J16" s="1">
        <v>0.60114498847877795</v>
      </c>
      <c r="K16" s="1">
        <v>0.62115331979232902</v>
      </c>
      <c r="L16" s="1">
        <v>0.72833772976989597</v>
      </c>
      <c r="M16" s="1">
        <v>0.53225673273868701</v>
      </c>
      <c r="N16" s="1">
        <v>0.59086148360908897</v>
      </c>
      <c r="O16" s="1">
        <v>0.62478171149599504</v>
      </c>
      <c r="P16" s="1">
        <v>0.56978090597397502</v>
      </c>
      <c r="Q16" s="1">
        <v>0.38274515256360597</v>
      </c>
      <c r="R16" s="1">
        <v>0.63838193214806005</v>
      </c>
      <c r="S16" s="1">
        <v>0.68242109303004495</v>
      </c>
      <c r="T16" s="1">
        <f t="shared" si="1"/>
        <v>0.65641157290468422</v>
      </c>
      <c r="U16" s="3">
        <f t="shared" si="2"/>
        <v>0.14893989013183279</v>
      </c>
      <c r="V16" s="1">
        <f>Table1[[#This Row],[average]]-SQRT(Table1[[#This Row],[stdev]])</f>
        <v>0.27048426092504108</v>
      </c>
    </row>
    <row r="17" spans="1:22" ht="30" customHeight="1">
      <c r="A17" t="s">
        <v>22</v>
      </c>
      <c r="B17" t="str">
        <f>_xlfn.TEXTBEFORE(Table1[[#This Row],[condition]],"-")</f>
        <v>french</v>
      </c>
      <c r="C17" t="b">
        <f>LEFT(Table1[[#This Row],[encoding]],3)=C$1</f>
        <v>0</v>
      </c>
      <c r="D17" t="b">
        <f>LEFT(Table1[[#This Row],[encoding]],2)=D$1</f>
        <v>0</v>
      </c>
      <c r="E17" t="b">
        <f t="shared" si="0"/>
        <v>1</v>
      </c>
      <c r="F17" t="str">
        <f>_xlfn.TEXTAFTER(Table1[[#This Row],[condition]],"-")</f>
        <v>2g</v>
      </c>
      <c r="G17" s="1">
        <v>0.38055386759410798</v>
      </c>
      <c r="H17" s="1">
        <v>0.569406652765023</v>
      </c>
      <c r="I17" s="1">
        <v>0.51131015527350299</v>
      </c>
      <c r="J17" s="1">
        <v>0.14454733705115799</v>
      </c>
      <c r="K17" s="1">
        <v>0.40371785560450801</v>
      </c>
      <c r="L17" s="1">
        <v>0.39112601818274201</v>
      </c>
      <c r="M17" s="1">
        <v>0.32941164296130099</v>
      </c>
      <c r="N17" s="1">
        <v>0.25323534526213198</v>
      </c>
      <c r="O17" s="1">
        <v>0.25458608633575402</v>
      </c>
      <c r="P17" s="1">
        <v>0.39660751023200902</v>
      </c>
      <c r="Q17" s="1">
        <v>0</v>
      </c>
      <c r="R17" s="1">
        <v>0.22163979103303599</v>
      </c>
      <c r="S17" s="1">
        <v>0.590942513385735</v>
      </c>
      <c r="T17" s="1">
        <f t="shared" si="1"/>
        <v>0.34208344428315457</v>
      </c>
      <c r="U17" s="3">
        <f t="shared" si="2"/>
        <v>0.16811697219249036</v>
      </c>
      <c r="V17" s="1">
        <f>Table1[[#This Row],[average]]-SQRT(Table1[[#This Row],[stdev]])</f>
        <v>-6.793725299015424E-2</v>
      </c>
    </row>
    <row r="18" spans="1:22" ht="30" customHeight="1">
      <c r="A18" t="s">
        <v>23</v>
      </c>
      <c r="B18" t="str">
        <f>_xlfn.TEXTBEFORE(Table1[[#This Row],[condition]],"-")</f>
        <v>french</v>
      </c>
      <c r="C18" t="b">
        <f>LEFT(Table1[[#This Row],[encoding]],3)=C$1</f>
        <v>0</v>
      </c>
      <c r="D18" t="b">
        <f>LEFT(Table1[[#This Row],[encoding]],2)=D$1</f>
        <v>0</v>
      </c>
      <c r="E18" t="b">
        <f t="shared" si="0"/>
        <v>1</v>
      </c>
      <c r="F18" t="str">
        <f>_xlfn.TEXTAFTER(Table1[[#This Row],[condition]],"-")</f>
        <v>3g</v>
      </c>
      <c r="G18" s="1">
        <v>0.65613638816046105</v>
      </c>
      <c r="H18" s="1">
        <v>0.32591262339001398</v>
      </c>
      <c r="I18" s="1">
        <v>0.61035076164203705</v>
      </c>
      <c r="J18" s="1">
        <v>0.45708724563866199</v>
      </c>
      <c r="K18" s="1">
        <v>0.40553303108398198</v>
      </c>
      <c r="L18" s="1">
        <v>0.33223279697987002</v>
      </c>
      <c r="M18" s="1">
        <v>0.29509455195216</v>
      </c>
      <c r="N18" s="1">
        <v>0.43540083874625102</v>
      </c>
      <c r="O18" s="1">
        <v>0.51038092117326395</v>
      </c>
      <c r="P18" s="1">
        <v>0.228092753604657</v>
      </c>
      <c r="Q18" s="1">
        <v>0</v>
      </c>
      <c r="R18" s="1">
        <v>0.28708461149194298</v>
      </c>
      <c r="S18" s="1">
        <v>0.20575135159432301</v>
      </c>
      <c r="T18" s="1">
        <f t="shared" si="1"/>
        <v>0.36531214426597103</v>
      </c>
      <c r="U18" s="3">
        <f t="shared" si="2"/>
        <v>0.17608208834569131</v>
      </c>
      <c r="V18" s="1">
        <f>Table1[[#This Row],[average]]-SQRT(Table1[[#This Row],[stdev]])</f>
        <v>-5.4309218805180637E-2</v>
      </c>
    </row>
    <row r="19" spans="1:22" ht="30" customHeight="1">
      <c r="A19" t="s">
        <v>24</v>
      </c>
      <c r="B19" t="str">
        <f>_xlfn.TEXTBEFORE(Table1[[#This Row],[condition]],"-")</f>
        <v>french</v>
      </c>
      <c r="C19" t="b">
        <f>LEFT(Table1[[#This Row],[encoding]],3)=C$1</f>
        <v>0</v>
      </c>
      <c r="D19" t="b">
        <f>LEFT(Table1[[#This Row],[encoding]],2)=D$1</f>
        <v>1</v>
      </c>
      <c r="E19" t="b">
        <f t="shared" si="0"/>
        <v>0</v>
      </c>
      <c r="F19" t="str">
        <f>_xlfn.TEXTAFTER(Table1[[#This Row],[condition]],"-")</f>
        <v>sk2g</v>
      </c>
      <c r="G19" s="1">
        <v>0.62053832570441803</v>
      </c>
      <c r="H19" s="1">
        <v>0.54366660579845905</v>
      </c>
      <c r="I19" s="1">
        <v>0.70219309410513997</v>
      </c>
      <c r="J19" s="1">
        <v>0.59971714721511404</v>
      </c>
      <c r="K19" s="1">
        <v>0.53546021391788201</v>
      </c>
      <c r="L19" s="1">
        <v>0.61260025229374504</v>
      </c>
      <c r="M19" s="1">
        <v>0.46772143414454398</v>
      </c>
      <c r="N19" s="1">
        <v>0.379801932788493</v>
      </c>
      <c r="O19" s="1">
        <v>0.56849378165931996</v>
      </c>
      <c r="P19" s="1">
        <v>0.39997936477650498</v>
      </c>
      <c r="Q19" s="1">
        <v>0.14379762962558701</v>
      </c>
      <c r="R19" s="1">
        <v>0.383634656102741</v>
      </c>
      <c r="S19" s="1">
        <v>0.38155999765298998</v>
      </c>
      <c r="T19" s="1">
        <f t="shared" si="1"/>
        <v>0.4876280335219183</v>
      </c>
      <c r="U19" s="3">
        <f t="shared" si="2"/>
        <v>0.14827965453973813</v>
      </c>
      <c r="V19" s="1">
        <f>Table1[[#This Row],[average]]-SQRT(Table1[[#This Row],[stdev]])</f>
        <v>0.10255706014202548</v>
      </c>
    </row>
    <row r="20" spans="1:22" ht="30" customHeight="1">
      <c r="A20" t="s">
        <v>25</v>
      </c>
      <c r="B20" t="str">
        <f>_xlfn.TEXTBEFORE(Table1[[#This Row],[condition]],"-")</f>
        <v>french</v>
      </c>
      <c r="C20" t="b">
        <f>LEFT(Table1[[#This Row],[encoding]],3)=C$1</f>
        <v>0</v>
      </c>
      <c r="D20" t="b">
        <f>LEFT(Table1[[#This Row],[encoding]],2)=D$1</f>
        <v>1</v>
      </c>
      <c r="E20" t="b">
        <f t="shared" si="0"/>
        <v>0</v>
      </c>
      <c r="F20" t="str">
        <f>_xlfn.TEXTAFTER(Table1[[#This Row],[condition]],"-")</f>
        <v>sk3g</v>
      </c>
      <c r="G20" s="1">
        <v>0.67639898726641101</v>
      </c>
      <c r="H20" s="1">
        <v>0.61554979271321097</v>
      </c>
      <c r="I20" s="1">
        <v>0.43449136606149402</v>
      </c>
      <c r="J20" s="1">
        <v>0.68160905093864299</v>
      </c>
      <c r="K20" s="1">
        <v>0.58203267317905005</v>
      </c>
      <c r="L20" s="1">
        <v>0.507837340868044</v>
      </c>
      <c r="M20" s="1">
        <v>0.42163621326362</v>
      </c>
      <c r="N20" s="1">
        <v>0.35833547560406998</v>
      </c>
      <c r="O20" s="1">
        <v>0.46124032968001599</v>
      </c>
      <c r="P20" s="1">
        <v>0.40167369325524999</v>
      </c>
      <c r="Q20" s="1">
        <v>0.68732766885194496</v>
      </c>
      <c r="R20" s="1">
        <v>0.41495544738409901</v>
      </c>
      <c r="S20" s="1">
        <v>0.38681237808306801</v>
      </c>
      <c r="T20" s="1">
        <f t="shared" si="1"/>
        <v>0.50999233978068625</v>
      </c>
      <c r="U20" s="3">
        <f t="shared" si="2"/>
        <v>0.12238944823482638</v>
      </c>
      <c r="V20" s="1">
        <f>Table1[[#This Row],[average]]-SQRT(Table1[[#This Row],[stdev]])</f>
        <v>0.16015030652163609</v>
      </c>
    </row>
    <row r="21" spans="1:22" ht="30" customHeight="1">
      <c r="A21" t="s">
        <v>41</v>
      </c>
      <c r="B21" t="str">
        <f>_xlfn.TEXTBEFORE(Table1[[#This Row],[condition]],"-")</f>
        <v>french</v>
      </c>
      <c r="C21" t="b">
        <f>LEFT(Table1[[#This Row],[encoding]],3)=C$1</f>
        <v>1</v>
      </c>
      <c r="D21" t="b">
        <f>LEFT(Table1[[#This Row],[encoding]],2)=D$1</f>
        <v>0</v>
      </c>
      <c r="E21" t="b">
        <f t="shared" si="0"/>
        <v>0</v>
      </c>
      <c r="F21" t="str">
        <f>_xlfn.TEXTAFTER(Table1[[#This Row],[condition]],"-")</f>
        <v>xsk2g</v>
      </c>
      <c r="G21" s="1">
        <v>0.71083369120332696</v>
      </c>
      <c r="H21" s="1">
        <v>0.71139499223605596</v>
      </c>
      <c r="I21" s="1">
        <v>0.58013962062881796</v>
      </c>
      <c r="J21" s="1">
        <v>0.35168560927742298</v>
      </c>
      <c r="K21" s="1">
        <v>0.508111089013775</v>
      </c>
      <c r="L21" s="1">
        <v>0.57110096043351699</v>
      </c>
      <c r="M21" s="1">
        <v>0.58701018088571499</v>
      </c>
      <c r="N21" s="1">
        <v>0.578348921063223</v>
      </c>
      <c r="O21" s="1">
        <v>0.404755226543216</v>
      </c>
      <c r="P21" s="1">
        <v>0.50600173522692404</v>
      </c>
      <c r="Q21" s="1">
        <v>0.67139297218743199</v>
      </c>
      <c r="R21" s="1">
        <v>0.41807781869396299</v>
      </c>
      <c r="S21" s="1">
        <v>0.46523451180110897</v>
      </c>
      <c r="T21" s="1">
        <f t="shared" si="1"/>
        <v>0.54339133301496134</v>
      </c>
      <c r="U21" s="3">
        <f t="shared" si="2"/>
        <v>0.1148604904325225</v>
      </c>
      <c r="V21" s="1">
        <f>Table1[[#This Row],[average]]-SQRT(Table1[[#This Row],[stdev]])</f>
        <v>0.20448059191559387</v>
      </c>
    </row>
    <row r="22" spans="1:22" ht="30" customHeight="1">
      <c r="A22" t="s">
        <v>42</v>
      </c>
      <c r="B22" t="str">
        <f>_xlfn.TEXTBEFORE(Table1[[#This Row],[condition]],"-")</f>
        <v>french</v>
      </c>
      <c r="C22" t="b">
        <f>LEFT(Table1[[#This Row],[encoding]],3)=C$1</f>
        <v>1</v>
      </c>
      <c r="D22" t="b">
        <f>LEFT(Table1[[#This Row],[encoding]],2)=D$1</f>
        <v>0</v>
      </c>
      <c r="E22" t="b">
        <f t="shared" si="0"/>
        <v>0</v>
      </c>
      <c r="F22" t="str">
        <f>_xlfn.TEXTAFTER(Table1[[#This Row],[condition]],"-")</f>
        <v>xsk3g</v>
      </c>
      <c r="G22" s="1">
        <v>0.46998858237670299</v>
      </c>
      <c r="H22" s="1">
        <v>0.47540921206711401</v>
      </c>
      <c r="I22" s="1">
        <v>0.5604767752259</v>
      </c>
      <c r="J22" s="1">
        <v>0.53586750572603703</v>
      </c>
      <c r="K22" s="1">
        <v>0.60317644241256196</v>
      </c>
      <c r="L22" s="1">
        <v>0.43308348539279201</v>
      </c>
      <c r="M22" s="1">
        <v>0.56763105819184001</v>
      </c>
      <c r="N22" s="1">
        <v>0.47381781495964098</v>
      </c>
      <c r="O22" s="1">
        <v>0.70650759186443901</v>
      </c>
      <c r="P22" s="1">
        <v>0.180262732128564</v>
      </c>
      <c r="Q22" s="1">
        <v>0.638621661853921</v>
      </c>
      <c r="R22" s="1">
        <v>0.34192502998549001</v>
      </c>
      <c r="S22" s="1">
        <v>0.16674169988007601</v>
      </c>
      <c r="T22" s="1">
        <f t="shared" si="1"/>
        <v>0.4733468916973137</v>
      </c>
      <c r="U22" s="3">
        <f t="shared" si="2"/>
        <v>0.16272138531434599</v>
      </c>
      <c r="V22" s="1">
        <f>Table1[[#This Row],[average]]-SQRT(Table1[[#This Row],[stdev]])</f>
        <v>6.9959503056634953E-2</v>
      </c>
    </row>
    <row r="23" spans="1:22" ht="30" customHeight="1">
      <c r="A23" t="s">
        <v>26</v>
      </c>
      <c r="B23" t="str">
        <f>_xlfn.TEXTBEFORE(Table1[[#This Row],[condition]],"-")</f>
        <v>german</v>
      </c>
      <c r="C23" t="b">
        <f>LEFT(Table1[[#This Row],[encoding]],3)=C$1</f>
        <v>0</v>
      </c>
      <c r="D23" t="b">
        <f>LEFT(Table1[[#This Row],[encoding]],2)=D$1</f>
        <v>0</v>
      </c>
      <c r="E23" t="b">
        <f t="shared" si="0"/>
        <v>1</v>
      </c>
      <c r="F23" t="str">
        <f>_xlfn.TEXTAFTER(Table1[[#This Row],[condition]],"-")</f>
        <v>1g</v>
      </c>
      <c r="G23" s="1">
        <v>1</v>
      </c>
      <c r="H23" s="1">
        <v>0.71998017214334598</v>
      </c>
      <c r="I23" s="1">
        <v>0.695772931352586</v>
      </c>
      <c r="J23" s="1">
        <v>0.79735144017417803</v>
      </c>
      <c r="K23" s="1">
        <v>0.79470341285568402</v>
      </c>
      <c r="L23" s="1">
        <v>0.76876466084145001</v>
      </c>
      <c r="M23" s="1">
        <v>0.54239108498988398</v>
      </c>
      <c r="N23" s="1">
        <v>0.74753645999836105</v>
      </c>
      <c r="O23" s="1">
        <v>0.72825197871357705</v>
      </c>
      <c r="P23" s="1">
        <v>0.58059494659154198</v>
      </c>
      <c r="Q23" s="1">
        <v>0.59485837733048896</v>
      </c>
      <c r="R23" s="1">
        <v>0.67916893219846597</v>
      </c>
      <c r="S23" s="1">
        <v>0.67881343597684696</v>
      </c>
      <c r="T23" s="1">
        <f t="shared" si="1"/>
        <v>0.71755291024357004</v>
      </c>
      <c r="U23" s="3">
        <f t="shared" si="2"/>
        <v>0.11679038331704608</v>
      </c>
      <c r="V23" s="1">
        <f>Table1[[#This Row],[average]]-SQRT(Table1[[#This Row],[stdev]])</f>
        <v>0.37580683006554361</v>
      </c>
    </row>
    <row r="24" spans="1:22" ht="30" customHeight="1">
      <c r="A24" t="s">
        <v>27</v>
      </c>
      <c r="B24" t="str">
        <f>_xlfn.TEXTBEFORE(Table1[[#This Row],[condition]],"-")</f>
        <v>german</v>
      </c>
      <c r="C24" t="b">
        <f>LEFT(Table1[[#This Row],[encoding]],3)=C$1</f>
        <v>0</v>
      </c>
      <c r="D24" t="b">
        <f>LEFT(Table1[[#This Row],[encoding]],2)=D$1</f>
        <v>0</v>
      </c>
      <c r="E24" t="b">
        <f t="shared" si="0"/>
        <v>1</v>
      </c>
      <c r="F24" t="str">
        <f>_xlfn.TEXTAFTER(Table1[[#This Row],[condition]],"-")</f>
        <v>2g</v>
      </c>
      <c r="G24" s="1">
        <v>0.59620138113468701</v>
      </c>
      <c r="H24" s="1">
        <v>0.53799243148856801</v>
      </c>
      <c r="I24" s="1">
        <v>0.46901929055263503</v>
      </c>
      <c r="J24" s="1">
        <v>0.65350178927070002</v>
      </c>
      <c r="K24" s="1">
        <v>0.27938314162152</v>
      </c>
      <c r="L24" s="1">
        <v>0.43517293345968699</v>
      </c>
      <c r="M24" s="1">
        <v>0.328611119309138</v>
      </c>
      <c r="N24" s="1">
        <v>0.32944321247472602</v>
      </c>
      <c r="O24" s="1">
        <v>0.53422175971713604</v>
      </c>
      <c r="P24" s="1">
        <v>0.52872876935838897</v>
      </c>
      <c r="Q24" s="1">
        <v>0.42479068347523702</v>
      </c>
      <c r="R24" s="1">
        <v>0.50105118616404698</v>
      </c>
      <c r="S24" s="1">
        <v>0.37713772182914201</v>
      </c>
      <c r="T24" s="1">
        <f t="shared" si="1"/>
        <v>0.46117349383504708</v>
      </c>
      <c r="U24" s="3">
        <f t="shared" si="2"/>
        <v>0.11169546967771862</v>
      </c>
      <c r="V24" s="1">
        <f>Table1[[#This Row],[average]]-SQRT(Table1[[#This Row],[stdev]])</f>
        <v>0.12696477210905949</v>
      </c>
    </row>
    <row r="25" spans="1:22" ht="30" customHeight="1">
      <c r="A25" t="s">
        <v>28</v>
      </c>
      <c r="B25" t="str">
        <f>_xlfn.TEXTBEFORE(Table1[[#This Row],[condition]],"-")</f>
        <v>german</v>
      </c>
      <c r="C25" t="b">
        <f>LEFT(Table1[[#This Row],[encoding]],3)=C$1</f>
        <v>0</v>
      </c>
      <c r="D25" t="b">
        <f>LEFT(Table1[[#This Row],[encoding]],2)=D$1</f>
        <v>0</v>
      </c>
      <c r="E25" t="b">
        <f t="shared" si="0"/>
        <v>1</v>
      </c>
      <c r="F25" t="str">
        <f>_xlfn.TEXTAFTER(Table1[[#This Row],[condition]],"-")</f>
        <v>3g</v>
      </c>
      <c r="G25" s="1">
        <v>0.59970441373952499</v>
      </c>
      <c r="H25" s="1">
        <v>0.55943584490868303</v>
      </c>
      <c r="I25" s="1">
        <v>0.51829680679940004</v>
      </c>
      <c r="J25" s="1">
        <v>0.67596892743794101</v>
      </c>
      <c r="K25" s="1">
        <v>0.57178747902607296</v>
      </c>
      <c r="L25" s="1">
        <v>0.43334160794606702</v>
      </c>
      <c r="M25" s="1">
        <v>0.65656850960406099</v>
      </c>
      <c r="N25" s="1">
        <v>0.63932560850068698</v>
      </c>
      <c r="O25" s="1">
        <v>0.21000753619395399</v>
      </c>
      <c r="P25" s="1">
        <v>0.35249887493906501</v>
      </c>
      <c r="Q25" s="1">
        <v>0.57921213757388001</v>
      </c>
      <c r="R25" s="1">
        <v>0.22333423280835701</v>
      </c>
      <c r="S25" s="1">
        <v>0.351693122570572</v>
      </c>
      <c r="T25" s="1">
        <f t="shared" si="1"/>
        <v>0.49009039246525121</v>
      </c>
      <c r="U25" s="3">
        <f t="shared" si="2"/>
        <v>0.16012614278761877</v>
      </c>
      <c r="V25" s="1">
        <f>Table1[[#This Row],[average]]-SQRT(Table1[[#This Row],[stdev]])</f>
        <v>8.9932745046613471E-2</v>
      </c>
    </row>
    <row r="26" spans="1:22" ht="30" customHeight="1">
      <c r="A26" t="s">
        <v>29</v>
      </c>
      <c r="B26" t="str">
        <f>_xlfn.TEXTBEFORE(Table1[[#This Row],[condition]],"-")</f>
        <v>german</v>
      </c>
      <c r="C26" t="b">
        <f>LEFT(Table1[[#This Row],[encoding]],3)=C$1</f>
        <v>0</v>
      </c>
      <c r="D26" t="b">
        <f>LEFT(Table1[[#This Row],[encoding]],2)=D$1</f>
        <v>1</v>
      </c>
      <c r="E26" t="b">
        <f t="shared" si="0"/>
        <v>0</v>
      </c>
      <c r="F26" t="str">
        <f>_xlfn.TEXTAFTER(Table1[[#This Row],[condition]],"-")</f>
        <v>sk2g</v>
      </c>
      <c r="G26" s="1">
        <v>0.75084651012992298</v>
      </c>
      <c r="H26" s="1">
        <v>0.53513544631274801</v>
      </c>
      <c r="I26" s="1">
        <v>0.60891176616922205</v>
      </c>
      <c r="J26" s="1">
        <v>0.54152915793172496</v>
      </c>
      <c r="K26" s="1">
        <v>0.57719174250826299</v>
      </c>
      <c r="L26" s="1">
        <v>0.53127112990087699</v>
      </c>
      <c r="M26" s="1">
        <v>0.51610139431381497</v>
      </c>
      <c r="N26" s="1">
        <v>0.297611016440612</v>
      </c>
      <c r="O26" s="1">
        <v>0.29832838918927401</v>
      </c>
      <c r="P26" s="1">
        <v>0.45764636017034899</v>
      </c>
      <c r="Q26" s="1">
        <v>0.47720072478549802</v>
      </c>
      <c r="R26" s="1">
        <v>0.58717103312894803</v>
      </c>
      <c r="S26" s="1">
        <v>0.396812588597236</v>
      </c>
      <c r="T26" s="1">
        <f t="shared" si="1"/>
        <v>0.50582748150603785</v>
      </c>
      <c r="U26" s="3">
        <f t="shared" si="2"/>
        <v>0.1247303599991173</v>
      </c>
      <c r="V26" s="1">
        <f>Table1[[#This Row],[average]]-SQRT(Table1[[#This Row],[stdev]])</f>
        <v>0.1526556253239274</v>
      </c>
    </row>
    <row r="27" spans="1:22" ht="30" customHeight="1">
      <c r="A27" t="s">
        <v>30</v>
      </c>
      <c r="B27" t="str">
        <f>_xlfn.TEXTBEFORE(Table1[[#This Row],[condition]],"-")</f>
        <v>german</v>
      </c>
      <c r="C27" t="b">
        <f>LEFT(Table1[[#This Row],[encoding]],3)=C$1</f>
        <v>0</v>
      </c>
      <c r="D27" t="b">
        <f>LEFT(Table1[[#This Row],[encoding]],2)=D$1</f>
        <v>1</v>
      </c>
      <c r="E27" t="b">
        <f t="shared" si="0"/>
        <v>0</v>
      </c>
      <c r="F27" t="str">
        <f>_xlfn.TEXTAFTER(Table1[[#This Row],[condition]],"-")</f>
        <v>sk3g</v>
      </c>
      <c r="G27" s="1">
        <v>0.61435197776716599</v>
      </c>
      <c r="H27" s="1">
        <v>0.61698208330470194</v>
      </c>
      <c r="I27" s="1">
        <v>0.66249763415099205</v>
      </c>
      <c r="J27" s="1">
        <v>0.55730728123405104</v>
      </c>
      <c r="K27" s="1">
        <v>0.53958729362717395</v>
      </c>
      <c r="L27" s="1">
        <v>0.540473173835475</v>
      </c>
      <c r="M27" s="1">
        <v>0.43634929911918602</v>
      </c>
      <c r="N27" s="1">
        <v>0.47815059294519302</v>
      </c>
      <c r="O27" s="1">
        <v>0.50879627493142998</v>
      </c>
      <c r="P27" s="1">
        <v>0.59214047694354699</v>
      </c>
      <c r="Q27" s="1">
        <v>0.22080114356834801</v>
      </c>
      <c r="R27" s="1">
        <v>0.30975067280558599</v>
      </c>
      <c r="S27" s="1">
        <v>0.49746961033695197</v>
      </c>
      <c r="T27" s="1">
        <f t="shared" si="1"/>
        <v>0.50574288573613857</v>
      </c>
      <c r="U27" s="3">
        <f t="shared" si="2"/>
        <v>0.12465837694810723</v>
      </c>
      <c r="V27" s="1">
        <f>Table1[[#This Row],[average]]-SQRT(Table1[[#This Row],[stdev]])</f>
        <v>0.1526729536432071</v>
      </c>
    </row>
    <row r="28" spans="1:22" ht="30" customHeight="1">
      <c r="A28" t="s">
        <v>43</v>
      </c>
      <c r="B28" t="str">
        <f>_xlfn.TEXTBEFORE(Table1[[#This Row],[condition]],"-")</f>
        <v>german</v>
      </c>
      <c r="C28" t="b">
        <f>LEFT(Table1[[#This Row],[encoding]],3)=C$1</f>
        <v>1</v>
      </c>
      <c r="D28" t="b">
        <f>LEFT(Table1[[#This Row],[encoding]],2)=D$1</f>
        <v>0</v>
      </c>
      <c r="E28" t="b">
        <f t="shared" si="0"/>
        <v>0</v>
      </c>
      <c r="F28" t="str">
        <f>_xlfn.TEXTAFTER(Table1[[#This Row],[condition]],"-")</f>
        <v>xsk2g</v>
      </c>
      <c r="G28" s="1">
        <v>0.81655107608211097</v>
      </c>
      <c r="H28" s="1">
        <v>0.73179516452892301</v>
      </c>
      <c r="I28" s="1">
        <v>0.49062575388934199</v>
      </c>
      <c r="J28" s="1">
        <v>0.50460880863436097</v>
      </c>
      <c r="K28" s="1">
        <v>0.550442232146374</v>
      </c>
      <c r="L28" s="1">
        <v>0.34353349037866099</v>
      </c>
      <c r="M28" s="1">
        <v>0.56262423268324802</v>
      </c>
      <c r="N28" s="1">
        <v>0.39779742454338102</v>
      </c>
      <c r="O28" s="1">
        <v>0.56783610830023801</v>
      </c>
      <c r="P28" s="1">
        <v>0.25619009044129099</v>
      </c>
      <c r="Q28" s="1">
        <v>0.46227218781582302</v>
      </c>
      <c r="R28" s="1">
        <v>0.37273731171505098</v>
      </c>
      <c r="S28" s="1">
        <v>0.26062267705833803</v>
      </c>
      <c r="T28" s="1">
        <f t="shared" si="1"/>
        <v>0.48597204293978008</v>
      </c>
      <c r="U28" s="3">
        <f t="shared" si="2"/>
        <v>0.16629380462480811</v>
      </c>
      <c r="V28" s="1">
        <f>Table1[[#This Row],[average]]-SQRT(Table1[[#This Row],[stdev]])</f>
        <v>7.8180669042773654E-2</v>
      </c>
    </row>
    <row r="29" spans="1:22" ht="30" customHeight="1">
      <c r="A29" t="s">
        <v>44</v>
      </c>
      <c r="B29" t="str">
        <f>_xlfn.TEXTBEFORE(Table1[[#This Row],[condition]],"-")</f>
        <v>german</v>
      </c>
      <c r="C29" t="b">
        <f>LEFT(Table1[[#This Row],[encoding]],3)=C$1</f>
        <v>1</v>
      </c>
      <c r="D29" t="b">
        <f>LEFT(Table1[[#This Row],[encoding]],2)=D$1</f>
        <v>0</v>
      </c>
      <c r="E29" t="b">
        <f t="shared" si="0"/>
        <v>0</v>
      </c>
      <c r="F29" t="str">
        <f>_xlfn.TEXTAFTER(Table1[[#This Row],[condition]],"-")</f>
        <v>xsk3g</v>
      </c>
      <c r="G29" s="1">
        <v>0.66236140880956895</v>
      </c>
      <c r="H29" s="1">
        <v>0.59923415221357301</v>
      </c>
      <c r="I29" s="1">
        <v>0.56139553838143097</v>
      </c>
      <c r="J29" s="1">
        <v>0.56990364450026598</v>
      </c>
      <c r="K29" s="1">
        <v>0.53164221667073797</v>
      </c>
      <c r="L29" s="1">
        <v>0.57003335662468202</v>
      </c>
      <c r="M29" s="1">
        <v>0.39534832727779501</v>
      </c>
      <c r="N29" s="1">
        <v>0.49640921833632201</v>
      </c>
      <c r="O29" s="1">
        <v>0.22348672569255701</v>
      </c>
      <c r="P29" s="1">
        <v>0.24765380366321299</v>
      </c>
      <c r="Q29" s="1">
        <v>0.44918533181454501</v>
      </c>
      <c r="R29" s="1">
        <v>0.413045644818473</v>
      </c>
      <c r="S29" s="1">
        <v>0.38782829447651401</v>
      </c>
      <c r="T29" s="1">
        <f t="shared" si="1"/>
        <v>0.46980982025228291</v>
      </c>
      <c r="U29" s="3">
        <f t="shared" si="2"/>
        <v>0.13315104459045918</v>
      </c>
      <c r="V29" s="1">
        <f>Table1[[#This Row],[average]]-SQRT(Table1[[#This Row],[stdev]])</f>
        <v>0.10491114309592603</v>
      </c>
    </row>
    <row r="30" spans="1:22" ht="30" customHeight="1">
      <c r="A30" t="s">
        <v>31</v>
      </c>
      <c r="B30" t="str">
        <f>_xlfn.TEXTBEFORE(Table1[[#This Row],[condition]],"-")</f>
        <v>russian</v>
      </c>
      <c r="C30" t="b">
        <f>LEFT(Table1[[#This Row],[encoding]],3)=C$1</f>
        <v>0</v>
      </c>
      <c r="D30" t="b">
        <f>LEFT(Table1[[#This Row],[encoding]],2)=D$1</f>
        <v>0</v>
      </c>
      <c r="E30" t="b">
        <f t="shared" si="0"/>
        <v>1</v>
      </c>
      <c r="F30" t="str">
        <f>_xlfn.TEXTAFTER(Table1[[#This Row],[condition]],"-")</f>
        <v>1g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f t="shared" si="1"/>
        <v>1</v>
      </c>
      <c r="U30" s="3">
        <f t="shared" si="2"/>
        <v>0</v>
      </c>
      <c r="V30" s="1">
        <f>Table1[[#This Row],[average]]-SQRT(Table1[[#This Row],[stdev]])</f>
        <v>1</v>
      </c>
    </row>
    <row r="31" spans="1:22" ht="30" customHeight="1">
      <c r="A31" t="s">
        <v>32</v>
      </c>
      <c r="B31" t="str">
        <f>_xlfn.TEXTBEFORE(Table1[[#This Row],[condition]],"-")</f>
        <v>russian</v>
      </c>
      <c r="C31" t="b">
        <f>LEFT(Table1[[#This Row],[encoding]],3)=C$1</f>
        <v>0</v>
      </c>
      <c r="D31" t="b">
        <f>LEFT(Table1[[#This Row],[encoding]],2)=D$1</f>
        <v>0</v>
      </c>
      <c r="E31" t="b">
        <f t="shared" si="0"/>
        <v>1</v>
      </c>
      <c r="F31" t="str">
        <f>_xlfn.TEXTAFTER(Table1[[#This Row],[condition]],"-")</f>
        <v>2g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f t="shared" si="1"/>
        <v>1</v>
      </c>
      <c r="U31" s="3">
        <f t="shared" si="2"/>
        <v>0</v>
      </c>
      <c r="V31" s="1">
        <f>Table1[[#This Row],[average]]-SQRT(Table1[[#This Row],[stdev]])</f>
        <v>1</v>
      </c>
    </row>
    <row r="32" spans="1:22" ht="30" customHeight="1">
      <c r="A32" t="s">
        <v>33</v>
      </c>
      <c r="B32" t="str">
        <f>_xlfn.TEXTBEFORE(Table1[[#This Row],[condition]],"-")</f>
        <v>russian</v>
      </c>
      <c r="C32" t="b">
        <f>LEFT(Table1[[#This Row],[encoding]],3)=C$1</f>
        <v>0</v>
      </c>
      <c r="D32" t="b">
        <f>LEFT(Table1[[#This Row],[encoding]],2)=D$1</f>
        <v>0</v>
      </c>
      <c r="E32" t="b">
        <f t="shared" si="0"/>
        <v>1</v>
      </c>
      <c r="F32" t="str">
        <f>_xlfn.TEXTAFTER(Table1[[#This Row],[condition]],"-")</f>
        <v>3g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0.93517015324375397</v>
      </c>
      <c r="P32" s="1">
        <v>1</v>
      </c>
      <c r="Q32" s="1">
        <v>1</v>
      </c>
      <c r="R32" s="1">
        <v>1</v>
      </c>
      <c r="S32" s="1">
        <v>1</v>
      </c>
      <c r="T32" s="1">
        <f t="shared" si="1"/>
        <v>0.99501308871105798</v>
      </c>
      <c r="U32" s="3">
        <f t="shared" si="2"/>
        <v>1.7980564358470605E-2</v>
      </c>
      <c r="V32" s="1">
        <f>Table1[[#This Row],[average]]-SQRT(Table1[[#This Row],[stdev]])</f>
        <v>0.86092146198339614</v>
      </c>
    </row>
    <row r="33" spans="1:22" ht="30" customHeight="1">
      <c r="A33" t="s">
        <v>34</v>
      </c>
      <c r="B33" t="str">
        <f>_xlfn.TEXTBEFORE(Table1[[#This Row],[condition]],"-")</f>
        <v>russian</v>
      </c>
      <c r="C33" t="b">
        <f>LEFT(Table1[[#This Row],[encoding]],3)=C$1</f>
        <v>0</v>
      </c>
      <c r="D33" t="b">
        <f>LEFT(Table1[[#This Row],[encoding]],2)=D$1</f>
        <v>1</v>
      </c>
      <c r="E33" t="b">
        <f t="shared" si="0"/>
        <v>0</v>
      </c>
      <c r="F33" t="str">
        <f>_xlfn.TEXTAFTER(Table1[[#This Row],[condition]],"-")</f>
        <v>sk2g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0.98715481656402704</v>
      </c>
      <c r="O33" s="1">
        <v>0.96859602621111196</v>
      </c>
      <c r="P33" s="1">
        <v>0.83803650669021901</v>
      </c>
      <c r="Q33" s="1">
        <v>1</v>
      </c>
      <c r="R33" s="1">
        <v>0.97305693448466801</v>
      </c>
      <c r="S33" s="1">
        <v>0.88119019278623101</v>
      </c>
      <c r="T33" s="1">
        <f t="shared" si="1"/>
        <v>0.97292572897971208</v>
      </c>
      <c r="U33" s="3">
        <f t="shared" si="2"/>
        <v>5.2198236380840195E-2</v>
      </c>
      <c r="V33" s="1">
        <f>Table1[[#This Row],[average]]-SQRT(Table1[[#This Row],[stdev]])</f>
        <v>0.74445639541207509</v>
      </c>
    </row>
    <row r="34" spans="1:22" ht="30" customHeight="1">
      <c r="A34" t="s">
        <v>35</v>
      </c>
      <c r="B34" t="str">
        <f>_xlfn.TEXTBEFORE(Table1[[#This Row],[condition]],"-")</f>
        <v>russian</v>
      </c>
      <c r="C34" t="b">
        <f>LEFT(Table1[[#This Row],[encoding]],3)=C$1</f>
        <v>0</v>
      </c>
      <c r="D34" t="b">
        <f>LEFT(Table1[[#This Row],[encoding]],2)=D$1</f>
        <v>1</v>
      </c>
      <c r="E34" t="b">
        <f t="shared" si="0"/>
        <v>0</v>
      </c>
      <c r="F34" t="str">
        <f>_xlfn.TEXTAFTER(Table1[[#This Row],[condition]],"-")</f>
        <v>sk3g</v>
      </c>
      <c r="G34" s="1">
        <v>1</v>
      </c>
      <c r="H34" s="1">
        <v>1</v>
      </c>
      <c r="I34" s="1">
        <v>0.99393046577834099</v>
      </c>
      <c r="J34" s="1">
        <v>0.92352859833798395</v>
      </c>
      <c r="K34" s="1">
        <v>0.98073809877498197</v>
      </c>
      <c r="L34" s="1">
        <v>0.90161398730822195</v>
      </c>
      <c r="M34" s="1">
        <v>0.86629460948772496</v>
      </c>
      <c r="N34" s="1">
        <v>0.99694181975586305</v>
      </c>
      <c r="O34" s="1">
        <v>0.97045999955936901</v>
      </c>
      <c r="P34" s="1">
        <v>0.99186848520161297</v>
      </c>
      <c r="Q34" s="1">
        <v>0.73751540873754495</v>
      </c>
      <c r="R34" s="1">
        <v>0.99574406425430495</v>
      </c>
      <c r="S34" s="1">
        <v>0.83411375948060396</v>
      </c>
      <c r="T34" s="1">
        <f t="shared" si="1"/>
        <v>0.93790379205204233</v>
      </c>
      <c r="U34" s="3">
        <f t="shared" si="2"/>
        <v>8.2192898527714262E-2</v>
      </c>
      <c r="V34" s="1">
        <f>Table1[[#This Row],[average]]-SQRT(Table1[[#This Row],[stdev]])</f>
        <v>0.65121075319739163</v>
      </c>
    </row>
    <row r="35" spans="1:22" ht="30" customHeight="1">
      <c r="A35" t="s">
        <v>45</v>
      </c>
      <c r="B35" t="str">
        <f>_xlfn.TEXTBEFORE(Table1[[#This Row],[condition]],"-")</f>
        <v>russian</v>
      </c>
      <c r="C35" t="b">
        <f>LEFT(Table1[[#This Row],[encoding]],3)=C$1</f>
        <v>1</v>
      </c>
      <c r="D35" t="b">
        <f>LEFT(Table1[[#This Row],[encoding]],2)=D$1</f>
        <v>0</v>
      </c>
      <c r="E35" t="b">
        <f t="shared" si="0"/>
        <v>0</v>
      </c>
      <c r="F35" t="str">
        <f>_xlfn.TEXTAFTER(Table1[[#This Row],[condition]],"-")</f>
        <v>xsk2g</v>
      </c>
      <c r="G35" s="1">
        <v>0.94562001698312204</v>
      </c>
      <c r="H35" s="1">
        <v>1</v>
      </c>
      <c r="I35" s="1">
        <v>1</v>
      </c>
      <c r="J35" s="1">
        <v>1</v>
      </c>
      <c r="K35" s="1">
        <v>1</v>
      </c>
      <c r="L35" s="1">
        <v>0.99561361315584596</v>
      </c>
      <c r="M35" s="1">
        <v>1</v>
      </c>
      <c r="N35" s="1">
        <v>0.827970413848088</v>
      </c>
      <c r="O35" s="1">
        <v>1</v>
      </c>
      <c r="P35" s="1">
        <v>1</v>
      </c>
      <c r="Q35" s="1">
        <v>1</v>
      </c>
      <c r="R35" s="1">
        <v>0.83905049565259904</v>
      </c>
      <c r="S35" s="1">
        <v>1</v>
      </c>
      <c r="T35" s="1">
        <f t="shared" si="1"/>
        <v>0.96986573381843499</v>
      </c>
      <c r="U35" s="3">
        <f t="shared" si="2"/>
        <v>6.2363439092826586E-2</v>
      </c>
      <c r="V35" s="1">
        <f>Table1[[#This Row],[average]]-SQRT(Table1[[#This Row],[stdev]])</f>
        <v>0.72013900498704497</v>
      </c>
    </row>
    <row r="36" spans="1:22" ht="30" customHeight="1">
      <c r="A36" t="s">
        <v>46</v>
      </c>
      <c r="B36" t="str">
        <f>_xlfn.TEXTBEFORE(Table1[[#This Row],[condition]],"-")</f>
        <v>russian</v>
      </c>
      <c r="C36" t="b">
        <f>LEFT(Table1[[#This Row],[encoding]],3)=C$1</f>
        <v>1</v>
      </c>
      <c r="D36" t="b">
        <f>LEFT(Table1[[#This Row],[encoding]],2)=D$1</f>
        <v>0</v>
      </c>
      <c r="E36" t="b">
        <f t="shared" si="0"/>
        <v>0</v>
      </c>
      <c r="F36" t="str">
        <f>_xlfn.TEXTAFTER(Table1[[#This Row],[condition]],"-")</f>
        <v>xsk3g</v>
      </c>
      <c r="G36" s="1">
        <v>0.99198467612891295</v>
      </c>
      <c r="H36" s="1">
        <v>0.99670749578332596</v>
      </c>
      <c r="I36" s="1">
        <v>1</v>
      </c>
      <c r="J36" s="1">
        <v>0.85200085414081395</v>
      </c>
      <c r="K36" s="1">
        <v>0.91263637133707598</v>
      </c>
      <c r="L36" s="1">
        <v>0.98887284321325497</v>
      </c>
      <c r="M36" s="1">
        <v>0.65432963616967299</v>
      </c>
      <c r="N36" s="1">
        <v>0.815952047261567</v>
      </c>
      <c r="O36" s="1">
        <v>0.744261422850515</v>
      </c>
      <c r="P36" s="1">
        <v>0.980733549429882</v>
      </c>
      <c r="Q36" s="1">
        <v>0.64072320190348397</v>
      </c>
      <c r="R36" s="1">
        <v>0.86776457725563405</v>
      </c>
      <c r="S36" s="1">
        <v>0.73977643429644302</v>
      </c>
      <c r="T36" s="1">
        <f t="shared" si="1"/>
        <v>0.86044177767466024</v>
      </c>
      <c r="U36" s="3">
        <f t="shared" si="2"/>
        <v>0.13227432923327967</v>
      </c>
      <c r="V36" s="1">
        <f>Table1[[#This Row],[average]]-SQRT(Table1[[#This Row],[stdev]])</f>
        <v>0.4967463979497046</v>
      </c>
    </row>
    <row r="39" spans="1:22" ht="30" customHeight="1">
      <c r="F39" t="s">
        <v>53</v>
      </c>
      <c r="G39" s="2">
        <f>_xlfn.LET(_xlpm.d,G$2:G$36,AVERAGE(_xlpm.d))</f>
        <v>0.78700097776954259</v>
      </c>
      <c r="H39" s="2">
        <f t="shared" ref="H39:T39" si="3">_xlfn.LET(_xlpm.d,H$2:H$36,AVERAGE(_xlpm.d))</f>
        <v>0.74671227200493162</v>
      </c>
      <c r="I39" s="2">
        <f t="shared" si="3"/>
        <v>0.74211364026177407</v>
      </c>
      <c r="J39" s="2">
        <f t="shared" si="3"/>
        <v>0.70975361494585287</v>
      </c>
      <c r="K39" s="2">
        <f t="shared" si="3"/>
        <v>0.69989132349016336</v>
      </c>
      <c r="L39" s="2">
        <f t="shared" si="3"/>
        <v>0.66741205490012301</v>
      </c>
      <c r="M39" s="2">
        <f t="shared" si="3"/>
        <v>0.64618606898036413</v>
      </c>
      <c r="N39" s="2">
        <f t="shared" si="3"/>
        <v>0.62504151029535793</v>
      </c>
      <c r="O39" s="2">
        <f t="shared" si="3"/>
        <v>0.64763349464048836</v>
      </c>
      <c r="P39" s="2">
        <f t="shared" si="3"/>
        <v>0.6174071235372538</v>
      </c>
      <c r="Q39" s="2">
        <f t="shared" si="3"/>
        <v>0.60719292225677035</v>
      </c>
      <c r="R39" s="2">
        <f t="shared" si="3"/>
        <v>0.62287611303004653</v>
      </c>
      <c r="S39" s="2">
        <f t="shared" si="3"/>
        <v>0.62775494684074085</v>
      </c>
      <c r="T39" s="2">
        <f t="shared" si="3"/>
        <v>0.67284431253487775</v>
      </c>
      <c r="U39">
        <f>_xlfn.LET(_xlpm.d,$G39:$S39,STDEV(_xlpm.d))</f>
        <v>5.8419759975202226E-2</v>
      </c>
    </row>
    <row r="40" spans="1:22" ht="30" customHeight="1">
      <c r="F40" t="s">
        <v>60</v>
      </c>
      <c r="G40" s="2">
        <f>_xlfn.LET(_xlpm.d,G$2:G$36,_xlpm.f,$E$2:$E$36,AVERAGE(_xlfn._xlws.FILTER(_xlpm.d,_xlpm.f)))</f>
        <v>0.80816031357797324</v>
      </c>
      <c r="H40" s="2">
        <f t="shared" ref="H40:T40" si="4">_xlfn.LET(_xlpm.d,H$2:H$36,_xlpm.f,$E$2:$E$36,AVERAGE(_xlfn._xlws.FILTER(_xlpm.d,_xlpm.f)))</f>
        <v>0.74864797091931834</v>
      </c>
      <c r="I40" s="2">
        <f t="shared" si="4"/>
        <v>0.73787969027538347</v>
      </c>
      <c r="J40" s="2">
        <f t="shared" si="4"/>
        <v>0.73528650382399618</v>
      </c>
      <c r="K40" s="2">
        <f t="shared" si="4"/>
        <v>0.69517432251565381</v>
      </c>
      <c r="L40" s="2">
        <f t="shared" si="4"/>
        <v>0.68195712400168917</v>
      </c>
      <c r="M40" s="2">
        <f t="shared" si="4"/>
        <v>0.66640942171440709</v>
      </c>
      <c r="N40" s="2">
        <f t="shared" si="4"/>
        <v>0.66088394807239603</v>
      </c>
      <c r="O40" s="2">
        <f t="shared" si="4"/>
        <v>0.65114875907960035</v>
      </c>
      <c r="P40" s="2">
        <f t="shared" si="4"/>
        <v>0.6521124870730205</v>
      </c>
      <c r="Q40" s="2">
        <f t="shared" si="4"/>
        <v>0.60996086005522654</v>
      </c>
      <c r="R40" s="2">
        <f t="shared" si="4"/>
        <v>0.64397807931489293</v>
      </c>
      <c r="S40" s="2">
        <f t="shared" si="4"/>
        <v>0.66365854262006252</v>
      </c>
      <c r="T40" s="2">
        <f t="shared" si="4"/>
        <v>0.68886600177258617</v>
      </c>
      <c r="U40">
        <f t="shared" ref="U40:U42" si="5">_xlfn.LET(_xlpm.d,$G40:$S40,STDEV(_xlpm.d))</f>
        <v>5.4303787746528102E-2</v>
      </c>
    </row>
    <row r="41" spans="1:22" ht="30" customHeight="1">
      <c r="F41" t="s">
        <v>51</v>
      </c>
      <c r="G41" s="2">
        <f>_xlfn.LET(_xlpm.d,G$2:G$36,_xlpm.f,$D$2:$D$36,AVERAGE(_xlfn._xlws.FILTER(_xlpm.d,_xlpm.f)))</f>
        <v>0.77215668126291837</v>
      </c>
      <c r="H41" s="2">
        <f t="shared" ref="H41:T41" si="6">_xlfn.LET(_xlpm.d,H$2:H$36,_xlpm.f,$D$2:$D$36,AVERAGE(_xlfn._xlws.FILTER(_xlpm.d,_xlpm.f)))</f>
        <v>0.73341717732735057</v>
      </c>
      <c r="I41" s="2">
        <f t="shared" si="6"/>
        <v>0.76796144971095193</v>
      </c>
      <c r="J41" s="2">
        <f t="shared" si="6"/>
        <v>0.71173366996486842</v>
      </c>
      <c r="K41" s="2">
        <f t="shared" si="6"/>
        <v>0.70850820203202258</v>
      </c>
      <c r="L41" s="2">
        <f t="shared" si="6"/>
        <v>0.66386699919747261</v>
      </c>
      <c r="M41" s="2">
        <f t="shared" si="6"/>
        <v>0.62143337874669047</v>
      </c>
      <c r="N41" s="2">
        <f t="shared" si="6"/>
        <v>0.59891591644318987</v>
      </c>
      <c r="O41" s="2">
        <f t="shared" si="6"/>
        <v>0.65718781995731423</v>
      </c>
      <c r="P41" s="2">
        <f t="shared" si="6"/>
        <v>0.62931626198195134</v>
      </c>
      <c r="Q41" s="2">
        <f t="shared" si="6"/>
        <v>0.59600081894268331</v>
      </c>
      <c r="R41" s="2">
        <f t="shared" si="6"/>
        <v>0.62925530366695925</v>
      </c>
      <c r="S41" s="2">
        <f t="shared" si="6"/>
        <v>0.62957260203375298</v>
      </c>
      <c r="T41" s="2">
        <f t="shared" si="6"/>
        <v>0.67071740625139431</v>
      </c>
      <c r="U41">
        <f t="shared" si="5"/>
        <v>6.1448515746596662E-2</v>
      </c>
    </row>
    <row r="42" spans="1:22" ht="30" customHeight="1">
      <c r="F42" t="s">
        <v>50</v>
      </c>
      <c r="G42" s="2">
        <f>_xlfn.LET(_xlpm.d,G$2:G$36,_xlpm.f,$C$2:$C$36,AVERAGE(_xlfn._xlws.FILTER(_xlpm.d,_xlpm.f)))</f>
        <v>0.77010627056352177</v>
      </c>
      <c r="H42" s="2">
        <f t="shared" ref="H42:T42" si="7">_xlfn.LET(_xlpm.d,H$2:H$36,_xlpm.f,$C$2:$C$36,AVERAGE(_xlfn._xlws.FILTER(_xlpm.d,_xlpm.f)))</f>
        <v>0.75710381831093332</v>
      </c>
      <c r="I42" s="2">
        <f t="shared" si="7"/>
        <v>0.72261675579218243</v>
      </c>
      <c r="J42" s="2">
        <f t="shared" si="7"/>
        <v>0.66947422660962208</v>
      </c>
      <c r="K42" s="2">
        <f t="shared" si="7"/>
        <v>0.69834994641006853</v>
      </c>
      <c r="L42" s="2">
        <f t="shared" si="7"/>
        <v>0.64913950695042433</v>
      </c>
      <c r="M42" s="2">
        <f t="shared" si="7"/>
        <v>0.640603730112974</v>
      </c>
      <c r="N42" s="2">
        <f t="shared" si="7"/>
        <v>0.59740344748196827</v>
      </c>
      <c r="O42" s="2">
        <f t="shared" si="7"/>
        <v>0.63280627266499434</v>
      </c>
      <c r="P42" s="2">
        <f t="shared" si="7"/>
        <v>0.55343993978890615</v>
      </c>
      <c r="Q42" s="2">
        <f t="shared" si="7"/>
        <v>0.61423311887317344</v>
      </c>
      <c r="R42" s="2">
        <f t="shared" si="7"/>
        <v>0.58484397296586432</v>
      </c>
      <c r="S42" s="2">
        <f t="shared" si="7"/>
        <v>0.57208189797874631</v>
      </c>
      <c r="T42" s="2">
        <f t="shared" si="7"/>
        <v>0.6509386849617983</v>
      </c>
      <c r="U42">
        <f t="shared" si="5"/>
        <v>6.9489897893928301E-2</v>
      </c>
    </row>
    <row r="44" spans="1:22" ht="30" customHeight="1">
      <c r="F44" t="s">
        <v>53</v>
      </c>
      <c r="G44" s="2">
        <f>_xlfn.LET(_xlpm.d,G$2:G$36,AVERAGE(_xlpm.d))</f>
        <v>0.78700097776954259</v>
      </c>
      <c r="H44" s="2">
        <f t="shared" ref="H44:T44" si="8">_xlfn.LET(_xlpm.d,H$2:H$36,AVERAGE(_xlpm.d))</f>
        <v>0.74671227200493162</v>
      </c>
      <c r="I44" s="2">
        <f t="shared" si="8"/>
        <v>0.74211364026177407</v>
      </c>
      <c r="J44" s="2">
        <f t="shared" si="8"/>
        <v>0.70975361494585287</v>
      </c>
      <c r="K44" s="2">
        <f t="shared" si="8"/>
        <v>0.69989132349016336</v>
      </c>
      <c r="L44" s="2">
        <f t="shared" si="8"/>
        <v>0.66741205490012301</v>
      </c>
      <c r="M44" s="2">
        <f t="shared" si="8"/>
        <v>0.64618606898036413</v>
      </c>
      <c r="N44" s="2">
        <f t="shared" si="8"/>
        <v>0.62504151029535793</v>
      </c>
      <c r="O44" s="2">
        <f t="shared" si="8"/>
        <v>0.64763349464048836</v>
      </c>
      <c r="P44" s="2">
        <f t="shared" si="8"/>
        <v>0.6174071235372538</v>
      </c>
      <c r="Q44" s="2">
        <f t="shared" si="8"/>
        <v>0.60719292225677035</v>
      </c>
      <c r="R44" s="2">
        <f t="shared" si="8"/>
        <v>0.62287611303004653</v>
      </c>
      <c r="S44" s="2">
        <f t="shared" si="8"/>
        <v>0.62775494684074085</v>
      </c>
      <c r="T44" s="2">
        <f t="shared" si="8"/>
        <v>0.67284431253487775</v>
      </c>
    </row>
    <row r="45" spans="1:22" ht="30" customHeight="1">
      <c r="F45" t="s">
        <v>54</v>
      </c>
      <c r="G45" s="2" cm="1">
        <f t="array" ref="G45">_xlfn.LET(_xlpm.d,G$2:G$36,_xlpm.f,$B$2:$B$36,AVERAGE(_xlfn._xlws.FILTER(_xlpm.d,_xlpm.f=$F45)))</f>
        <v>0.9981450527684238</v>
      </c>
      <c r="H45" s="2" cm="1">
        <f t="array" ref="H45">_xlfn.LET(_xlpm.d,H$2:H$36,_xlpm.f,$B$2:$B$36,AVERAGE(_xlfn._xlws.FILTER(_xlpm.d,_xlpm.f=$F45)))</f>
        <v>0.98896955081378735</v>
      </c>
      <c r="I45" s="2" cm="1">
        <f t="array" ref="I45">_xlfn.LET(_xlpm.d,I$2:I$36,_xlpm.f,$B$2:$B$36,AVERAGE(_xlfn._xlws.FILTER(_xlpm.d,_xlpm.f=$F45)))</f>
        <v>0.97021949859280454</v>
      </c>
      <c r="J45" s="2" cm="1">
        <f t="array" ref="J45">_xlfn.LET(_xlpm.d,J$2:J$36,_xlpm.f,$B$2:$B$36,AVERAGE(_xlfn._xlws.FILTER(_xlpm.d,_xlpm.f=$F45)))</f>
        <v>0.97119094119057381</v>
      </c>
      <c r="K45" s="2" cm="1">
        <f t="array" ref="K45">_xlfn.LET(_xlpm.d,K$2:K$36,_xlpm.f,$B$2:$B$36,AVERAGE(_xlfn._xlws.FILTER(_xlpm.d,_xlpm.f=$F45)))</f>
        <v>0.97770767832782479</v>
      </c>
      <c r="L45" s="2" cm="1">
        <f t="array" ref="L45">_xlfn.LET(_xlpm.d,L$2:L$36,_xlpm.f,$B$2:$B$36,AVERAGE(_xlfn._xlws.FILTER(_xlpm.d,_xlpm.f=$F45)))</f>
        <v>0.94488567852720251</v>
      </c>
      <c r="M45" s="2" cm="1">
        <f t="array" ref="M45">_xlfn.LET(_xlpm.d,M$2:M$36,_xlpm.f,$B$2:$B$36,AVERAGE(_xlfn._xlws.FILTER(_xlpm.d,_xlpm.f=$F45)))</f>
        <v>0.8792185615972713</v>
      </c>
      <c r="N45" s="2" cm="1">
        <f t="array" ref="N45">_xlfn.LET(_xlpm.d,N$2:N$36,_xlpm.f,$B$2:$B$36,AVERAGE(_xlfn._xlws.FILTER(_xlpm.d,_xlpm.f=$F45)))</f>
        <v>0.88860181408293748</v>
      </c>
      <c r="O45" s="2" cm="1">
        <f t="array" ref="O45">_xlfn.LET(_xlpm.d,O$2:O$36,_xlpm.f,$B$2:$B$36,AVERAGE(_xlfn._xlws.FILTER(_xlpm.d,_xlpm.f=$F45)))</f>
        <v>0.90189534618170186</v>
      </c>
      <c r="P45" s="2" cm="1">
        <f t="array" ref="P45">_xlfn.LET(_xlpm.d,P$2:P$36,_xlpm.f,$B$2:$B$36,AVERAGE(_xlfn._xlws.FILTER(_xlpm.d,_xlpm.f=$F45)))</f>
        <v>0.9030207570563995</v>
      </c>
      <c r="Q45" s="2" cm="1">
        <f t="array" ref="Q45">_xlfn.LET(_xlpm.d,Q$2:Q$36,_xlpm.f,$B$2:$B$36,AVERAGE(_xlfn._xlws.FILTER(_xlpm.d,_xlpm.f=$F45)))</f>
        <v>0.94056203775966796</v>
      </c>
      <c r="R45" s="2" cm="1">
        <f t="array" ref="R45">_xlfn.LET(_xlpm.d,R$2:R$36,_xlpm.f,$B$2:$B$36,AVERAGE(_xlfn._xlws.FILTER(_xlpm.d,_xlpm.f=$F45)))</f>
        <v>0.93835866321376837</v>
      </c>
      <c r="S45" s="2" cm="1">
        <f t="array" ref="S45">_xlfn.LET(_xlpm.d,S$2:S$36,_xlpm.f,$B$2:$B$36,AVERAGE(_xlfn._xlws.FILTER(_xlpm.d,_xlpm.f=$F45)))</f>
        <v>0.9495570493475487</v>
      </c>
      <c r="T45" s="2" cm="1">
        <f t="array" ref="T45">_xlfn.LET(_xlpm.d,T$2:T$36,_xlpm.f,$B$2:$B$36,AVERAGE(_xlfn._xlws.FILTER(_xlpm.d,_xlpm.f=$F45)))</f>
        <v>0.94248712534307011</v>
      </c>
    </row>
    <row r="46" spans="1:22" ht="30" customHeight="1">
      <c r="F46" t="s">
        <v>55</v>
      </c>
      <c r="G46" s="2" cm="1">
        <f t="array" ref="G46">_xlfn.LET(_xlpm.d,G$2:G$36,_xlpm.f,$B$2:$B$36,AVERAGE(_xlfn._xlws.FILTER(_xlpm.d,_xlpm.f=$F46)))</f>
        <v>0.72000239538042587</v>
      </c>
      <c r="H46" s="2" cm="1">
        <f t="array" ref="H46">_xlfn.LET(_xlpm.d,H$2:H$36,_xlpm.f,$B$2:$B$36,AVERAGE(_xlfn._xlws.FILTER(_xlpm.d,_xlpm.f=$F46)))</f>
        <v>0.61436504212864906</v>
      </c>
      <c r="I46" s="2" cm="1">
        <f t="array" ref="I46">_xlfn.LET(_xlpm.d,I$2:I$36,_xlpm.f,$B$2:$B$36,AVERAGE(_xlfn._xlws.FILTER(_xlpm.d,_xlpm.f=$F46)))</f>
        <v>0.57235996018508684</v>
      </c>
      <c r="J46" s="2" cm="1">
        <f t="array" ref="J46">_xlfn.LET(_xlpm.d,J$2:J$36,_xlpm.f,$B$2:$B$36,AVERAGE(_xlfn._xlws.FILTER(_xlpm.d,_xlpm.f=$F46)))</f>
        <v>0.61431014988331756</v>
      </c>
      <c r="K46" s="2" cm="1">
        <f t="array" ref="K46">_xlfn.LET(_xlpm.d,K$2:K$36,_xlpm.f,$B$2:$B$36,AVERAGE(_xlfn._xlws.FILTER(_xlpm.d,_xlpm.f=$F46)))</f>
        <v>0.54924821692226078</v>
      </c>
      <c r="L46" s="2" cm="1">
        <f t="array" ref="L46">_xlfn.LET(_xlpm.d,L$2:L$36,_xlpm.f,$B$2:$B$36,AVERAGE(_xlfn._xlws.FILTER(_xlpm.d,_xlpm.f=$F46)))</f>
        <v>0.51751290756955703</v>
      </c>
      <c r="M46" s="2" cm="1">
        <f t="array" ref="M46">_xlfn.LET(_xlpm.d,M$2:M$36,_xlpm.f,$B$2:$B$36,AVERAGE(_xlfn._xlws.FILTER(_xlpm.d,_xlpm.f=$F46)))</f>
        <v>0.491141995328161</v>
      </c>
      <c r="N46" s="2" cm="1">
        <f t="array" ref="N46">_xlfn.LET(_xlpm.d,N$2:N$36,_xlpm.f,$B$2:$B$36,AVERAGE(_xlfn._xlws.FILTER(_xlpm.d,_xlpm.f=$F46)))</f>
        <v>0.48375336189132601</v>
      </c>
      <c r="O46" s="2" cm="1">
        <f t="array" ref="O46">_xlfn.LET(_xlpm.d,O$2:O$36,_xlpm.f,$B$2:$B$36,AVERAGE(_xlfn._xlws.FILTER(_xlpm.d,_xlpm.f=$F46)))</f>
        <v>0.43870411039116652</v>
      </c>
      <c r="P46" s="2" cm="1">
        <f t="array" ref="P46">_xlfn.LET(_xlpm.d,P$2:P$36,_xlpm.f,$B$2:$B$36,AVERAGE(_xlfn._xlws.FILTER(_xlpm.d,_xlpm.f=$F46)))</f>
        <v>0.43077904601534228</v>
      </c>
      <c r="Q46" s="2" cm="1">
        <f t="array" ref="Q46">_xlfn.LET(_xlpm.d,Q$2:Q$36,_xlpm.f,$B$2:$B$36,AVERAGE(_xlfn._xlws.FILTER(_xlpm.d,_xlpm.f=$F46)))</f>
        <v>0.4583315123376886</v>
      </c>
      <c r="R46" s="2" cm="1">
        <f t="array" ref="R46">_xlfn.LET(_xlpm.d,R$2:R$36,_xlpm.f,$B$2:$B$36,AVERAGE(_xlfn._xlws.FILTER(_xlpm.d,_xlpm.f=$F46)))</f>
        <v>0.44089414480556116</v>
      </c>
      <c r="S46" s="2" cm="1">
        <f t="array" ref="S46">_xlfn.LET(_xlpm.d,S$2:S$36,_xlpm.f,$B$2:$B$36,AVERAGE(_xlfn._xlws.FILTER(_xlpm.d,_xlpm.f=$F46)))</f>
        <v>0.42148249297794299</v>
      </c>
      <c r="T46" s="2" cm="1">
        <f t="array" ref="T46">_xlfn.LET(_xlpm.d,T$2:T$36,_xlpm.f,$B$2:$B$36,AVERAGE(_xlfn._xlws.FILTER(_xlpm.d,_xlpm.f=$F46)))</f>
        <v>0.5194527181397296</v>
      </c>
    </row>
    <row r="47" spans="1:22" ht="30" customHeight="1">
      <c r="F47" t="s">
        <v>56</v>
      </c>
      <c r="G47" s="2" cm="1">
        <f t="array" ref="G47">_xlfn.LET(_xlpm.d,G$2:G$36,_xlpm.f,$B$2:$B$36,AVERAGE(_xlfn._xlws.FILTER(_xlpm.d,_xlpm.f=$F47)))</f>
        <v>0.58084964992494126</v>
      </c>
      <c r="H47" s="2" cm="1">
        <f t="array" ref="H47">_xlfn.LET(_xlpm.d,H$2:H$36,_xlpm.f,$B$2:$B$36,AVERAGE(_xlfn._xlws.FILTER(_xlpm.d,_xlpm.f=$F47)))</f>
        <v>0.55001498536862781</v>
      </c>
      <c r="I47" s="2" cm="1">
        <f t="array" ref="I47">_xlfn.LET(_xlpm.d,I$2:I$36,_xlpm.f,$B$2:$B$36,AVERAGE(_xlfn._xlws.FILTER(_xlpm.d,_xlpm.f=$F47)))</f>
        <v>0.57785409401187804</v>
      </c>
      <c r="J47" s="2" cm="1">
        <f t="array" ref="J47">_xlfn.LET(_xlpm.d,J$2:J$36,_xlpm.f,$B$2:$B$36,AVERAGE(_xlfn._xlws.FILTER(_xlpm.d,_xlpm.f=$F47)))</f>
        <v>0.51366864982614224</v>
      </c>
      <c r="K47" s="2" cm="1">
        <f t="array" ref="K47">_xlfn.LET(_xlpm.d,K$2:K$36,_xlpm.f,$B$2:$B$36,AVERAGE(_xlfn._xlws.FILTER(_xlpm.d,_xlpm.f=$F47)))</f>
        <v>0.46499228004128218</v>
      </c>
      <c r="L47" s="2" cm="1">
        <f t="array" ref="L47">_xlfn.LET(_xlpm.d,L$2:L$36,_xlpm.f,$B$2:$B$36,AVERAGE(_xlfn._xlws.FILTER(_xlpm.d,_xlpm.f=$F47)))</f>
        <v>0.38003039874700867</v>
      </c>
      <c r="M47" s="2" cm="1">
        <f t="array" ref="M47">_xlfn.LET(_xlpm.d,M$2:M$36,_xlpm.f,$B$2:$B$36,AVERAGE(_xlfn._xlws.FILTER(_xlpm.d,_xlpm.f=$F47)))</f>
        <v>0.47180035086277983</v>
      </c>
      <c r="N47" s="2" cm="1">
        <f t="array" ref="N47">_xlfn.LET(_xlpm.d,N$2:N$36,_xlpm.f,$B$2:$B$36,AVERAGE(_xlfn._xlws.FILTER(_xlpm.d,_xlpm.f=$F47)))</f>
        <v>0.36744938843646197</v>
      </c>
      <c r="O47" s="2" cm="1">
        <f t="array" ref="O47">_xlfn.LET(_xlpm.d,O$2:O$36,_xlpm.f,$B$2:$B$36,AVERAGE(_xlfn._xlws.FILTER(_xlpm.d,_xlpm.f=$F47)))</f>
        <v>0.44767755225575101</v>
      </c>
      <c r="P47" s="2" cm="1">
        <f t="array" ref="P47">_xlfn.LET(_xlpm.d,P$2:P$36,_xlpm.f,$B$2:$B$36,AVERAGE(_xlfn._xlws.FILTER(_xlpm.d,_xlpm.f=$F47)))</f>
        <v>0.39708763796887042</v>
      </c>
      <c r="Q47" s="2" cm="1">
        <f t="array" ref="Q47">_xlfn.LET(_xlpm.d,Q$2:Q$36,_xlpm.f,$B$2:$B$36,AVERAGE(_xlfn._xlws.FILTER(_xlpm.d,_xlpm.f=$F47)))</f>
        <v>0.36533910465456426</v>
      </c>
      <c r="R47" s="2" cm="1">
        <f t="array" ref="R47">_xlfn.LET(_xlpm.d,R$2:R$36,_xlpm.f,$B$2:$B$36,AVERAGE(_xlfn._xlws.FILTER(_xlpm.d,_xlpm.f=$F47)))</f>
        <v>0.39493984877568383</v>
      </c>
      <c r="S47" s="2" cm="1">
        <f t="array" ref="S47">_xlfn.LET(_xlpm.d,S$2:S$36,_xlpm.f,$B$2:$B$36,AVERAGE(_xlfn._xlws.FILTER(_xlpm.d,_xlpm.f=$F47)))</f>
        <v>0.43422891587955215</v>
      </c>
      <c r="T47" s="2" cm="1">
        <f t="array" ref="T47">_xlfn.LET(_xlpm.d,T$2:T$36,_xlpm.f,$B$2:$B$36,AVERAGE(_xlfn._xlws.FILTER(_xlpm.d,_xlpm.f=$F47)))</f>
        <v>0.45737945051950341</v>
      </c>
    </row>
    <row r="48" spans="1:22" ht="30" customHeight="1">
      <c r="F48" t="s">
        <v>57</v>
      </c>
      <c r="G48" s="2" cm="1">
        <f t="array" ref="G48">_xlfn.LET(_xlpm.d,G$2:G$36,_xlpm.f,$B$2:$B$36,AVERAGE(_xlfn._xlws.FILTER(_xlpm.d,_xlpm.f=$F48)))</f>
        <v>0.64492140604363257</v>
      </c>
      <c r="H48" s="2" cm="1">
        <f t="array" ref="H48">_xlfn.LET(_xlpm.d,H$2:H$36,_xlpm.f,$B$2:$B$36,AVERAGE(_xlfn._xlws.FILTER(_xlpm.d,_xlpm.f=$F48)))</f>
        <v>0.58068213945883396</v>
      </c>
      <c r="I48" s="2" cm="1">
        <f t="array" ref="I48">_xlfn.LET(_xlpm.d,I$2:I$36,_xlpm.f,$B$2:$B$36,AVERAGE(_xlfn._xlws.FILTER(_xlpm.d,_xlpm.f=$F48)))</f>
        <v>0.59100172483648106</v>
      </c>
      <c r="J48" s="2" cm="1">
        <f t="array" ref="J48">_xlfn.LET(_xlpm.d,J$2:J$36,_xlpm.f,$B$2:$B$36,AVERAGE(_xlfn._xlws.FILTER(_xlpm.d,_xlpm.f=$F48)))</f>
        <v>0.48166555490368784</v>
      </c>
      <c r="K48" s="2" cm="1">
        <f t="array" ref="K48">_xlfn.LET(_xlpm.d,K$2:K$36,_xlpm.f,$B$2:$B$36,AVERAGE(_xlfn._xlws.FILTER(_xlpm.d,_xlpm.f=$F48)))</f>
        <v>0.5227406607148698</v>
      </c>
      <c r="L48" s="2" cm="1">
        <f t="array" ref="L48">_xlfn.LET(_xlpm.d,L$2:L$36,_xlpm.f,$B$2:$B$36,AVERAGE(_xlfn._xlws.FILTER(_xlpm.d,_xlpm.f=$F48)))</f>
        <v>0.51090265484580077</v>
      </c>
      <c r="M48" s="2" cm="1">
        <f t="array" ref="M48">_xlfn.LET(_xlpm.d,M$2:M$36,_xlpm.f,$B$2:$B$36,AVERAGE(_xlfn._xlws.FILTER(_xlpm.d,_xlpm.f=$F48)))</f>
        <v>0.45725168773398106</v>
      </c>
      <c r="N48" s="2" cm="1">
        <f t="array" ref="N48">_xlfn.LET(_xlpm.d,N$2:N$36,_xlpm.f,$B$2:$B$36,AVERAGE(_xlfn._xlws.FILTER(_xlpm.d,_xlpm.f=$F48)))</f>
        <v>0.43854311600469986</v>
      </c>
      <c r="O48" s="2" cm="1">
        <f t="array" ref="O48">_xlfn.LET(_xlpm.d,O$2:O$36,_xlpm.f,$B$2:$B$36,AVERAGE(_xlfn._xlws.FILTER(_xlpm.d,_xlpm.f=$F48)))</f>
        <v>0.50439223553600054</v>
      </c>
      <c r="P48" s="2" cm="1">
        <f t="array" ref="P48">_xlfn.LET(_xlpm.d,P$2:P$36,_xlpm.f,$B$2:$B$36,AVERAGE(_xlfn._xlws.FILTER(_xlpm.d,_xlpm.f=$F48)))</f>
        <v>0.38319981359969768</v>
      </c>
      <c r="Q48" s="2" cm="1">
        <f t="array" ref="Q48">_xlfn.LET(_xlpm.d,Q$2:Q$36,_xlpm.f,$B$2:$B$36,AVERAGE(_xlfn._xlws.FILTER(_xlpm.d,_xlpm.f=$F48)))</f>
        <v>0.36055501215464159</v>
      </c>
      <c r="R48" s="2" cm="1">
        <f t="array" ref="R48">_xlfn.LET(_xlpm.d,R$2:R$36,_xlpm.f,$B$2:$B$36,AVERAGE(_xlfn._xlws.FILTER(_xlpm.d,_xlpm.f=$F48)))</f>
        <v>0.38652846954847597</v>
      </c>
      <c r="S48" s="2" cm="1">
        <f t="array" ref="S48">_xlfn.LET(_xlpm.d,S$2:S$36,_xlpm.f,$B$2:$B$36,AVERAGE(_xlfn._xlws.FILTER(_xlpm.d,_xlpm.f=$F48)))</f>
        <v>0.41135193506104939</v>
      </c>
      <c r="T48" s="2" cm="1">
        <f t="array" ref="T48">_xlfn.LET(_xlpm.d,T$2:T$36,_xlpm.f,$B$2:$B$36,AVERAGE(_xlfn._xlws.FILTER(_xlpm.d,_xlpm.f=$F48)))</f>
        <v>0.482595108495527</v>
      </c>
    </row>
    <row r="49" spans="6:20" ht="30" customHeight="1">
      <c r="F49" t="s">
        <v>58</v>
      </c>
      <c r="G49" s="2" cm="1">
        <f t="array" ref="G49">_xlfn.LET(_xlpm.d,G$2:G$36,_xlpm.f,$B$2:$B$36,AVERAGE(_xlfn._xlws.FILTER(_xlpm.d,_xlpm.f=$F49)))</f>
        <v>0.99108638473029076</v>
      </c>
      <c r="H49" s="2" cm="1">
        <f t="array" ref="H49">_xlfn.LET(_xlpm.d,H$2:H$36,_xlpm.f,$B$2:$B$36,AVERAGE(_xlfn._xlws.FILTER(_xlpm.d,_xlpm.f=$F49)))</f>
        <v>0.99952964225476093</v>
      </c>
      <c r="I49" s="2" cm="1">
        <f t="array" ref="I49">_xlfn.LET(_xlpm.d,I$2:I$36,_xlpm.f,$B$2:$B$36,AVERAGE(_xlfn._xlws.FILTER(_xlpm.d,_xlpm.f=$F49)))</f>
        <v>0.99913292368262019</v>
      </c>
      <c r="J49" s="2" cm="1">
        <f t="array" ref="J49">_xlfn.LET(_xlpm.d,J$2:J$36,_xlpm.f,$B$2:$B$36,AVERAGE(_xlfn._xlws.FILTER(_xlpm.d,_xlpm.f=$F49)))</f>
        <v>0.96793277892554264</v>
      </c>
      <c r="K49" s="2" cm="1">
        <f t="array" ref="K49">_xlfn.LET(_xlpm.d,K$2:K$36,_xlpm.f,$B$2:$B$36,AVERAGE(_xlfn._xlws.FILTER(_xlpm.d,_xlpm.f=$F49)))</f>
        <v>0.98476778144457966</v>
      </c>
      <c r="L49" s="2" cm="1">
        <f t="array" ref="L49">_xlfn.LET(_xlpm.d,L$2:L$36,_xlpm.f,$B$2:$B$36,AVERAGE(_xlfn._xlws.FILTER(_xlpm.d,_xlpm.f=$F49)))</f>
        <v>0.98372863481104622</v>
      </c>
      <c r="M49" s="2" cm="1">
        <f t="array" ref="M49">_xlfn.LET(_xlpm.d,M$2:M$36,_xlpm.f,$B$2:$B$36,AVERAGE(_xlfn._xlws.FILTER(_xlpm.d,_xlpm.f=$F49)))</f>
        <v>0.93151774937962828</v>
      </c>
      <c r="N49" s="2" cm="1">
        <f t="array" ref="N49">_xlfn.LET(_xlpm.d,N$2:N$36,_xlpm.f,$B$2:$B$36,AVERAGE(_xlfn._xlws.FILTER(_xlpm.d,_xlpm.f=$F49)))</f>
        <v>0.9468598710613636</v>
      </c>
      <c r="O49" s="2" cm="1">
        <f t="array" ref="O49">_xlfn.LET(_xlpm.d,O$2:O$36,_xlpm.f,$B$2:$B$36,AVERAGE(_xlfn._xlws.FILTER(_xlpm.d,_xlpm.f=$F49)))</f>
        <v>0.94549822883782142</v>
      </c>
      <c r="P49" s="2" cm="1">
        <f t="array" ref="P49">_xlfn.LET(_xlpm.d,P$2:P$36,_xlpm.f,$B$2:$B$36,AVERAGE(_xlfn._xlws.FILTER(_xlpm.d,_xlpm.f=$F49)))</f>
        <v>0.97294836304595911</v>
      </c>
      <c r="Q49" s="2" cm="1">
        <f t="array" ref="Q49">_xlfn.LET(_xlpm.d,Q$2:Q$36,_xlpm.f,$B$2:$B$36,AVERAGE(_xlfn._xlws.FILTER(_xlpm.d,_xlpm.f=$F49)))</f>
        <v>0.9111769443772898</v>
      </c>
      <c r="R49" s="2" cm="1">
        <f t="array" ref="R49">_xlfn.LET(_xlpm.d,R$2:R$36,_xlpm.f,$B$2:$B$36,AVERAGE(_xlfn._xlws.FILTER(_xlpm.d,_xlpm.f=$F49)))</f>
        <v>0.95365943880674375</v>
      </c>
      <c r="S49" s="2" cm="1">
        <f t="array" ref="S49">_xlfn.LET(_xlpm.d,S$2:S$36,_xlpm.f,$B$2:$B$36,AVERAGE(_xlfn._xlws.FILTER(_xlpm.d,_xlpm.f=$F49)))</f>
        <v>0.92215434093761117</v>
      </c>
      <c r="T49" s="2" cm="1">
        <f t="array" ref="T49">_xlfn.LET(_xlpm.d,T$2:T$36,_xlpm.f,$B$2:$B$36,AVERAGE(_xlfn._xlws.FILTER(_xlpm.d,_xlpm.f=$F49)))</f>
        <v>0.96230716017655826</v>
      </c>
    </row>
  </sheetData>
  <phoneticPr fontId="1" type="noConversion"/>
  <conditionalFormatting sqref="G2:S36">
    <cfRule type="colorScale" priority="8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39:T42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44:T49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T2:T36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V2:V36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aNA.simple.xsk-free</vt:lpstr>
      <vt:lpstr>aNA.simple</vt:lpstr>
      <vt:lpstr>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2025-09-10T05:23:00Z</dcterms:modified>
  <cp:category/>
</cp:coreProperties>
</file>