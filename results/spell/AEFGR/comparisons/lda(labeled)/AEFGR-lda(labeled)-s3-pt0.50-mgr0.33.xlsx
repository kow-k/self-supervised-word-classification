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143A0E17-ED68-9449-A3E6-0A9AE113F858}" xr6:coauthVersionLast="47" xr6:coauthVersionMax="47" xr10:uidLastSave="{00000000-0000-0000-0000-000000000000}"/>
  <bookViews>
    <workbookView xWindow="640" yWindow="1660" windowWidth="33740" windowHeight="18760" xr2:uid="{AAB55906-58C7-F940-B4CF-E7AFA13CA4FF}"/>
  </bookViews>
  <sheets>
    <sheet name="aNA.simple.xsk-free" sheetId="3" r:id="rId1"/>
    <sheet name="aNA.simple" sheetId="2" r:id="rId2"/>
    <sheet name="aN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 a="1"/>
  <c r="E47" i="2" s="1"/>
  <c r="F47" i="2" a="1"/>
  <c r="F47" i="2" s="1"/>
  <c r="G47" i="2" a="1"/>
  <c r="G47" i="2" s="1"/>
  <c r="H47" i="2" a="1"/>
  <c r="H47" i="2"/>
  <c r="I47" i="2" a="1"/>
  <c r="I47" i="2" s="1"/>
  <c r="J47" i="2" a="1"/>
  <c r="J47" i="2" s="1"/>
  <c r="K47" i="2" a="1"/>
  <c r="K47" i="2" s="1"/>
  <c r="L47" i="2" a="1"/>
  <c r="L47" i="2"/>
  <c r="M47" i="2" a="1"/>
  <c r="M47" i="2" s="1"/>
  <c r="N47" i="2" a="1"/>
  <c r="N47" i="2" s="1"/>
  <c r="O47" i="2" a="1"/>
  <c r="O47" i="2" s="1"/>
  <c r="P47" i="2" a="1"/>
  <c r="P47" i="2"/>
  <c r="Q47" i="2" a="1"/>
  <c r="Q47" i="2" s="1"/>
  <c r="E48" i="2" a="1"/>
  <c r="E48" i="2" s="1"/>
  <c r="F48" i="2" a="1"/>
  <c r="F48" i="2" s="1"/>
  <c r="G48" i="2" a="1"/>
  <c r="G48" i="2"/>
  <c r="H48" i="2" a="1"/>
  <c r="H48" i="2" s="1"/>
  <c r="I48" i="2" a="1"/>
  <c r="I48" i="2" s="1"/>
  <c r="J48" i="2" a="1"/>
  <c r="J48" i="2" s="1"/>
  <c r="K48" i="2" a="1"/>
  <c r="K48" i="2"/>
  <c r="L48" i="2" a="1"/>
  <c r="L48" i="2" s="1"/>
  <c r="M48" i="2" a="1"/>
  <c r="M48" i="2" s="1"/>
  <c r="N48" i="2" a="1"/>
  <c r="N48" i="2" s="1"/>
  <c r="O48" i="2" a="1"/>
  <c r="O48" i="2"/>
  <c r="P48" i="2" a="1"/>
  <c r="P48" i="2" s="1"/>
  <c r="Q48" i="2" a="1"/>
  <c r="Q48" i="2" s="1"/>
  <c r="E49" i="2" a="1"/>
  <c r="E49" i="2" s="1"/>
  <c r="F49" i="2" a="1"/>
  <c r="F49" i="2"/>
  <c r="G49" i="2" a="1"/>
  <c r="G49" i="2" s="1"/>
  <c r="H49" i="2" a="1"/>
  <c r="H49" i="2" s="1"/>
  <c r="I49" i="2" a="1"/>
  <c r="I49" i="2" s="1"/>
  <c r="J49" i="2" a="1"/>
  <c r="J49" i="2"/>
  <c r="K49" i="2" a="1"/>
  <c r="K49" i="2" s="1"/>
  <c r="L49" i="2" a="1"/>
  <c r="L49" i="2" s="1"/>
  <c r="M49" i="2" a="1"/>
  <c r="M49" i="2" s="1"/>
  <c r="N49" i="2" a="1"/>
  <c r="N49" i="2"/>
  <c r="O49" i="2" a="1"/>
  <c r="O49" i="2" s="1"/>
  <c r="P49" i="2" a="1"/>
  <c r="P49" i="2" s="1"/>
  <c r="Q49" i="2" a="1"/>
  <c r="Q49" i="2" s="1"/>
  <c r="E50" i="2" a="1"/>
  <c r="E50" i="2"/>
  <c r="F50" i="2" a="1"/>
  <c r="F50" i="2" s="1"/>
  <c r="G50" i="2" a="1"/>
  <c r="G50" i="2" s="1"/>
  <c r="H50" i="2" a="1"/>
  <c r="H50" i="2" s="1"/>
  <c r="I50" i="2" a="1"/>
  <c r="I50" i="2"/>
  <c r="J50" i="2" a="1"/>
  <c r="J50" i="2" s="1"/>
  <c r="K50" i="2" a="1"/>
  <c r="K50" i="2" s="1"/>
  <c r="L50" i="2" a="1"/>
  <c r="L50" i="2" s="1"/>
  <c r="M50" i="2" a="1"/>
  <c r="M50" i="2"/>
  <c r="N50" i="2" a="1"/>
  <c r="N50" i="2" s="1"/>
  <c r="O50" i="2" a="1"/>
  <c r="O50" i="2" s="1"/>
  <c r="P50" i="2" a="1"/>
  <c r="P50" i="2" s="1"/>
  <c r="Q50" i="2" a="1"/>
  <c r="Q50" i="2"/>
  <c r="E51" i="2" a="1"/>
  <c r="E51" i="2" s="1"/>
  <c r="F51" i="2" a="1"/>
  <c r="F51" i="2" s="1"/>
  <c r="G51" i="2" a="1"/>
  <c r="G51" i="2" s="1"/>
  <c r="H51" i="2" a="1"/>
  <c r="H51" i="2"/>
  <c r="I51" i="2" a="1"/>
  <c r="I51" i="2" s="1"/>
  <c r="J51" i="2" a="1"/>
  <c r="J51" i="2" s="1"/>
  <c r="K51" i="2" a="1"/>
  <c r="K51" i="2" s="1"/>
  <c r="L51" i="2" a="1"/>
  <c r="L51" i="2"/>
  <c r="M51" i="2" a="1"/>
  <c r="M51" i="2" s="1"/>
  <c r="N51" i="2" a="1"/>
  <c r="N51" i="2" s="1"/>
  <c r="O51" i="2" a="1"/>
  <c r="O51" i="2" s="1"/>
  <c r="P51" i="2" a="1"/>
  <c r="P51" i="2"/>
  <c r="Q51" i="2" a="1"/>
  <c r="Q51" i="2" s="1"/>
  <c r="E52" i="2" a="1"/>
  <c r="E52" i="2" s="1"/>
  <c r="F52" i="2" a="1"/>
  <c r="F52" i="2" s="1"/>
  <c r="G52" i="2" a="1"/>
  <c r="G52" i="2"/>
  <c r="H52" i="2" a="1"/>
  <c r="H52" i="2" s="1"/>
  <c r="I52" i="2" a="1"/>
  <c r="I52" i="2" s="1"/>
  <c r="J52" i="2" a="1"/>
  <c r="J52" i="2" s="1"/>
  <c r="K52" i="2" a="1"/>
  <c r="K52" i="2"/>
  <c r="L52" i="2" a="1"/>
  <c r="L52" i="2" s="1"/>
  <c r="M52" i="2" a="1"/>
  <c r="M52" i="2" s="1"/>
  <c r="N52" i="2" a="1"/>
  <c r="N52" i="2" s="1"/>
  <c r="O52" i="2" a="1"/>
  <c r="O52" i="2"/>
  <c r="P52" i="2" a="1"/>
  <c r="P52" i="2" s="1"/>
  <c r="Q52" i="2" a="1"/>
  <c r="Q52" i="2" s="1"/>
  <c r="D48" i="2" a="1"/>
  <c r="D48" i="2" s="1"/>
  <c r="D47" i="2" a="1"/>
  <c r="D47" i="2" s="1"/>
  <c r="D52" i="2" a="1"/>
  <c r="D52" i="2" s="1"/>
  <c r="D51" i="2" a="1"/>
  <c r="D51" i="2" s="1"/>
  <c r="D50" i="2" a="1"/>
  <c r="D50" i="2" s="1"/>
  <c r="D49" i="2" a="1"/>
  <c r="D49" i="2" s="1"/>
  <c r="D40" i="2" a="1"/>
  <c r="D40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E37" i="3" a="1"/>
  <c r="E37" i="3" s="1"/>
  <c r="F37" i="3" a="1"/>
  <c r="F37" i="3" s="1"/>
  <c r="G37" i="3" a="1"/>
  <c r="G37" i="3" s="1"/>
  <c r="H37" i="3" a="1"/>
  <c r="H37" i="3"/>
  <c r="I37" i="3" a="1"/>
  <c r="I37" i="3" s="1"/>
  <c r="J37" i="3" a="1"/>
  <c r="J37" i="3" s="1"/>
  <c r="K37" i="3" a="1"/>
  <c r="K37" i="3" s="1"/>
  <c r="L37" i="3" a="1"/>
  <c r="L37" i="3"/>
  <c r="M37" i="3" a="1"/>
  <c r="M37" i="3" s="1"/>
  <c r="N37" i="3" a="1"/>
  <c r="N37" i="3" s="1"/>
  <c r="O37" i="3" a="1"/>
  <c r="O37" i="3" s="1"/>
  <c r="P37" i="3" a="1"/>
  <c r="P37" i="3"/>
  <c r="Q37" i="3" a="1"/>
  <c r="Q37" i="3" s="1"/>
  <c r="E38" i="3" a="1"/>
  <c r="E38" i="3" s="1"/>
  <c r="F38" i="3" a="1"/>
  <c r="F38" i="3" s="1"/>
  <c r="G38" i="3" a="1"/>
  <c r="G38" i="3"/>
  <c r="H38" i="3" a="1"/>
  <c r="H38" i="3"/>
  <c r="I38" i="3" a="1"/>
  <c r="I38" i="3" s="1"/>
  <c r="J38" i="3" a="1"/>
  <c r="J38" i="3" s="1"/>
  <c r="K38" i="3" a="1"/>
  <c r="K38" i="3"/>
  <c r="L38" i="3" a="1"/>
  <c r="L38" i="3"/>
  <c r="M38" i="3" a="1"/>
  <c r="M38" i="3" s="1"/>
  <c r="N38" i="3" a="1"/>
  <c r="N38" i="3" s="1"/>
  <c r="O38" i="3" a="1"/>
  <c r="O38" i="3"/>
  <c r="P38" i="3" a="1"/>
  <c r="P38" i="3"/>
  <c r="Q38" i="3" a="1"/>
  <c r="Q38" i="3" s="1"/>
  <c r="E39" i="3" a="1"/>
  <c r="E39" i="3" s="1"/>
  <c r="F39" i="3" a="1"/>
  <c r="F39" i="3"/>
  <c r="G39" i="3" a="1"/>
  <c r="G39" i="3"/>
  <c r="H39" i="3" a="1"/>
  <c r="H39" i="3" s="1"/>
  <c r="I39" i="3" a="1"/>
  <c r="I39" i="3" s="1"/>
  <c r="J39" i="3" a="1"/>
  <c r="J39" i="3"/>
  <c r="K39" i="3" a="1"/>
  <c r="K39" i="3"/>
  <c r="L39" i="3" a="1"/>
  <c r="L39" i="3" s="1"/>
  <c r="M39" i="3" a="1"/>
  <c r="M39" i="3" s="1"/>
  <c r="N39" i="3" a="1"/>
  <c r="N39" i="3"/>
  <c r="O39" i="3" a="1"/>
  <c r="O39" i="3"/>
  <c r="P39" i="3" a="1"/>
  <c r="P39" i="3" s="1"/>
  <c r="Q39" i="3" a="1"/>
  <c r="Q39" i="3" s="1"/>
  <c r="E40" i="3" a="1"/>
  <c r="E40" i="3"/>
  <c r="F40" i="3" a="1"/>
  <c r="F40" i="3"/>
  <c r="G40" i="3" a="1"/>
  <c r="G40" i="3" s="1"/>
  <c r="H40" i="3" a="1"/>
  <c r="H40" i="3" s="1"/>
  <c r="I40" i="3" a="1"/>
  <c r="I40" i="3"/>
  <c r="J40" i="3" a="1"/>
  <c r="J40" i="3"/>
  <c r="K40" i="3" a="1"/>
  <c r="K40" i="3" s="1"/>
  <c r="L40" i="3" a="1"/>
  <c r="L40" i="3" s="1"/>
  <c r="M40" i="3" a="1"/>
  <c r="M40" i="3"/>
  <c r="N40" i="3" a="1"/>
  <c r="N40" i="3"/>
  <c r="O40" i="3" a="1"/>
  <c r="O40" i="3" s="1"/>
  <c r="P40" i="3" a="1"/>
  <c r="P40" i="3" s="1"/>
  <c r="Q40" i="3" a="1"/>
  <c r="Q40" i="3"/>
  <c r="E41" i="3" a="1"/>
  <c r="E41" i="3"/>
  <c r="F41" i="3" a="1"/>
  <c r="F41" i="3" s="1"/>
  <c r="G41" i="3" a="1"/>
  <c r="G41" i="3" s="1"/>
  <c r="H41" i="3" a="1"/>
  <c r="H41" i="3"/>
  <c r="I41" i="3" a="1"/>
  <c r="I41" i="3"/>
  <c r="J41" i="3" a="1"/>
  <c r="J41" i="3" s="1"/>
  <c r="K41" i="3" a="1"/>
  <c r="K41" i="3" s="1"/>
  <c r="L41" i="3" a="1"/>
  <c r="L41" i="3"/>
  <c r="M41" i="3" a="1"/>
  <c r="M41" i="3"/>
  <c r="N41" i="3" a="1"/>
  <c r="N41" i="3" s="1"/>
  <c r="O41" i="3" a="1"/>
  <c r="O41" i="3" s="1"/>
  <c r="P41" i="3" a="1"/>
  <c r="P41" i="3"/>
  <c r="Q41" i="3" a="1"/>
  <c r="Q41" i="3"/>
  <c r="E42" i="3" a="1"/>
  <c r="E42" i="3" s="1"/>
  <c r="F42" i="3" a="1"/>
  <c r="F42" i="3" s="1"/>
  <c r="G42" i="3" a="1"/>
  <c r="G42" i="3"/>
  <c r="H42" i="3" a="1"/>
  <c r="H42" i="3"/>
  <c r="I42" i="3" a="1"/>
  <c r="I42" i="3" s="1"/>
  <c r="J42" i="3" a="1"/>
  <c r="J42" i="3" s="1"/>
  <c r="K42" i="3" a="1"/>
  <c r="K42" i="3" s="1"/>
  <c r="L42" i="3" a="1"/>
  <c r="L42" i="3"/>
  <c r="M42" i="3" a="1"/>
  <c r="M42" i="3" s="1"/>
  <c r="N42" i="3" a="1"/>
  <c r="N42" i="3" s="1"/>
  <c r="O42" i="3" a="1"/>
  <c r="O42" i="3"/>
  <c r="P42" i="3" a="1"/>
  <c r="P42" i="3"/>
  <c r="Q42" i="3" a="1"/>
  <c r="Q42" i="3" s="1"/>
  <c r="D38" i="3" a="1"/>
  <c r="D38" i="3" s="1"/>
  <c r="D37" i="3" a="1"/>
  <c r="D37" i="3" s="1"/>
  <c r="D42" i="3" a="1"/>
  <c r="D42" i="3" s="1"/>
  <c r="D41" i="3"/>
  <c r="D41" i="3" a="1"/>
  <c r="D40" i="3" a="1"/>
  <c r="D40" i="3" s="1"/>
  <c r="D39" i="3" a="1"/>
  <c r="D39" i="3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P29" i="3" l="1"/>
  <c r="O29" i="3"/>
  <c r="N29" i="3"/>
  <c r="M29" i="3"/>
  <c r="L29" i="3"/>
  <c r="K29" i="3"/>
  <c r="J29" i="3"/>
  <c r="I29" i="3"/>
  <c r="H29" i="3"/>
  <c r="G29" i="3"/>
  <c r="F29" i="3"/>
  <c r="E29" i="3"/>
  <c r="D29" i="3"/>
  <c r="R26" i="3"/>
  <c r="Q26" i="3"/>
  <c r="A26" i="3"/>
  <c r="R25" i="3"/>
  <c r="Q25" i="3"/>
  <c r="A25" i="3"/>
  <c r="R24" i="3"/>
  <c r="Q24" i="3"/>
  <c r="A24" i="3"/>
  <c r="R23" i="3"/>
  <c r="Q23" i="3"/>
  <c r="A23" i="3"/>
  <c r="R22" i="3"/>
  <c r="Q22" i="3"/>
  <c r="A22" i="3"/>
  <c r="R21" i="3"/>
  <c r="Q21" i="3"/>
  <c r="A21" i="3"/>
  <c r="R20" i="3"/>
  <c r="Q20" i="3"/>
  <c r="A20" i="3"/>
  <c r="R19" i="3"/>
  <c r="Q19" i="3"/>
  <c r="A19" i="3"/>
  <c r="R18" i="3"/>
  <c r="Q18" i="3"/>
  <c r="A18" i="3"/>
  <c r="R17" i="3"/>
  <c r="Q17" i="3"/>
  <c r="A17" i="3"/>
  <c r="R16" i="3"/>
  <c r="Q16" i="3"/>
  <c r="A16" i="3"/>
  <c r="R15" i="3"/>
  <c r="Q15" i="3"/>
  <c r="A15" i="3"/>
  <c r="R14" i="3"/>
  <c r="Q14" i="3"/>
  <c r="A14" i="3"/>
  <c r="R13" i="3"/>
  <c r="Q13" i="3"/>
  <c r="A13" i="3"/>
  <c r="R12" i="3"/>
  <c r="Q12" i="3"/>
  <c r="A12" i="3"/>
  <c r="R11" i="3"/>
  <c r="Q11" i="3"/>
  <c r="A11" i="3"/>
  <c r="R10" i="3"/>
  <c r="Q10" i="3"/>
  <c r="A10" i="3"/>
  <c r="R9" i="3"/>
  <c r="Q9" i="3"/>
  <c r="A9" i="3"/>
  <c r="R8" i="3"/>
  <c r="Q8" i="3"/>
  <c r="A8" i="3"/>
  <c r="R7" i="3"/>
  <c r="Q7" i="3"/>
  <c r="A7" i="3"/>
  <c r="R6" i="3"/>
  <c r="Q6" i="3"/>
  <c r="A6" i="3"/>
  <c r="R5" i="3"/>
  <c r="Q5" i="3"/>
  <c r="A5" i="3"/>
  <c r="R4" i="3"/>
  <c r="Q4" i="3"/>
  <c r="A4" i="3"/>
  <c r="R3" i="3"/>
  <c r="Q3" i="3"/>
  <c r="A3" i="3"/>
  <c r="R2" i="3"/>
  <c r="Q2" i="3"/>
  <c r="A2" i="3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L42" i="2" s="1" a="1"/>
  <c r="L42" i="2" s="1"/>
  <c r="A5" i="2"/>
  <c r="A4" i="2"/>
  <c r="A3" i="2"/>
  <c r="A2" i="2"/>
  <c r="J40" i="2" s="1" a="1"/>
  <c r="J40" i="2" s="1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S24" i="2" s="1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S16" i="2" s="1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T2" i="1"/>
  <c r="T3" i="1"/>
  <c r="T4" i="1"/>
  <c r="T5" i="1"/>
  <c r="T6" i="1"/>
  <c r="V6" i="1" s="1"/>
  <c r="T7" i="1"/>
  <c r="T8" i="1"/>
  <c r="T9" i="1"/>
  <c r="T10" i="1"/>
  <c r="T11" i="1"/>
  <c r="T12" i="1"/>
  <c r="T13" i="1"/>
  <c r="T14" i="1"/>
  <c r="V14" i="1" s="1"/>
  <c r="T15" i="1"/>
  <c r="T16" i="1"/>
  <c r="T17" i="1"/>
  <c r="T18" i="1"/>
  <c r="T19" i="1"/>
  <c r="T20" i="1"/>
  <c r="T21" i="1"/>
  <c r="T22" i="1"/>
  <c r="V22" i="1" s="1"/>
  <c r="T23" i="1"/>
  <c r="T24" i="1"/>
  <c r="T25" i="1"/>
  <c r="T26" i="1"/>
  <c r="T27" i="1"/>
  <c r="T28" i="1"/>
  <c r="T29" i="1"/>
  <c r="T30" i="1"/>
  <c r="V30" i="1" s="1"/>
  <c r="T31" i="1"/>
  <c r="V31" i="1" s="1"/>
  <c r="T32" i="1"/>
  <c r="T33" i="1"/>
  <c r="T34" i="1"/>
  <c r="T35" i="1"/>
  <c r="T36" i="1"/>
  <c r="H39" i="1"/>
  <c r="I39" i="1"/>
  <c r="J39" i="1"/>
  <c r="K39" i="1"/>
  <c r="L39" i="1"/>
  <c r="M39" i="1"/>
  <c r="N39" i="1"/>
  <c r="O39" i="1"/>
  <c r="P39" i="1"/>
  <c r="Q39" i="1"/>
  <c r="R39" i="1"/>
  <c r="S39" i="1"/>
  <c r="H44" i="1"/>
  <c r="I44" i="1"/>
  <c r="J44" i="1"/>
  <c r="K44" i="1"/>
  <c r="L44" i="1"/>
  <c r="M44" i="1"/>
  <c r="N44" i="1"/>
  <c r="O44" i="1"/>
  <c r="P44" i="1"/>
  <c r="Q44" i="1"/>
  <c r="R44" i="1"/>
  <c r="S44" i="1"/>
  <c r="G3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G44" i="1"/>
  <c r="D4" i="1"/>
  <c r="D7" i="1"/>
  <c r="C4" i="1"/>
  <c r="E4" i="1" s="1"/>
  <c r="C12" i="1"/>
  <c r="C36" i="1"/>
  <c r="F2" i="1"/>
  <c r="D2" i="1" s="1"/>
  <c r="F3" i="1"/>
  <c r="D3" i="1" s="1"/>
  <c r="F4" i="1"/>
  <c r="F5" i="1"/>
  <c r="D5" i="1" s="1"/>
  <c r="F6" i="1"/>
  <c r="D6" i="1" s="1"/>
  <c r="F7" i="1"/>
  <c r="C7" i="1" s="1"/>
  <c r="F8" i="1"/>
  <c r="D8" i="1" s="1"/>
  <c r="F9" i="1"/>
  <c r="D9" i="1" s="1"/>
  <c r="F10" i="1"/>
  <c r="D10" i="1" s="1"/>
  <c r="F11" i="1"/>
  <c r="C11" i="1" s="1"/>
  <c r="F12" i="1"/>
  <c r="D12" i="1" s="1"/>
  <c r="F13" i="1"/>
  <c r="D13" i="1" s="1"/>
  <c r="F14" i="1"/>
  <c r="D14" i="1" s="1"/>
  <c r="F15" i="1"/>
  <c r="C15" i="1" s="1"/>
  <c r="F16" i="1"/>
  <c r="D16" i="1" s="1"/>
  <c r="F17" i="1"/>
  <c r="C17" i="1" s="1"/>
  <c r="F18" i="1"/>
  <c r="D18" i="1" s="1"/>
  <c r="F19" i="1"/>
  <c r="C19" i="1" s="1"/>
  <c r="F20" i="1"/>
  <c r="C20" i="1" s="1"/>
  <c r="F21" i="1"/>
  <c r="D21" i="1" s="1"/>
  <c r="F22" i="1"/>
  <c r="D22" i="1" s="1"/>
  <c r="F23" i="1"/>
  <c r="C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C31" i="1" s="1"/>
  <c r="F32" i="1"/>
  <c r="D32" i="1" s="1"/>
  <c r="F33" i="1"/>
  <c r="C33" i="1" s="1"/>
  <c r="F34" i="1"/>
  <c r="D34" i="1" s="1"/>
  <c r="F35" i="1"/>
  <c r="D35" i="1" s="1"/>
  <c r="F36" i="1"/>
  <c r="D36" i="1" s="1"/>
  <c r="N44" i="2" l="1" a="1"/>
  <c r="N44" i="2" s="1"/>
  <c r="H41" i="2" a="1"/>
  <c r="H41" i="2" s="1"/>
  <c r="D42" i="2" a="1"/>
  <c r="D42" i="2" s="1"/>
  <c r="G42" i="2" a="1"/>
  <c r="G42" i="2" s="1"/>
  <c r="D43" i="2" a="1"/>
  <c r="D43" i="2" s="1"/>
  <c r="M43" i="2" a="1"/>
  <c r="M43" i="2" s="1"/>
  <c r="N40" i="2" a="1"/>
  <c r="N40" i="2" s="1"/>
  <c r="H40" i="2" a="1"/>
  <c r="H40" i="2" s="1"/>
  <c r="L41" i="2" a="1"/>
  <c r="L41" i="2" s="1"/>
  <c r="F41" i="2" a="1"/>
  <c r="F41" i="2" s="1"/>
  <c r="M40" i="2" a="1"/>
  <c r="M40" i="2" s="1"/>
  <c r="H44" i="2" a="1"/>
  <c r="H44" i="2" s="1"/>
  <c r="O41" i="2" a="1"/>
  <c r="O41" i="2" s="1"/>
  <c r="M44" i="2" a="1"/>
  <c r="M44" i="2" s="1"/>
  <c r="O40" i="2" a="1"/>
  <c r="O40" i="2" s="1"/>
  <c r="F44" i="2" a="1"/>
  <c r="F44" i="2" s="1"/>
  <c r="G41" i="2" a="1"/>
  <c r="G41" i="2" s="1"/>
  <c r="L44" i="2" a="1"/>
  <c r="L44" i="2" s="1"/>
  <c r="L43" i="2" a="1"/>
  <c r="L43" i="2" s="1"/>
  <c r="K44" i="2" a="1"/>
  <c r="K44" i="2" s="1"/>
  <c r="E43" i="2" a="1"/>
  <c r="E43" i="2" s="1"/>
  <c r="E42" i="2" a="1"/>
  <c r="E42" i="2" s="1"/>
  <c r="E41" i="2" a="1"/>
  <c r="E41" i="2" s="1"/>
  <c r="G40" i="2" a="1"/>
  <c r="G40" i="2" s="1"/>
  <c r="D41" i="2" a="1"/>
  <c r="D41" i="2" s="1"/>
  <c r="H42" i="2" a="1"/>
  <c r="H42" i="2" s="1"/>
  <c r="G43" i="2" a="1"/>
  <c r="G43" i="2" s="1"/>
  <c r="M42" i="2" a="1"/>
  <c r="M42" i="2" s="1"/>
  <c r="D44" i="2" a="1"/>
  <c r="D44" i="2" s="1"/>
  <c r="F42" i="2" a="1"/>
  <c r="F42" i="2" s="1"/>
  <c r="J44" i="2" a="1"/>
  <c r="J44" i="2" s="1"/>
  <c r="Q43" i="2" a="1"/>
  <c r="Q43" i="2" s="1"/>
  <c r="J43" i="2" a="1"/>
  <c r="J43" i="2" s="1"/>
  <c r="Q42" i="2" a="1"/>
  <c r="Q42" i="2" s="1"/>
  <c r="Q41" i="2" a="1"/>
  <c r="Q41" i="2" s="1"/>
  <c r="K41" i="2" a="1"/>
  <c r="K41" i="2" s="1"/>
  <c r="Q40" i="2" a="1"/>
  <c r="Q40" i="2" s="1"/>
  <c r="L40" i="2" a="1"/>
  <c r="L40" i="2" s="1"/>
  <c r="F40" i="2" a="1"/>
  <c r="F40" i="2" s="1"/>
  <c r="N43" i="2" a="1"/>
  <c r="N43" i="2" s="1"/>
  <c r="I40" i="2" a="1"/>
  <c r="I40" i="2" s="1"/>
  <c r="G44" i="2" a="1"/>
  <c r="G44" i="2" s="1"/>
  <c r="N41" i="2" a="1"/>
  <c r="N41" i="2" s="1"/>
  <c r="M41" i="2" a="1"/>
  <c r="M41" i="2" s="1"/>
  <c r="Q44" i="2" a="1"/>
  <c r="Q44" i="2" s="1"/>
  <c r="K43" i="2" a="1"/>
  <c r="K43" i="2" s="1"/>
  <c r="K42" i="2" a="1"/>
  <c r="K42" i="2" s="1"/>
  <c r="P44" i="2" a="1"/>
  <c r="P44" i="2" s="1"/>
  <c r="I44" i="2" a="1"/>
  <c r="I44" i="2" s="1"/>
  <c r="P43" i="2" a="1"/>
  <c r="P43" i="2" s="1"/>
  <c r="P42" i="2" a="1"/>
  <c r="P42" i="2" s="1"/>
  <c r="J42" i="2" a="1"/>
  <c r="J42" i="2" s="1"/>
  <c r="P41" i="2" a="1"/>
  <c r="P41" i="2" s="1"/>
  <c r="J41" i="2" a="1"/>
  <c r="J41" i="2" s="1"/>
  <c r="K40" i="2" a="1"/>
  <c r="K40" i="2" s="1"/>
  <c r="E40" i="2" a="1"/>
  <c r="E40" i="2" s="1"/>
  <c r="H43" i="2" a="1"/>
  <c r="H43" i="2" s="1"/>
  <c r="N42" i="2" a="1"/>
  <c r="N42" i="2" s="1"/>
  <c r="F43" i="2" a="1"/>
  <c r="F43" i="2" s="1"/>
  <c r="E44" i="2" a="1"/>
  <c r="E44" i="2" s="1"/>
  <c r="O44" i="2" a="1"/>
  <c r="O44" i="2" s="1"/>
  <c r="O43" i="2" a="1"/>
  <c r="O43" i="2" s="1"/>
  <c r="I43" i="2" a="1"/>
  <c r="I43" i="2" s="1"/>
  <c r="O42" i="2" a="1"/>
  <c r="O42" i="2" s="1"/>
  <c r="I42" i="2" a="1"/>
  <c r="I42" i="2" s="1"/>
  <c r="I41" i="2" a="1"/>
  <c r="I41" i="2" s="1"/>
  <c r="P40" i="2" a="1"/>
  <c r="P40" i="2" s="1"/>
  <c r="S5" i="3"/>
  <c r="S11" i="3"/>
  <c r="S2" i="3"/>
  <c r="S8" i="3"/>
  <c r="S14" i="3"/>
  <c r="S20" i="3"/>
  <c r="S26" i="3"/>
  <c r="J34" i="3" a="1"/>
  <c r="J34" i="3" s="1"/>
  <c r="S6" i="3"/>
  <c r="S22" i="3"/>
  <c r="P33" i="3" a="1"/>
  <c r="P33" i="3" s="1"/>
  <c r="H33" i="3" a="1"/>
  <c r="H33" i="3" s="1"/>
  <c r="L33" i="3" a="1"/>
  <c r="L33" i="3" s="1"/>
  <c r="F32" i="3" a="1"/>
  <c r="F32" i="3" s="1"/>
  <c r="F34" i="3" a="1"/>
  <c r="F34" i="3" s="1"/>
  <c r="S7" i="3"/>
  <c r="S13" i="3"/>
  <c r="S19" i="3"/>
  <c r="Q29" i="3"/>
  <c r="S17" i="3"/>
  <c r="S23" i="3"/>
  <c r="J30" i="3" a="1"/>
  <c r="J30" i="3" s="1"/>
  <c r="N32" i="3" a="1"/>
  <c r="N32" i="3" s="1"/>
  <c r="D31" i="3" a="1"/>
  <c r="D31" i="3" s="1"/>
  <c r="P31" i="3" a="1"/>
  <c r="P31" i="3" s="1"/>
  <c r="S25" i="3"/>
  <c r="N30" i="3" a="1"/>
  <c r="N30" i="3" s="1"/>
  <c r="D33" i="3" a="1"/>
  <c r="D33" i="3" s="1"/>
  <c r="S12" i="3"/>
  <c r="S18" i="3"/>
  <c r="S24" i="3"/>
  <c r="H31" i="3" a="1"/>
  <c r="H31" i="3" s="1"/>
  <c r="S3" i="3"/>
  <c r="S9" i="3"/>
  <c r="S15" i="3"/>
  <c r="S21" i="3"/>
  <c r="L31" i="3" a="1"/>
  <c r="L31" i="3" s="1"/>
  <c r="K31" i="3" a="1"/>
  <c r="K31" i="3" s="1"/>
  <c r="S4" i="3"/>
  <c r="S10" i="3"/>
  <c r="S16" i="3"/>
  <c r="F30" i="3" a="1"/>
  <c r="F30" i="3" s="1"/>
  <c r="J32" i="3" a="1"/>
  <c r="J32" i="3" s="1"/>
  <c r="N34" i="3" a="1"/>
  <c r="N34" i="3" s="1"/>
  <c r="I31" i="3" a="1"/>
  <c r="I31" i="3" s="1"/>
  <c r="Q31" i="3" a="1"/>
  <c r="Q31" i="3" s="1"/>
  <c r="K32" i="3" a="1"/>
  <c r="K32" i="3" s="1"/>
  <c r="E33" i="3" a="1"/>
  <c r="E33" i="3" s="1"/>
  <c r="Q33" i="3" a="1"/>
  <c r="Q33" i="3" s="1"/>
  <c r="G30" i="3" a="1"/>
  <c r="G30" i="3" s="1"/>
  <c r="E31" i="3" a="1"/>
  <c r="E31" i="3" s="1"/>
  <c r="M31" i="3" a="1"/>
  <c r="M31" i="3" s="1"/>
  <c r="G32" i="3" a="1"/>
  <c r="G32" i="3" s="1"/>
  <c r="O32" i="3" a="1"/>
  <c r="O32" i="3" s="1"/>
  <c r="I33" i="3" a="1"/>
  <c r="I33" i="3" s="1"/>
  <c r="M33" i="3" a="1"/>
  <c r="M33" i="3" s="1"/>
  <c r="G34" i="3" a="1"/>
  <c r="G34" i="3" s="1"/>
  <c r="K34" i="3" a="1"/>
  <c r="K34" i="3" s="1"/>
  <c r="O34" i="3" a="1"/>
  <c r="O34" i="3" s="1"/>
  <c r="O30" i="3" a="1"/>
  <c r="O30" i="3" s="1"/>
  <c r="D30" i="3" a="1"/>
  <c r="D30" i="3" s="1"/>
  <c r="H30" i="3" a="1"/>
  <c r="H30" i="3" s="1"/>
  <c r="L30" i="3" a="1"/>
  <c r="L30" i="3" s="1"/>
  <c r="P30" i="3" a="1"/>
  <c r="P30" i="3" s="1"/>
  <c r="F31" i="3" a="1"/>
  <c r="F31" i="3" s="1"/>
  <c r="J31" i="3" a="1"/>
  <c r="J31" i="3" s="1"/>
  <c r="N31" i="3" a="1"/>
  <c r="N31" i="3" s="1"/>
  <c r="D32" i="3" a="1"/>
  <c r="D32" i="3" s="1"/>
  <c r="H32" i="3" a="1"/>
  <c r="H32" i="3" s="1"/>
  <c r="L32" i="3" a="1"/>
  <c r="L32" i="3" s="1"/>
  <c r="P32" i="3" a="1"/>
  <c r="P32" i="3" s="1"/>
  <c r="F33" i="3" a="1"/>
  <c r="F33" i="3" s="1"/>
  <c r="J33" i="3" a="1"/>
  <c r="J33" i="3" s="1"/>
  <c r="N33" i="3" a="1"/>
  <c r="N33" i="3" s="1"/>
  <c r="D34" i="3" a="1"/>
  <c r="D34" i="3" s="1"/>
  <c r="H34" i="3" a="1"/>
  <c r="H34" i="3" s="1"/>
  <c r="L34" i="3" a="1"/>
  <c r="L34" i="3" s="1"/>
  <c r="P34" i="3" a="1"/>
  <c r="P34" i="3" s="1"/>
  <c r="K30" i="3" a="1"/>
  <c r="K30" i="3" s="1"/>
  <c r="I30" i="3" a="1"/>
  <c r="I30" i="3" s="1"/>
  <c r="Q30" i="3" a="1"/>
  <c r="Q30" i="3" s="1"/>
  <c r="G31" i="3" a="1"/>
  <c r="G31" i="3" s="1"/>
  <c r="O31" i="3" a="1"/>
  <c r="O31" i="3" s="1"/>
  <c r="E32" i="3" a="1"/>
  <c r="E32" i="3" s="1"/>
  <c r="I32" i="3" a="1"/>
  <c r="I32" i="3" s="1"/>
  <c r="M32" i="3" a="1"/>
  <c r="M32" i="3" s="1"/>
  <c r="Q32" i="3" a="1"/>
  <c r="Q32" i="3" s="1"/>
  <c r="G33" i="3" a="1"/>
  <c r="G33" i="3" s="1"/>
  <c r="K33" i="3" a="1"/>
  <c r="K33" i="3" s="1"/>
  <c r="O33" i="3" a="1"/>
  <c r="O33" i="3" s="1"/>
  <c r="E34" i="3" a="1"/>
  <c r="E34" i="3" s="1"/>
  <c r="I34" i="3" a="1"/>
  <c r="I34" i="3" s="1"/>
  <c r="M34" i="3" a="1"/>
  <c r="M34" i="3" s="1"/>
  <c r="Q34" i="3" a="1"/>
  <c r="Q34" i="3" s="1"/>
  <c r="E30" i="3" a="1"/>
  <c r="E30" i="3" s="1"/>
  <c r="M30" i="3" a="1"/>
  <c r="M30" i="3" s="1"/>
  <c r="V7" i="1"/>
  <c r="V23" i="1"/>
  <c r="V15" i="1"/>
  <c r="S5" i="2"/>
  <c r="S9" i="2"/>
  <c r="S13" i="2"/>
  <c r="S17" i="2"/>
  <c r="S21" i="2"/>
  <c r="S25" i="2"/>
  <c r="S29" i="2"/>
  <c r="S33" i="2"/>
  <c r="S8" i="2"/>
  <c r="V33" i="1"/>
  <c r="V25" i="1"/>
  <c r="V17" i="1"/>
  <c r="V9" i="1"/>
  <c r="V29" i="1"/>
  <c r="V21" i="1"/>
  <c r="V13" i="1"/>
  <c r="V36" i="1"/>
  <c r="V28" i="1"/>
  <c r="V20" i="1"/>
  <c r="V12" i="1"/>
  <c r="V4" i="1"/>
  <c r="V35" i="1"/>
  <c r="V27" i="1"/>
  <c r="V19" i="1"/>
  <c r="V11" i="1"/>
  <c r="V3" i="1"/>
  <c r="U39" i="1"/>
  <c r="V5" i="1"/>
  <c r="V2" i="1"/>
  <c r="V34" i="1"/>
  <c r="V26" i="1"/>
  <c r="V18" i="1"/>
  <c r="V10" i="1"/>
  <c r="V32" i="1"/>
  <c r="V24" i="1"/>
  <c r="V16" i="1"/>
  <c r="V8" i="1"/>
  <c r="S32" i="2"/>
  <c r="S6" i="2"/>
  <c r="S10" i="2"/>
  <c r="S14" i="2"/>
  <c r="S18" i="2"/>
  <c r="S22" i="2"/>
  <c r="S30" i="2"/>
  <c r="S34" i="2"/>
  <c r="S3" i="2"/>
  <c r="S7" i="2"/>
  <c r="S11" i="2"/>
  <c r="S15" i="2"/>
  <c r="S23" i="2"/>
  <c r="S27" i="2"/>
  <c r="S31" i="2"/>
  <c r="S35" i="2"/>
  <c r="S12" i="2"/>
  <c r="Q39" i="2"/>
  <c r="S4" i="2"/>
  <c r="S36" i="2"/>
  <c r="S28" i="2"/>
  <c r="S20" i="2"/>
  <c r="S19" i="2"/>
  <c r="S26" i="2"/>
  <c r="S2" i="2"/>
  <c r="N45" i="1" a="1"/>
  <c r="N45" i="1" s="1"/>
  <c r="D31" i="1"/>
  <c r="D20" i="1"/>
  <c r="H45" i="1" a="1"/>
  <c r="H45" i="1" s="1"/>
  <c r="P45" i="1" a="1"/>
  <c r="P45" i="1" s="1"/>
  <c r="E36" i="1"/>
  <c r="I48" i="1" a="1"/>
  <c r="I48" i="1" s="1"/>
  <c r="M45" i="1" a="1"/>
  <c r="M45" i="1" s="1"/>
  <c r="C35" i="1"/>
  <c r="E35" i="1" s="1"/>
  <c r="C3" i="1"/>
  <c r="E3" i="1" s="1"/>
  <c r="D19" i="1"/>
  <c r="E19" i="1" s="1"/>
  <c r="L49" i="1" a="1"/>
  <c r="L49" i="1" s="1"/>
  <c r="P48" i="1" a="1"/>
  <c r="P48" i="1" s="1"/>
  <c r="H48" i="1" a="1"/>
  <c r="H48" i="1" s="1"/>
  <c r="L47" i="1" a="1"/>
  <c r="L47" i="1" s="1"/>
  <c r="P46" i="1" a="1"/>
  <c r="P46" i="1" s="1"/>
  <c r="H46" i="1" a="1"/>
  <c r="H46" i="1" s="1"/>
  <c r="L45" i="1" a="1"/>
  <c r="L45" i="1" s="1"/>
  <c r="Q46" i="1" a="1"/>
  <c r="Q46" i="1" s="1"/>
  <c r="S49" i="1" a="1"/>
  <c r="S49" i="1" s="1"/>
  <c r="O48" i="1" a="1"/>
  <c r="O48" i="1" s="1"/>
  <c r="S47" i="1" a="1"/>
  <c r="S47" i="1" s="1"/>
  <c r="K47" i="1" a="1"/>
  <c r="K47" i="1" s="1"/>
  <c r="O46" i="1" a="1"/>
  <c r="O46" i="1" s="1"/>
  <c r="S45" i="1" a="1"/>
  <c r="S45" i="1" s="1"/>
  <c r="K45" i="1" a="1"/>
  <c r="K45" i="1" s="1"/>
  <c r="G49" i="1" a="1"/>
  <c r="G49" i="1" s="1"/>
  <c r="Q48" i="1" a="1"/>
  <c r="Q48" i="1" s="1"/>
  <c r="M47" i="1" a="1"/>
  <c r="M47" i="1" s="1"/>
  <c r="I46" i="1" a="1"/>
  <c r="I46" i="1" s="1"/>
  <c r="C28" i="1"/>
  <c r="E28" i="1" s="1"/>
  <c r="D15" i="1"/>
  <c r="K49" i="1" a="1"/>
  <c r="K49" i="1" s="1"/>
  <c r="C27" i="1"/>
  <c r="E27" i="1" s="1"/>
  <c r="R49" i="1" a="1"/>
  <c r="R49" i="1" s="1"/>
  <c r="J49" i="1" a="1"/>
  <c r="J49" i="1" s="1"/>
  <c r="N48" i="1" a="1"/>
  <c r="N48" i="1" s="1"/>
  <c r="R47" i="1" a="1"/>
  <c r="R47" i="1" s="1"/>
  <c r="J47" i="1" a="1"/>
  <c r="J47" i="1" s="1"/>
  <c r="N46" i="1" a="1"/>
  <c r="N46" i="1" s="1"/>
  <c r="R45" i="1" a="1"/>
  <c r="R45" i="1" s="1"/>
  <c r="D11" i="1"/>
  <c r="G45" i="1" a="1"/>
  <c r="G45" i="1" s="1"/>
  <c r="Q49" i="1" a="1"/>
  <c r="Q49" i="1" s="1"/>
  <c r="I49" i="1" a="1"/>
  <c r="I49" i="1" s="1"/>
  <c r="M48" i="1" a="1"/>
  <c r="M48" i="1" s="1"/>
  <c r="Q47" i="1" a="1"/>
  <c r="Q47" i="1" s="1"/>
  <c r="I47" i="1" a="1"/>
  <c r="I47" i="1" s="1"/>
  <c r="M46" i="1" a="1"/>
  <c r="M46" i="1" s="1"/>
  <c r="Q45" i="1" a="1"/>
  <c r="Q45" i="1" s="1"/>
  <c r="J45" i="1" a="1"/>
  <c r="J45" i="1" s="1"/>
  <c r="M49" i="1" a="1"/>
  <c r="M49" i="1" s="1"/>
  <c r="E20" i="1"/>
  <c r="G46" i="1" a="1"/>
  <c r="G46" i="1" s="1"/>
  <c r="P49" i="1" a="1"/>
  <c r="P49" i="1" s="1"/>
  <c r="H49" i="1" a="1"/>
  <c r="H49" i="1" s="1"/>
  <c r="L48" i="1" a="1"/>
  <c r="L48" i="1" s="1"/>
  <c r="P47" i="1" a="1"/>
  <c r="P47" i="1" s="1"/>
  <c r="H47" i="1" a="1"/>
  <c r="H47" i="1" s="1"/>
  <c r="L46" i="1" a="1"/>
  <c r="L46" i="1" s="1"/>
  <c r="I45" i="1" a="1"/>
  <c r="I45" i="1" s="1"/>
  <c r="E12" i="1"/>
  <c r="G47" i="1" a="1"/>
  <c r="G47" i="1" s="1"/>
  <c r="O49" i="1" a="1"/>
  <c r="O49" i="1" s="1"/>
  <c r="S48" i="1" a="1"/>
  <c r="S48" i="1" s="1"/>
  <c r="K48" i="1" a="1"/>
  <c r="K48" i="1" s="1"/>
  <c r="O47" i="1" a="1"/>
  <c r="O47" i="1" s="1"/>
  <c r="S46" i="1" a="1"/>
  <c r="S46" i="1" s="1"/>
  <c r="K46" i="1" a="1"/>
  <c r="K46" i="1" s="1"/>
  <c r="O45" i="1" a="1"/>
  <c r="O45" i="1" s="1"/>
  <c r="D23" i="1"/>
  <c r="G48" i="1" a="1"/>
  <c r="G48" i="1" s="1"/>
  <c r="N49" i="1" a="1"/>
  <c r="N49" i="1" s="1"/>
  <c r="R48" i="1" a="1"/>
  <c r="R48" i="1" s="1"/>
  <c r="J48" i="1" a="1"/>
  <c r="J48" i="1" s="1"/>
  <c r="N47" i="1" a="1"/>
  <c r="N47" i="1" s="1"/>
  <c r="R46" i="1" a="1"/>
  <c r="R46" i="1" s="1"/>
  <c r="J46" i="1" a="1"/>
  <c r="J46" i="1" s="1"/>
  <c r="T39" i="1"/>
  <c r="C25" i="1"/>
  <c r="E25" i="1" s="1"/>
  <c r="C9" i="1"/>
  <c r="E9" i="1" s="1"/>
  <c r="C24" i="1"/>
  <c r="E24" i="1" s="1"/>
  <c r="C8" i="1"/>
  <c r="E8" i="1" s="1"/>
  <c r="C30" i="1"/>
  <c r="E30" i="1" s="1"/>
  <c r="C22" i="1"/>
  <c r="E22" i="1" s="1"/>
  <c r="C14" i="1"/>
  <c r="E14" i="1" s="1"/>
  <c r="C6" i="1"/>
  <c r="E6" i="1" s="1"/>
  <c r="D33" i="1"/>
  <c r="E33" i="1" s="1"/>
  <c r="D17" i="1"/>
  <c r="Q41" i="1" s="1"/>
  <c r="C32" i="1"/>
  <c r="E32" i="1" s="1"/>
  <c r="C16" i="1"/>
  <c r="E16" i="1" s="1"/>
  <c r="C29" i="1"/>
  <c r="E29" i="1" s="1"/>
  <c r="C21" i="1"/>
  <c r="E21" i="1" s="1"/>
  <c r="C13" i="1"/>
  <c r="E13" i="1" s="1"/>
  <c r="C5" i="1"/>
  <c r="E5" i="1" s="1"/>
  <c r="E7" i="1"/>
  <c r="C34" i="1"/>
  <c r="E34" i="1" s="1"/>
  <c r="C26" i="1"/>
  <c r="E26" i="1" s="1"/>
  <c r="C18" i="1"/>
  <c r="E18" i="1" s="1"/>
  <c r="C10" i="1"/>
  <c r="E10" i="1" s="1"/>
  <c r="C2" i="1"/>
  <c r="E31" i="1"/>
  <c r="E23" i="1"/>
  <c r="E15" i="1"/>
  <c r="K41" i="1" l="1"/>
  <c r="T41" i="1"/>
  <c r="J41" i="1"/>
  <c r="S41" i="1"/>
  <c r="M41" i="1"/>
  <c r="I41" i="1"/>
  <c r="N41" i="1"/>
  <c r="P41" i="1"/>
  <c r="M42" i="1"/>
  <c r="N42" i="1"/>
  <c r="O42" i="1"/>
  <c r="H42" i="1"/>
  <c r="P42" i="1"/>
  <c r="I42" i="1"/>
  <c r="Q42" i="1"/>
  <c r="G42" i="1"/>
  <c r="U42" i="1" s="1"/>
  <c r="J42" i="1"/>
  <c r="R42" i="1"/>
  <c r="K42" i="1"/>
  <c r="S42" i="1"/>
  <c r="L42" i="1"/>
  <c r="O41" i="1"/>
  <c r="H41" i="1"/>
  <c r="R41" i="1"/>
  <c r="T42" i="1"/>
  <c r="G41" i="1"/>
  <c r="L41" i="1"/>
  <c r="E11" i="1"/>
  <c r="E2" i="1"/>
  <c r="E17" i="1"/>
  <c r="U41" i="1" l="1"/>
  <c r="M40" i="1"/>
  <c r="N40" i="1"/>
  <c r="G40" i="1"/>
  <c r="O40" i="1"/>
  <c r="H40" i="1"/>
  <c r="P40" i="1"/>
  <c r="I40" i="1"/>
  <c r="Q40" i="1"/>
  <c r="L40" i="1"/>
  <c r="J40" i="1"/>
  <c r="R40" i="1"/>
  <c r="K40" i="1"/>
  <c r="S40" i="1"/>
  <c r="T40" i="1"/>
  <c r="T46" i="1" a="1"/>
  <c r="T46" i="1" s="1"/>
  <c r="T49" i="1" a="1"/>
  <c r="T49" i="1" s="1"/>
  <c r="T47" i="1" a="1"/>
  <c r="T47" i="1" s="1"/>
  <c r="T48" i="1" a="1"/>
  <c r="T48" i="1" s="1"/>
  <c r="T44" i="1"/>
  <c r="T45" i="1" a="1"/>
  <c r="T45" i="1" s="1"/>
  <c r="U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<sst xmlns="http://schemas.openxmlformats.org/spreadsheetml/2006/main" count="192" uniqueCount="66">
  <si>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</si>
  <si>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</si>
  <si>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</si>
  <si>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</si>
  <si>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</si>
  <si>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</si>
  <si>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</si>
  <si>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</si>
  <si>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</si>
  <si>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</si>
  <si>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</si>
  <si>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</si>
  <si>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</si>
  <si>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</si>
  <si>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</si>
  <si>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</si>
  <si>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</si>
  <si>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</si>
  <si>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</si>
  <si>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</si>
  <si>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</si>
  <si>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</si>
  <si>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</si>
  <si>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</si>
  <si>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</si>
  <si>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</si>
  <si>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</si>
  <si>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</si>
  <si>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</si>
  <si>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</si>
  <si>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</si>
  <si>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</si>
  <si>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</si>
  <si>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</si>
  <si>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</si>
  <si>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</si>
  <si>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average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</si>
  <si>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</si>
  <si>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</si>
  <si>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</si>
  <si>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</si>
  <si>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</si>
  <si>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</si>
  <si>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</si>
  <si>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</si>
  <si>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</si>
  <si>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</si>
  <si>
    <t>11</t>
  </si>
  <si>
    <t>13</t>
  </si>
  <si>
    <t>14</t>
  </si>
  <si>
    <t>xsk</t>
  </si>
  <si>
    <t>sk</t>
  </si>
  <si>
    <t>encoding</t>
  </si>
  <si>
    <t>all</t>
  </si>
  <si>
    <t>arabic</t>
  </si>
  <si>
    <t>german</t>
  </si>
  <si>
    <t>english</t>
  </si>
  <si>
    <t>french</t>
  </si>
  <si>
    <t>russian</t>
  </si>
  <si>
    <t>lang</t>
  </si>
  <si>
    <t>norm</t>
  </si>
  <si>
    <t>stdev</t>
  </si>
  <si>
    <t>score</t>
  </si>
  <si>
    <t>1g</t>
  </si>
  <si>
    <t>1g included</t>
  </si>
  <si>
    <t>1g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</si>
</sst>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55"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3688F-0B66-B84A-A537-C1AEB39D2322}" name="Table134" displayName="Table134" ref="A1:S26" totalsRowShown="0">
  <autoFilter ref="A1:S26" xr:uid="{CFFBF5C2-C562-4A4E-B95B-091D1721BBE3}"/>
  <tableColumns count="19">
    <tableColumn id="1" xr3:uid="{A597DD00-06EC-534A-9E2A-24060F122FFA}" name="lang">
      <calculatedColumnFormula>_xlfn.LET(_xlpm.c,_xlfn.SINGLE(Table134[condition]),_xlfn.TEXTBEFORE(_xlpm.c,"-"))</calculatedColumnFormula>
    </tableColumn>
    <tableColumn id="17" xr3:uid="{5974B4CD-BEF1-8E40-9262-2630BF0E22E5}" name="1g" dataDxfId="54">
      <calculatedColumnFormula>_xlfn.LET(_xlpm.c,_xlfn.SINGLE(Table134[condition]),IF(RIGHT(_xlpm.c,2)="1g",1,0))</calculatedColumnFormula>
    </tableColumn>
    <tableColumn id="16" xr3:uid="{5E16C6B6-874A-C147-8435-4E98EAFB8C2F}" name="condition"/>
    <tableColumn id="2" xr3:uid="{41B1B10B-8C4A-4240-BDDC-B25DCDEE5EE3}" name="3" dataDxfId="53"/>
    <tableColumn id="3" xr3:uid="{7BF83B17-37CD-7B4A-BBF4-E40F12125754}" name="4" dataDxfId="52"/>
    <tableColumn id="4" xr3:uid="{EFA1DB72-B459-D342-9911-3C058B7D42C5}" name="5" dataDxfId="51"/>
    <tableColumn id="5" xr3:uid="{A4C626C9-43E6-FF41-8A5F-2861CEB28183}" name="6" dataDxfId="50"/>
    <tableColumn id="6" xr3:uid="{0F39332C-6788-0945-B374-4D1B74DB97A5}" name="7" dataDxfId="49"/>
    <tableColumn id="7" xr3:uid="{8535ADA7-C823-4944-978D-D6F36254E8EA}" name="8" dataDxfId="48"/>
    <tableColumn id="8" xr3:uid="{73CBC5AA-1141-304E-933F-295DE692BE72}" name="9" dataDxfId="47"/>
    <tableColumn id="9" xr3:uid="{0A5278B3-0D25-A143-A315-8926EC03E12A}" name="10" dataDxfId="46"/>
    <tableColumn id="13" xr3:uid="{BBE38999-39BD-2E48-9E33-3911812355FD}" name="11" dataDxfId="45"/>
    <tableColumn id="10" xr3:uid="{C33BA454-3165-0740-9205-BF688077CDB6}" name="12" dataDxfId="44"/>
    <tableColumn id="14" xr3:uid="{0FC3BB59-6F3E-854D-A5C8-6A938BE7AA10}" name="13" dataDxfId="43"/>
    <tableColumn id="15" xr3:uid="{AC22B1C5-12B8-094F-A9E3-97055FBCFF11}" name="14" dataDxfId="42"/>
    <tableColumn id="11" xr3:uid="{4E19A115-C477-244D-BD8E-30C1B3AC828D}" name="15" dataDxfId="41"/>
    <tableColumn id="12" xr3:uid="{C9822B6C-BC0F-9C4D-B976-7F14D0318281}" name="average" dataDxfId="40">
      <calculatedColumnFormula>_xlfn.LET(_xlpm.d,$D2:$P2,AVERAGE(_xlpm.d))</calculatedColumnFormula>
    </tableColumn>
    <tableColumn id="21" xr3:uid="{B2A0E7C3-9DA6-DA4D-AD5C-EF0D29B8B56D}" name="stdev" dataDxfId="39">
      <calculatedColumnFormula>_xlfn.LET(_xlpm.d,$D2:$P2,STDEV(_xlpm.d))</calculatedColumnFormula>
    </tableColumn>
    <tableColumn id="22" xr3:uid="{A74CCE87-B8A0-7C4D-8A11-DA7640A508DB}" name="score" dataDxfId="38">
      <calculatedColumnFormula>Table134[[#This Row],[average]]-SQRT(Table134[[#This Row],[stdev]])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E39A2-3F88-BC47-9552-70018CF8FBD2}" name="Table13" displayName="Table13" ref="A1:S36" totalsRowShown="0">
  <autoFilter ref="A1:S36" xr:uid="{CFFBF5C2-C562-4A4E-B95B-091D1721BBE3}"/>
  <tableColumns count="19">
    <tableColumn id="1" xr3:uid="{5FA330AF-5AC1-1D45-8CDC-0BDFD794DEFE}" name="lang">
      <calculatedColumnFormula>_xlfn.LET(_xlpm.c,_xlfn.SINGLE(Table13[condition]),_xlfn.TEXTBEFORE(_xlpm.c,"-"))</calculatedColumnFormula>
    </tableColumn>
    <tableColumn id="17" xr3:uid="{6ED875D4-A79A-7141-AA4E-62C191FCEDA1}" name="1g" dataDxfId="37">
      <calculatedColumnFormula>_xlfn.LET(_xlpm.c,_xlfn.SINGLE(Table13[condition]),IF(RIGHT(_xlpm.c,2)="1g",1,0))</calculatedColumnFormula>
    </tableColumn>
    <tableColumn id="16" xr3:uid="{FF7B45BF-6060-9846-BAEC-E507528A68AE}" name="condition"/>
    <tableColumn id="2" xr3:uid="{4CA470D3-F958-7F47-8CDA-76CD6233B733}" name="3" dataDxfId="36"/>
    <tableColumn id="3" xr3:uid="{E34F5376-BD28-8844-9EBE-FAAD23E29C66}" name="4" dataDxfId="35"/>
    <tableColumn id="4" xr3:uid="{69DB00B1-8FC2-3743-AA6A-14670685A98A}" name="5" dataDxfId="34"/>
    <tableColumn id="5" xr3:uid="{6D3EB189-EAD3-CA40-8651-943882FA47B4}" name="6" dataDxfId="33"/>
    <tableColumn id="6" xr3:uid="{E7D869F3-4C03-2A46-9630-F8BD8C0F47F6}" name="7" dataDxfId="32"/>
    <tableColumn id="7" xr3:uid="{7F1F6495-4776-7D4D-A02A-1CF776A6B44F}" name="8" dataDxfId="31"/>
    <tableColumn id="8" xr3:uid="{DA0E3F98-0FA5-534A-BF60-7F8FAC8314C6}" name="9" dataDxfId="30"/>
    <tableColumn id="9" xr3:uid="{36C68ACD-5916-0B47-B5F4-25BC01A00C5E}" name="10" dataDxfId="29"/>
    <tableColumn id="13" xr3:uid="{41D33140-34AE-7448-8B20-9DBC65BCFFC7}" name="11" dataDxfId="28"/>
    <tableColumn id="10" xr3:uid="{2633299B-22B7-224D-B649-1E14168B3D35}" name="12" dataDxfId="27"/>
    <tableColumn id="14" xr3:uid="{D31FDAD6-9F13-244D-A87B-00084C7C58EA}" name="13" dataDxfId="26"/>
    <tableColumn id="15" xr3:uid="{F2BAB94F-8FA2-084D-9F24-E5FA69C54B59}" name="14" dataDxfId="25"/>
    <tableColumn id="11" xr3:uid="{A3AC9D2A-365E-574D-B42A-768808916D38}" name="15" dataDxfId="24"/>
    <tableColumn id="12" xr3:uid="{87B441F9-3AF7-DB45-82BA-18CD0F753193}" name="average" dataDxfId="23">
      <calculatedColumnFormula>_xlfn.LET(_xlpm.d,$D2:$P2,AVERAGE(_xlpm.d))</calculatedColumnFormula>
    </tableColumn>
    <tableColumn id="21" xr3:uid="{A11A6AA0-4E17-F349-98D6-D2DC034D6A9A}" name="stdev" dataDxfId="22">
      <calculatedColumnFormula>_xlfn.LET(_xlpm.d,$D2:$P2,STDEV(_xlpm.d))</calculatedColumnFormula>
    </tableColumn>
    <tableColumn id="22" xr3:uid="{E5F54F79-BD24-6A43-9502-98B674AE1640}" name="score" dataDxfId="21">
      <calculatedColumnFormula>Table13[[#This Row],[average]]-SQRT(Table13[[#This Row],[stdev]])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V36" totalsRowShown="0">
  <autoFilter ref="A1:V36" xr:uid="{CFFBF5C2-C562-4A4E-B95B-091D1721BBE3}"/>
  <tableColumns count="22">
    <tableColumn id="1" xr3:uid="{B965C989-233C-BA49-B251-382897A2BABE}" name="condition"/>
    <tableColumn id="20" xr3:uid="{F35624D0-F949-214D-BD2D-CAFFBDB13FDF}" name="lang" dataDxfId="20">
      <calculatedColumnFormula>_xlfn.TEXTBEFORE(Table1[[#This Row],[condition]],"-")</calculatedColumnFormula>
    </tableColumn>
    <tableColumn id="16" xr3:uid="{ED3D7830-52D2-2342-8C36-5C732C80DA5C}" name="xsk" dataDxfId="19">
      <calculatedColumnFormula>LEFT(Table1[[#This Row],[encoding]],3)=C$1</calculatedColumnFormula>
    </tableColumn>
    <tableColumn id="17" xr3:uid="{35EE7A08-BCD5-3140-9F5F-1714F122F254}" name="sk" dataDxfId="18">
      <calculatedColumnFormula>LEFT(Table1[[#This Row],[encoding]],2)=D$1</calculatedColumnFormula>
    </tableColumn>
    <tableColumn id="18" xr3:uid="{4BC61AEB-8174-4E44-89C2-380B7D578DCF}" name="norm" dataDxfId="17">
      <calculatedColumnFormula>NOT(OR(C2,D2))</calculatedColumnFormula>
    </tableColumn>
    <tableColumn id="19" xr3:uid="{0BBF53C1-52D1-C444-B8CE-3927D3347C52}" name="encoding" dataDxfId="16">
      <calculatedColumnFormula>_xlfn.TEXTAFTER(Table1[[#This Row],[condition]],"-")</calculatedColumnFormula>
    </tableColumn>
    <tableColumn id="2" xr3:uid="{E49E0B59-37B0-284D-BE77-40B5319AB755}" name="3" dataDxfId="15"/>
    <tableColumn id="3" xr3:uid="{12F044D8-6B04-8146-9059-0DD6BE8C153F}" name="4" dataDxfId="14"/>
    <tableColumn id="4" xr3:uid="{28314014-34F8-EF4B-AF7B-FC88FF8A6DA9}" name="5" dataDxfId="13"/>
    <tableColumn id="5" xr3:uid="{0BD4A703-F893-784A-B65E-DB2D1E798103}" name="6" dataDxfId="12"/>
    <tableColumn id="6" xr3:uid="{50D9F421-0114-CF41-9767-B830E35DC34D}" name="7" dataDxfId="11"/>
    <tableColumn id="7" xr3:uid="{E0DD0445-0346-1E47-9A2C-83486C4A03C4}" name="8" dataDxfId="10"/>
    <tableColumn id="8" xr3:uid="{5556115A-B62B-C140-944D-BADBB061EBB5}" name="9" dataDxfId="9"/>
    <tableColumn id="9" xr3:uid="{1B92E407-F94E-544F-B76D-B160EB3BC0AB}" name="10" dataDxfId="8"/>
    <tableColumn id="13" xr3:uid="{9CDDE4F6-FA7F-644D-B533-4942218F0695}" name="11" dataDxfId="7"/>
    <tableColumn id="10" xr3:uid="{6871B4E2-64FC-EF4F-91D7-DFBFD9EFB3C2}" name="12" dataDxfId="6"/>
    <tableColumn id="14" xr3:uid="{2A4D86B7-DFA8-4F4A-B5BF-8AD445AD0336}" name="13" dataDxfId="5"/>
    <tableColumn id="15" xr3:uid="{6A54E2D7-49D8-8B47-B14C-B80C17AAE8A0}" name="14" dataDxfId="4"/>
    <tableColumn id="11" xr3:uid="{059EBDD8-5269-D041-AFDD-56AB88BB8F27}" name="15" dataDxfId="3"/>
    <tableColumn id="12" xr3:uid="{486FCDF8-9414-E045-9047-739B6B9DD560}" name="average" dataDxfId="2">
      <calculatedColumnFormula>_xlfn.LET(_xlpm.d,$G2:$S2,AVERAGE(_xlpm.d))</calculatedColumnFormula>
    </tableColumn>
    <tableColumn id="21" xr3:uid="{E3733C8F-2F2F-6A4B-A352-A07FCBB06045}" name="stdev" dataDxfId="1">
      <calculatedColumnFormula>_xlfn.LET(_xlpm.d,$G2:$S2,STDEV(_xlpm.d))</calculatedColumnFormula>
    </tableColumn>
    <tableColumn id="22" xr3:uid="{93D88A92-C19B-B24D-9FE2-7F612F31FB11}" name="score" dataDxfId="0">
      <calculatedColumnFormula>Table1[[#This Row],[average]]-SQRT(Table1[[#This Row],[stdev]])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9AFA-2A6F-3047-AA6D-27513B09A603}">
  <dimension ref="A1:S42"/>
  <sheetViews>
    <sheetView tabSelected="1" workbookViewId="0">
      <pane xSplit="9080" ySplit="3520" topLeftCell="A27" activePane="topRight"/>
      <selection activeCell="B1" sqref="B1:C36"/>
      <selection pane="topRight" activeCell="C1" sqref="C1:C1048576"/>
      <selection pane="bottomLeft" activeCell="C40" sqref="C40"/>
      <selection pane="bottomRight" activeCell="C37" sqref="C37:Q42"/>
    </sheetView>
  </sheetViews>
  <sheetFormatPr baseColWidth="10" defaultRowHeight="30" customHeight="1"/>
  <cols>
    <col min="1" max="1" width="10" customWidth="1"/>
    <col min="2" max="2" width="7.875" customWidth="1"/>
    <col min="3" max="3" width="12.625" customWidth="1"/>
    <col min="4" max="19" width="6.8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_xlfn.LET(_xlpm.c,_xlfn.SINGLE(Table134[condition]),_xlfn.TEXTBEFORE(_xlpm.c,"-"))</f>
        <v>arabic</v>
      </c>
      <c r="B2">
        <f>_xlfn.LET(_xlpm.c,_xlfn.SINGLE(Table134[condition]),IF(RIGHT(_xlpm.c,2)="1g",1,0))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Table134[[#This Row],[average]]-SQRT(Table134[[#This Row],[stdev]])</f>
        <v>1</v>
      </c>
    </row>
    <row r="3" spans="1:19" ht="30" customHeight="1">
      <c r="A3" t="str">
        <f>_xlfn.LET(_xlpm.c,_xlfn.SINGLE(Table134[condition]),_xlfn.TEXTBEFORE(_xlpm.c,"-"))</f>
        <v>arabic</v>
      </c>
      <c r="B3">
        <f>_xlfn.LET(_xlpm.c,_xlfn.SINGLE(Table134[condition]),IF(RIGHT(_xlpm.c,2)="1g",1,0))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26" si="0">_xlfn.LET(_xlpm.d,$D3:$P3,AVERAGE(_xlpm.d))</f>
        <v>1</v>
      </c>
      <c r="R3" s="3">
        <f t="shared" ref="R3:R26" si="1">_xlfn.LET(_xlpm.d,$D3:$P3,STDEV(_xlpm.d))</f>
        <v>0</v>
      </c>
      <c r="S3" s="1">
        <f>Table134[[#This Row],[average]]-SQRT(Table134[[#This Row],[stdev]])</f>
        <v>1</v>
      </c>
    </row>
    <row r="4" spans="1:19" ht="30" customHeight="1">
      <c r="A4" t="str">
        <f>_xlfn.LET(_xlpm.c,_xlfn.SINGLE(Table134[condition]),_xlfn.TEXTBEFORE(_xlpm.c,"-"))</f>
        <v>arabic</v>
      </c>
      <c r="B4">
        <f>_xlfn.LET(_xlpm.c,_xlfn.SINGLE(Table134[condition]),IF(RIGHT(_xlpm.c,2)="1g",1,0))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0.99931127919426099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0.99994702147648162</v>
      </c>
      <c r="R4" s="3">
        <f t="shared" si="1"/>
        <v>1.9101678304391258E-4</v>
      </c>
      <c r="S4" s="1">
        <f>Table134[[#This Row],[average]]-SQRT(Table134[[#This Row],[stdev]])</f>
        <v>0.98612613933951543</v>
      </c>
    </row>
    <row r="5" spans="1:19" ht="30" customHeight="1">
      <c r="A5" t="str">
        <f>_xlfn.LET(_xlpm.c,_xlfn.SINGLE(Table134[condition]),_xlfn.TEXTBEFORE(_xlpm.c,"-"))</f>
        <v>arabic</v>
      </c>
      <c r="B5">
        <f>_xlfn.LET(_xlpm.c,_xlfn.SINGLE(Table134[condition]),IF(RIGHT(_xlpm.c,2)="1g",1,0))</f>
        <v>0</v>
      </c>
      <c r="C5" t="s">
        <v>14</v>
      </c>
      <c r="D5" s="1">
        <v>0.99870122641009995</v>
      </c>
      <c r="E5" s="1">
        <v>1</v>
      </c>
      <c r="F5" s="1">
        <v>0.99880948837677597</v>
      </c>
      <c r="G5" s="1">
        <v>1</v>
      </c>
      <c r="H5" s="1">
        <v>0.99518280291962202</v>
      </c>
      <c r="I5" s="1">
        <v>1</v>
      </c>
      <c r="J5" s="1">
        <v>1</v>
      </c>
      <c r="K5" s="1">
        <v>0.98898968210386295</v>
      </c>
      <c r="L5" s="1">
        <v>1</v>
      </c>
      <c r="M5" s="1">
        <v>1</v>
      </c>
      <c r="N5" s="1">
        <v>1</v>
      </c>
      <c r="O5" s="1">
        <v>0.99583248907967703</v>
      </c>
      <c r="P5" s="1">
        <v>0.99459333055661703</v>
      </c>
      <c r="Q5" s="1">
        <f t="shared" si="0"/>
        <v>0.997854539957435</v>
      </c>
      <c r="R5" s="3">
        <f t="shared" si="1"/>
        <v>3.3453681419727457E-3</v>
      </c>
      <c r="S5" s="1">
        <f>Table134[[#This Row],[average]]-SQRT(Table134[[#This Row],[stdev]])</f>
        <v>0.94001538244305949</v>
      </c>
    </row>
    <row r="6" spans="1:19" ht="30" customHeight="1">
      <c r="A6" t="str">
        <f>_xlfn.LET(_xlpm.c,_xlfn.SINGLE(Table134[condition]),_xlfn.TEXTBEFORE(_xlpm.c,"-"))</f>
        <v>arabic</v>
      </c>
      <c r="B6">
        <f>_xlfn.LET(_xlpm.c,_xlfn.SINGLE(Table134[condition]),IF(RIGHT(_xlpm.c,2)="1g",1,0))</f>
        <v>0</v>
      </c>
      <c r="C6" t="s">
        <v>15</v>
      </c>
      <c r="D6" s="1">
        <v>1</v>
      </c>
      <c r="E6" s="1">
        <v>0.99937185409177098</v>
      </c>
      <c r="F6" s="1">
        <v>0.99974025916198594</v>
      </c>
      <c r="G6" s="1">
        <v>1</v>
      </c>
      <c r="H6" s="1">
        <v>0.98130927491440401</v>
      </c>
      <c r="I6" s="1">
        <v>1</v>
      </c>
      <c r="J6" s="1">
        <v>0.99378498166682305</v>
      </c>
      <c r="K6" s="1">
        <v>0.97689492372965903</v>
      </c>
      <c r="L6" s="1">
        <v>0.98372437486200603</v>
      </c>
      <c r="M6" s="1">
        <v>1</v>
      </c>
      <c r="N6" s="1">
        <v>1</v>
      </c>
      <c r="O6" s="1">
        <v>1</v>
      </c>
      <c r="P6" s="1">
        <v>1</v>
      </c>
      <c r="Q6" s="1">
        <f t="shared" si="0"/>
        <v>0.99498658987897304</v>
      </c>
      <c r="R6" s="3">
        <f t="shared" si="1"/>
        <v>8.4677159417488792E-3</v>
      </c>
      <c r="S6" s="1">
        <f>Table134[[#This Row],[average]]-SQRT(Table134[[#This Row],[stdev]])</f>
        <v>0.90296639675947954</v>
      </c>
    </row>
    <row r="7" spans="1:19" ht="30" customHeight="1">
      <c r="A7" t="str">
        <f>_xlfn.LET(_xlpm.c,_xlfn.SINGLE(Table134[condition]),_xlfn.TEXTBEFORE(_xlpm.c,"-"))</f>
        <v>english</v>
      </c>
      <c r="B7">
        <f>_xlfn.LET(_xlpm.c,_xlfn.SINGLE(Table134[condition]),IF(RIGHT(_xlpm.c,2)="1g",1,0))</f>
        <v>1</v>
      </c>
      <c r="C7" t="s">
        <v>16</v>
      </c>
      <c r="D7" s="1">
        <v>0.88468197605629295</v>
      </c>
      <c r="E7" s="1">
        <v>0.82481186598828904</v>
      </c>
      <c r="F7" s="1">
        <v>0.81776734067839696</v>
      </c>
      <c r="G7" s="1">
        <v>0.69323989483108395</v>
      </c>
      <c r="H7" s="1">
        <v>0.69315922414310405</v>
      </c>
      <c r="I7" s="1">
        <v>0.52049226294198903</v>
      </c>
      <c r="J7" s="1">
        <v>0.62383341238100998</v>
      </c>
      <c r="K7" s="1">
        <v>0.45429511364692199</v>
      </c>
      <c r="L7" s="1">
        <v>0.39839981930273499</v>
      </c>
      <c r="M7" s="1">
        <v>0.32656467464570499</v>
      </c>
      <c r="N7" s="1">
        <v>0.40894747124105402</v>
      </c>
      <c r="O7" s="1">
        <v>0</v>
      </c>
      <c r="P7" s="1">
        <v>0.24074918584295699</v>
      </c>
      <c r="Q7" s="1">
        <f t="shared" si="0"/>
        <v>0.52976478782304148</v>
      </c>
      <c r="R7" s="3">
        <f t="shared" si="1"/>
        <v>0.25841527993152108</v>
      </c>
      <c r="S7" s="1">
        <f>Table134[[#This Row],[average]]-SQRT(Table134[[#This Row],[stdev]])</f>
        <v>2.1419157438043457E-2</v>
      </c>
    </row>
    <row r="8" spans="1:19" ht="30" customHeight="1">
      <c r="A8" t="str">
        <f>_xlfn.LET(_xlpm.c,_xlfn.SINGLE(Table134[condition]),_xlfn.TEXTBEFORE(_xlpm.c,"-"))</f>
        <v>english</v>
      </c>
      <c r="B8">
        <f>_xlfn.LET(_xlpm.c,_xlfn.SINGLE(Table134[condition]),IF(RIGHT(_xlpm.c,2)="1g",1,0))</f>
        <v>0</v>
      </c>
      <c r="C8" t="s">
        <v>17</v>
      </c>
      <c r="D8" s="1">
        <v>0.55513644220719005</v>
      </c>
      <c r="E8" s="1">
        <v>0.662508345994818</v>
      </c>
      <c r="F8" s="1">
        <v>0.57856372850198001</v>
      </c>
      <c r="G8" s="1">
        <v>0.52940028397021599</v>
      </c>
      <c r="H8" s="1">
        <v>0.467325424335791</v>
      </c>
      <c r="I8" s="1">
        <v>0.28111012313163902</v>
      </c>
      <c r="J8" s="1">
        <v>0.54244293932188004</v>
      </c>
      <c r="K8" s="1">
        <v>0.63329833128157598</v>
      </c>
      <c r="L8" s="1">
        <v>0.298819636571516</v>
      </c>
      <c r="M8" s="1">
        <v>0.54583062611162703</v>
      </c>
      <c r="N8" s="1">
        <v>0.53190420082677103</v>
      </c>
      <c r="O8" s="1">
        <v>0.49527996019079801</v>
      </c>
      <c r="P8" s="1">
        <v>0.26833948116858197</v>
      </c>
      <c r="Q8" s="1">
        <f t="shared" si="0"/>
        <v>0.49153534797033732</v>
      </c>
      <c r="R8" s="3">
        <f t="shared" si="1"/>
        <v>0.12954573310565237</v>
      </c>
      <c r="S8" s="1">
        <f>Table134[[#This Row],[average]]-SQRT(Table134[[#This Row],[stdev]])</f>
        <v>0.13161072654850076</v>
      </c>
    </row>
    <row r="9" spans="1:19" ht="30" customHeight="1">
      <c r="A9" t="str">
        <f>_xlfn.LET(_xlpm.c,_xlfn.SINGLE(Table134[condition]),_xlfn.TEXTBEFORE(_xlpm.c,"-"))</f>
        <v>english</v>
      </c>
      <c r="B9">
        <f>_xlfn.LET(_xlpm.c,_xlfn.SINGLE(Table134[condition]),IF(RIGHT(_xlpm.c,2)="1g",1,0))</f>
        <v>0</v>
      </c>
      <c r="C9" t="s">
        <v>18</v>
      </c>
      <c r="D9" s="1">
        <v>0.66357631011378604</v>
      </c>
      <c r="E9" s="1">
        <v>0.637511221321995</v>
      </c>
      <c r="F9" s="1">
        <v>0.46487322444887003</v>
      </c>
      <c r="G9" s="1">
        <v>0.58397587631591596</v>
      </c>
      <c r="H9" s="1">
        <v>0.52486587242173099</v>
      </c>
      <c r="I9" s="1">
        <v>0.52828038616862905</v>
      </c>
      <c r="J9" s="1">
        <v>0.34776986809417598</v>
      </c>
      <c r="K9" s="1">
        <v>0.244731886469887</v>
      </c>
      <c r="L9" s="1">
        <v>0.51390921275030099</v>
      </c>
      <c r="M9" s="1">
        <v>0.67063552575536201</v>
      </c>
      <c r="N9" s="1">
        <v>0.58998231619916897</v>
      </c>
      <c r="O9" s="1">
        <v>0.28566821302480799</v>
      </c>
      <c r="P9" s="1">
        <v>0.22125697411659601</v>
      </c>
      <c r="Q9" s="1">
        <f t="shared" si="0"/>
        <v>0.48284899132317122</v>
      </c>
      <c r="R9" s="3">
        <f t="shared" si="1"/>
        <v>0.15835740464323139</v>
      </c>
      <c r="S9" s="1">
        <f>Table134[[#This Row],[average]]-SQRT(Table134[[#This Row],[stdev]])</f>
        <v>8.4907532508898653E-2</v>
      </c>
    </row>
    <row r="10" spans="1:19" ht="30" customHeight="1">
      <c r="A10" t="str">
        <f>_xlfn.LET(_xlpm.c,_xlfn.SINGLE(Table134[condition]),_xlfn.TEXTBEFORE(_xlpm.c,"-"))</f>
        <v>english</v>
      </c>
      <c r="B10">
        <f>_xlfn.LET(_xlpm.c,_xlfn.SINGLE(Table134[condition]),IF(RIGHT(_xlpm.c,2)="1g",1,0))</f>
        <v>0</v>
      </c>
      <c r="C10" t="s">
        <v>19</v>
      </c>
      <c r="D10" s="1">
        <v>0.87298284708875096</v>
      </c>
      <c r="E10" s="1">
        <v>0.69922632006692498</v>
      </c>
      <c r="F10" s="1">
        <v>0.71566662970132799</v>
      </c>
      <c r="G10" s="1">
        <v>0.52043646947213595</v>
      </c>
      <c r="H10" s="1">
        <v>0.63057253317880102</v>
      </c>
      <c r="I10" s="1">
        <v>0.55676578387245401</v>
      </c>
      <c r="J10" s="1">
        <v>0.60350491519612603</v>
      </c>
      <c r="K10" s="1">
        <v>0.59018621544136696</v>
      </c>
      <c r="L10" s="1">
        <v>0.59282916246987505</v>
      </c>
      <c r="M10" s="1">
        <v>0.51618076599654295</v>
      </c>
      <c r="N10" s="1">
        <v>0.38877618663791702</v>
      </c>
      <c r="O10" s="1">
        <v>0.47500560027953997</v>
      </c>
      <c r="P10" s="1">
        <v>0.55966372418075505</v>
      </c>
      <c r="Q10" s="1">
        <f t="shared" si="0"/>
        <v>0.59398439642942447</v>
      </c>
      <c r="R10" s="3">
        <f t="shared" si="1"/>
        <v>0.12092003420290837</v>
      </c>
      <c r="S10" s="1">
        <f>Table134[[#This Row],[average]]-SQRT(Table134[[#This Row],[stdev]])</f>
        <v>0.24624881555955092</v>
      </c>
    </row>
    <row r="11" spans="1:19" ht="30" customHeight="1">
      <c r="A11" t="str">
        <f>_xlfn.LET(_xlpm.c,_xlfn.SINGLE(Table134[condition]),_xlfn.TEXTBEFORE(_xlpm.c,"-"))</f>
        <v>english</v>
      </c>
      <c r="B11">
        <f>_xlfn.LET(_xlpm.c,_xlfn.SINGLE(Table134[condition]),IF(RIGHT(_xlpm.c,2)="1g",1,0))</f>
        <v>0</v>
      </c>
      <c r="C11" t="s">
        <v>20</v>
      </c>
      <c r="D11" s="1">
        <v>0.68372801863254895</v>
      </c>
      <c r="E11" s="1">
        <v>0.54007154077497199</v>
      </c>
      <c r="F11" s="1">
        <v>0.57739065480228902</v>
      </c>
      <c r="G11" s="1">
        <v>0.658878382914733</v>
      </c>
      <c r="H11" s="1">
        <v>0.61539954386690998</v>
      </c>
      <c r="I11" s="1">
        <v>0.61087804717043104</v>
      </c>
      <c r="J11" s="1">
        <v>0.85135378813381102</v>
      </c>
      <c r="K11" s="1">
        <v>0.41597184130991899</v>
      </c>
      <c r="L11" s="1">
        <v>0.67709132323482302</v>
      </c>
      <c r="M11" s="1">
        <v>0.35041756285728698</v>
      </c>
      <c r="N11" s="1">
        <v>0.40104987503946599</v>
      </c>
      <c r="O11" s="1">
        <v>0.59724260457363898</v>
      </c>
      <c r="P11" s="1">
        <v>0.53585066189221897</v>
      </c>
      <c r="Q11" s="1">
        <f t="shared" si="0"/>
        <v>0.57810183424638839</v>
      </c>
      <c r="R11" s="3">
        <f t="shared" si="1"/>
        <v>0.13468626758481284</v>
      </c>
      <c r="S11" s="1">
        <f>Table134[[#This Row],[average]]-SQRT(Table134[[#This Row],[stdev]])</f>
        <v>0.21110555690176347</v>
      </c>
    </row>
    <row r="12" spans="1:19" ht="30" customHeight="1">
      <c r="A12" t="str">
        <f>_xlfn.LET(_xlpm.c,_xlfn.SINGLE(Table134[condition]),_xlfn.TEXTBEFORE(_xlpm.c,"-"))</f>
        <v>french</v>
      </c>
      <c r="B12">
        <f>_xlfn.LET(_xlpm.c,_xlfn.SINGLE(Table134[condition]),IF(RIGHT(_xlpm.c,2)="1g",1,0))</f>
        <v>1</v>
      </c>
      <c r="C12" t="s">
        <v>21</v>
      </c>
      <c r="D12" s="1">
        <v>0.90548333828083705</v>
      </c>
      <c r="E12" s="1">
        <v>1</v>
      </c>
      <c r="F12" s="1">
        <v>0.88213870001333805</v>
      </c>
      <c r="G12" s="1">
        <v>0.86590458436816498</v>
      </c>
      <c r="H12" s="1">
        <v>0.729673633177926</v>
      </c>
      <c r="I12" s="1">
        <v>0.72506064787889102</v>
      </c>
      <c r="J12" s="1">
        <v>0.47747993780241699</v>
      </c>
      <c r="K12" s="1">
        <v>0.61761696341678896</v>
      </c>
      <c r="L12" s="1">
        <v>0.76196216620392498</v>
      </c>
      <c r="M12" s="1">
        <v>0.26228746605568298</v>
      </c>
      <c r="N12" s="1">
        <v>0.51205406629532002</v>
      </c>
      <c r="O12" s="1">
        <v>0.45997537645416797</v>
      </c>
      <c r="P12" s="1">
        <v>0.53084529694726901</v>
      </c>
      <c r="Q12" s="1">
        <f t="shared" si="0"/>
        <v>0.67157555206882524</v>
      </c>
      <c r="R12" s="3">
        <f t="shared" si="1"/>
        <v>0.21548588171126484</v>
      </c>
      <c r="S12" s="1">
        <f>Table134[[#This Row],[average]]-SQRT(Table134[[#This Row],[stdev]])</f>
        <v>0.20737098325108422</v>
      </c>
    </row>
    <row r="13" spans="1:19" ht="30" customHeight="1">
      <c r="A13" t="str">
        <f>_xlfn.LET(_xlpm.c,_xlfn.SINGLE(Table134[condition]),_xlfn.TEXTBEFORE(_xlpm.c,"-"))</f>
        <v>french</v>
      </c>
      <c r="B13">
        <f>_xlfn.LET(_xlpm.c,_xlfn.SINGLE(Table134[condition]),IF(RIGHT(_xlpm.c,2)="1g",1,0))</f>
        <v>0</v>
      </c>
      <c r="C13" t="s">
        <v>22</v>
      </c>
      <c r="D13" s="1">
        <v>0.62908175473849204</v>
      </c>
      <c r="E13" s="1">
        <v>0.752207757211242</v>
      </c>
      <c r="F13" s="1">
        <v>0.53291460620884301</v>
      </c>
      <c r="G13" s="1">
        <v>0.55801745453178597</v>
      </c>
      <c r="H13" s="1">
        <v>0.502756724337871</v>
      </c>
      <c r="I13" s="1">
        <v>0.61232574279591101</v>
      </c>
      <c r="J13" s="1">
        <v>0.44270523475583701</v>
      </c>
      <c r="K13" s="1">
        <v>0.55645493392105105</v>
      </c>
      <c r="L13" s="1">
        <v>0.35723025355995303</v>
      </c>
      <c r="M13" s="1">
        <v>0.33873297410033099</v>
      </c>
      <c r="N13" s="1">
        <v>0.44501918099411297</v>
      </c>
      <c r="O13" s="1">
        <v>0.27705819826119199</v>
      </c>
      <c r="P13" s="1">
        <v>0.25729469087955498</v>
      </c>
      <c r="Q13" s="1">
        <f t="shared" si="0"/>
        <v>0.48167688509970602</v>
      </c>
      <c r="R13" s="3">
        <f t="shared" si="1"/>
        <v>0.14647873960358493</v>
      </c>
      <c r="S13" s="1">
        <f>Table134[[#This Row],[average]]-SQRT(Table134[[#This Row],[stdev]])</f>
        <v>9.8951474911690263E-2</v>
      </c>
    </row>
    <row r="14" spans="1:19" ht="30" customHeight="1">
      <c r="A14" t="str">
        <f>_xlfn.LET(_xlpm.c,_xlfn.SINGLE(Table134[condition]),_xlfn.TEXTBEFORE(_xlpm.c,"-"))</f>
        <v>french</v>
      </c>
      <c r="B14">
        <f>_xlfn.LET(_xlpm.c,_xlfn.SINGLE(Table134[condition]),IF(RIGHT(_xlpm.c,2)="1g",1,0))</f>
        <v>0</v>
      </c>
      <c r="C14" t="s">
        <v>23</v>
      </c>
      <c r="D14" s="1">
        <v>0.75327518554177497</v>
      </c>
      <c r="E14" s="1">
        <v>0.54287793147749097</v>
      </c>
      <c r="F14" s="1">
        <v>0.71789898469888902</v>
      </c>
      <c r="G14" s="1">
        <v>0.54455265560613997</v>
      </c>
      <c r="H14" s="1">
        <v>0.40283840832948098</v>
      </c>
      <c r="I14" s="1">
        <v>0.660743829273161</v>
      </c>
      <c r="J14" s="1">
        <v>0.534811063996528</v>
      </c>
      <c r="K14" s="1">
        <v>0.61536316652033896</v>
      </c>
      <c r="L14" s="1">
        <v>0.40260956272168902</v>
      </c>
      <c r="M14" s="1">
        <v>0.35696570770510799</v>
      </c>
      <c r="N14" s="1">
        <v>0.52051808666827404</v>
      </c>
      <c r="O14" s="1">
        <v>0.57307129876837104</v>
      </c>
      <c r="P14" s="1">
        <v>0.41108035072110199</v>
      </c>
      <c r="Q14" s="1">
        <f t="shared" si="0"/>
        <v>0.54127740246371903</v>
      </c>
      <c r="R14" s="3">
        <f t="shared" si="1"/>
        <v>0.12473714778103941</v>
      </c>
      <c r="S14" s="1">
        <f>Table134[[#This Row],[average]]-SQRT(Table134[[#This Row],[stdev]])</f>
        <v>0.18809593666881153</v>
      </c>
    </row>
    <row r="15" spans="1:19" ht="30" customHeight="1">
      <c r="A15" t="str">
        <f>_xlfn.LET(_xlpm.c,_xlfn.SINGLE(Table134[condition]),_xlfn.TEXTBEFORE(_xlpm.c,"-"))</f>
        <v>french</v>
      </c>
      <c r="B15">
        <f>_xlfn.LET(_xlpm.c,_xlfn.SINGLE(Table134[condition]),IF(RIGHT(_xlpm.c,2)="1g",1,0))</f>
        <v>0</v>
      </c>
      <c r="C15" t="s">
        <v>24</v>
      </c>
      <c r="D15" s="1">
        <v>0.71592329178376302</v>
      </c>
      <c r="E15" s="1">
        <v>0.67014037989329001</v>
      </c>
      <c r="F15" s="1">
        <v>0</v>
      </c>
      <c r="G15" s="1">
        <v>0.64183545233691996</v>
      </c>
      <c r="H15" s="1">
        <v>0.69439961725667698</v>
      </c>
      <c r="I15" s="1">
        <v>0.65331398139269004</v>
      </c>
      <c r="J15" s="1">
        <v>0.60415490403351402</v>
      </c>
      <c r="K15" s="1">
        <v>0.68365486021795396</v>
      </c>
      <c r="L15" s="1">
        <v>0.24495222402401601</v>
      </c>
      <c r="M15" s="1">
        <v>0.71881956652341295</v>
      </c>
      <c r="N15" s="1">
        <v>0.33095051660089098</v>
      </c>
      <c r="O15" s="1">
        <v>0.62053786605390404</v>
      </c>
      <c r="P15" s="1">
        <v>0.54015577777259904</v>
      </c>
      <c r="Q15" s="1">
        <f t="shared" si="0"/>
        <v>0.54760295676074078</v>
      </c>
      <c r="R15" s="3">
        <f t="shared" si="1"/>
        <v>0.21980181886994227</v>
      </c>
      <c r="S15" s="1">
        <f>Table134[[#This Row],[average]]-SQRT(Table134[[#This Row],[stdev]])</f>
        <v>7.8772690171709348E-2</v>
      </c>
    </row>
    <row r="16" spans="1:19" ht="30" customHeight="1">
      <c r="A16" t="str">
        <f>_xlfn.LET(_xlpm.c,_xlfn.SINGLE(Table134[condition]),_xlfn.TEXTBEFORE(_xlpm.c,"-"))</f>
        <v>french</v>
      </c>
      <c r="B16">
        <f>_xlfn.LET(_xlpm.c,_xlfn.SINGLE(Table134[condition]),IF(RIGHT(_xlpm.c,2)="1g",1,0))</f>
        <v>0</v>
      </c>
      <c r="C16" t="s">
        <v>25</v>
      </c>
      <c r="D16" s="1">
        <v>0.90643345442063405</v>
      </c>
      <c r="E16" s="1">
        <v>0.61340488233780899</v>
      </c>
      <c r="F16" s="1">
        <v>0.64512960662881103</v>
      </c>
      <c r="G16" s="1">
        <v>0.45824590710720697</v>
      </c>
      <c r="H16" s="1">
        <v>0.31662854285773401</v>
      </c>
      <c r="I16" s="1">
        <v>0.425170143636253</v>
      </c>
      <c r="J16" s="1">
        <v>0.505836916492863</v>
      </c>
      <c r="K16" s="1">
        <v>0.42562758722180999</v>
      </c>
      <c r="L16" s="1">
        <v>0.64106675158626403</v>
      </c>
      <c r="M16" s="1">
        <v>0.28297502281195303</v>
      </c>
      <c r="N16" s="1">
        <v>0.28975499610377098</v>
      </c>
      <c r="O16" s="1">
        <v>0.53194740442358102</v>
      </c>
      <c r="P16" s="1">
        <v>0</v>
      </c>
      <c r="Q16" s="1">
        <f t="shared" si="0"/>
        <v>0.46478624735605306</v>
      </c>
      <c r="R16" s="3">
        <f t="shared" si="1"/>
        <v>0.22206378772760521</v>
      </c>
      <c r="S16" s="1">
        <f>Table134[[#This Row],[average]]-SQRT(Table134[[#This Row],[stdev]])</f>
        <v>-6.450198313851796E-3</v>
      </c>
    </row>
    <row r="17" spans="1:19" ht="30" customHeight="1">
      <c r="A17" t="str">
        <f>_xlfn.LET(_xlpm.c,_xlfn.SINGLE(Table134[condition]),_xlfn.TEXTBEFORE(_xlpm.c,"-"))</f>
        <v>german</v>
      </c>
      <c r="B17">
        <f>_xlfn.LET(_xlpm.c,_xlfn.SINGLE(Table134[condition]),IF(RIGHT(_xlpm.c,2)="1g",1,0))</f>
        <v>1</v>
      </c>
      <c r="C17" t="s">
        <v>26</v>
      </c>
      <c r="D17" s="1">
        <v>1</v>
      </c>
      <c r="E17" s="1">
        <v>0.96896772623869698</v>
      </c>
      <c r="F17" s="1">
        <v>0.81567833510479903</v>
      </c>
      <c r="G17" s="1">
        <v>0.92377102761874796</v>
      </c>
      <c r="H17" s="1">
        <v>0.63169026761500002</v>
      </c>
      <c r="I17" s="1">
        <v>0.63885527928717201</v>
      </c>
      <c r="J17" s="1">
        <v>0.65297587024920201</v>
      </c>
      <c r="K17" s="1">
        <v>0.597217387077562</v>
      </c>
      <c r="L17" s="1">
        <v>0.56318949175815602</v>
      </c>
      <c r="M17" s="1">
        <v>0.51591938520353198</v>
      </c>
      <c r="N17" s="1">
        <v>0.58109083275510998</v>
      </c>
      <c r="O17" s="1">
        <v>0.389786929792385</v>
      </c>
      <c r="P17" s="1">
        <v>0.35401390498837498</v>
      </c>
      <c r="Q17" s="1">
        <f t="shared" si="0"/>
        <v>0.66408895674528756</v>
      </c>
      <c r="R17" s="3">
        <f t="shared" si="1"/>
        <v>0.20673954708632836</v>
      </c>
      <c r="S17" s="1">
        <f>Table134[[#This Row],[average]]-SQRT(Table134[[#This Row],[stdev]])</f>
        <v>0.20940274947006315</v>
      </c>
    </row>
    <row r="18" spans="1:19" ht="30" customHeight="1">
      <c r="A18" t="str">
        <f>_xlfn.LET(_xlpm.c,_xlfn.SINGLE(Table134[condition]),_xlfn.TEXTBEFORE(_xlpm.c,"-"))</f>
        <v>german</v>
      </c>
      <c r="B18">
        <f>_xlfn.LET(_xlpm.c,_xlfn.SINGLE(Table134[condition]),IF(RIGHT(_xlpm.c,2)="1g",1,0))</f>
        <v>0</v>
      </c>
      <c r="C18" t="s">
        <v>27</v>
      </c>
      <c r="D18" s="1">
        <v>0.95050832449934097</v>
      </c>
      <c r="E18" s="1">
        <v>0.62838180307701796</v>
      </c>
      <c r="F18" s="1">
        <v>0.46002815434577499</v>
      </c>
      <c r="G18" s="1">
        <v>0.69380538907674505</v>
      </c>
      <c r="H18" s="1">
        <v>0.61433910046150497</v>
      </c>
      <c r="I18" s="1">
        <v>0.54997434279784496</v>
      </c>
      <c r="J18" s="1">
        <v>0.58721382559595403</v>
      </c>
      <c r="K18" s="1">
        <v>0.56932972192695597</v>
      </c>
      <c r="L18" s="1">
        <v>0.26532925780873701</v>
      </c>
      <c r="M18" s="1">
        <v>0.35626375111616898</v>
      </c>
      <c r="N18" s="1">
        <v>0.570972182944256</v>
      </c>
      <c r="O18" s="1">
        <v>0.47362778004297001</v>
      </c>
      <c r="P18" s="1">
        <v>0.53028050852917097</v>
      </c>
      <c r="Q18" s="1">
        <f t="shared" si="0"/>
        <v>0.5576964724786494</v>
      </c>
      <c r="R18" s="3">
        <f t="shared" si="1"/>
        <v>0.16474376161136722</v>
      </c>
      <c r="S18" s="1">
        <f>Table134[[#This Row],[average]]-SQRT(Table134[[#This Row],[stdev]])</f>
        <v>0.15181008244891803</v>
      </c>
    </row>
    <row r="19" spans="1:19" ht="30" customHeight="1">
      <c r="A19" t="str">
        <f>_xlfn.LET(_xlpm.c,_xlfn.SINGLE(Table134[condition]),_xlfn.TEXTBEFORE(_xlpm.c,"-"))</f>
        <v>german</v>
      </c>
      <c r="B19">
        <f>_xlfn.LET(_xlpm.c,_xlfn.SINGLE(Table134[condition]),IF(RIGHT(_xlpm.c,2)="1g",1,0))</f>
        <v>0</v>
      </c>
      <c r="C19" t="s">
        <v>28</v>
      </c>
      <c r="D19" s="1">
        <v>0.74676343061433903</v>
      </c>
      <c r="E19" s="1">
        <v>0.69444456453738101</v>
      </c>
      <c r="F19" s="1">
        <v>0.744773732816015</v>
      </c>
      <c r="G19" s="1">
        <v>0.53017529977009403</v>
      </c>
      <c r="H19" s="1">
        <v>0.78797062973554799</v>
      </c>
      <c r="I19" s="1">
        <v>0.55235887439606601</v>
      </c>
      <c r="J19" s="1">
        <v>0.732615560524285</v>
      </c>
      <c r="K19" s="1">
        <v>0.376496445000222</v>
      </c>
      <c r="L19" s="1">
        <v>0.47709434403935802</v>
      </c>
      <c r="M19" s="1">
        <v>0.61541967287606802</v>
      </c>
      <c r="N19" s="1">
        <v>0.498792274607818</v>
      </c>
      <c r="O19" s="1">
        <v>0.52409481855945905</v>
      </c>
      <c r="P19" s="1">
        <v>0.44512360874464602</v>
      </c>
      <c r="Q19" s="1">
        <f t="shared" si="0"/>
        <v>0.59431717355548452</v>
      </c>
      <c r="R19" s="3">
        <f t="shared" si="1"/>
        <v>0.13427353858731944</v>
      </c>
      <c r="S19" s="1">
        <f>Table134[[#This Row],[average]]-SQRT(Table134[[#This Row],[stdev]])</f>
        <v>0.22788363444188287</v>
      </c>
    </row>
    <row r="20" spans="1:19" ht="30" customHeight="1">
      <c r="A20" t="str">
        <f>_xlfn.LET(_xlpm.c,_xlfn.SINGLE(Table134[condition]),_xlfn.TEXTBEFORE(_xlpm.c,"-"))</f>
        <v>german</v>
      </c>
      <c r="B20">
        <f>_xlfn.LET(_xlpm.c,_xlfn.SINGLE(Table134[condition]),IF(RIGHT(_xlpm.c,2)="1g",1,0))</f>
        <v>0</v>
      </c>
      <c r="C20" t="s">
        <v>29</v>
      </c>
      <c r="D20" s="1">
        <v>0.75103127688177895</v>
      </c>
      <c r="E20" s="1">
        <v>0.72492593360772195</v>
      </c>
      <c r="F20" s="1">
        <v>0.79198859100254304</v>
      </c>
      <c r="G20" s="1">
        <v>0.72419003555814798</v>
      </c>
      <c r="H20" s="1">
        <v>0.68127627552614001</v>
      </c>
      <c r="I20" s="1">
        <v>0.367435599975594</v>
      </c>
      <c r="J20" s="1">
        <v>0.68072326410611395</v>
      </c>
      <c r="K20" s="1">
        <v>0.481135203189894</v>
      </c>
      <c r="L20" s="1">
        <v>0.53668775222644205</v>
      </c>
      <c r="M20" s="1">
        <v>0.47467392034608102</v>
      </c>
      <c r="N20" s="1">
        <v>0.39814618721438</v>
      </c>
      <c r="O20" s="1">
        <v>0.51328802824629705</v>
      </c>
      <c r="P20" s="1">
        <v>0.37201990632738602</v>
      </c>
      <c r="Q20" s="1">
        <f t="shared" si="0"/>
        <v>0.57673245955450159</v>
      </c>
      <c r="R20" s="3">
        <f t="shared" si="1"/>
        <v>0.1540975978763694</v>
      </c>
      <c r="S20" s="1">
        <f>Table134[[#This Row],[average]]-SQRT(Table134[[#This Row],[stdev]])</f>
        <v>0.18417979063430512</v>
      </c>
    </row>
    <row r="21" spans="1:19" ht="30" customHeight="1">
      <c r="A21" t="str">
        <f>_xlfn.LET(_xlpm.c,_xlfn.SINGLE(Table134[condition]),_xlfn.TEXTBEFORE(_xlpm.c,"-"))</f>
        <v>german</v>
      </c>
      <c r="B21">
        <f>_xlfn.LET(_xlpm.c,_xlfn.SINGLE(Table134[condition]),IF(RIGHT(_xlpm.c,2)="1g",1,0))</f>
        <v>0</v>
      </c>
      <c r="C21" t="s">
        <v>30</v>
      </c>
      <c r="D21" s="1">
        <v>0.79946912325420205</v>
      </c>
      <c r="E21" s="1">
        <v>0.82222507396623701</v>
      </c>
      <c r="F21" s="1">
        <v>0.76693375093307004</v>
      </c>
      <c r="G21" s="1">
        <v>0.64114444069496401</v>
      </c>
      <c r="H21" s="1">
        <v>0.62417343480040399</v>
      </c>
      <c r="I21" s="1">
        <v>0.43714473010922</v>
      </c>
      <c r="J21" s="1">
        <v>0.58997839862000201</v>
      </c>
      <c r="K21" s="1">
        <v>0.56433154194413004</v>
      </c>
      <c r="L21" s="1">
        <v>0.42870441520515401</v>
      </c>
      <c r="M21" s="1">
        <v>0.53596532686866105</v>
      </c>
      <c r="N21" s="1">
        <v>0.64864517722043502</v>
      </c>
      <c r="O21" s="1">
        <v>0.40289988420551198</v>
      </c>
      <c r="P21" s="1">
        <v>0.352374700165972</v>
      </c>
      <c r="Q21" s="1">
        <f t="shared" si="0"/>
        <v>0.58569153830676635</v>
      </c>
      <c r="R21" s="3">
        <f t="shared" si="1"/>
        <v>0.15289558525432073</v>
      </c>
      <c r="S21" s="1">
        <f>Table134[[#This Row],[average]]-SQRT(Table134[[#This Row],[stdev]])</f>
        <v>0.19467288753123013</v>
      </c>
    </row>
    <row r="22" spans="1:19" ht="30" customHeight="1">
      <c r="A22" t="str">
        <f>_xlfn.LET(_xlpm.c,_xlfn.SINGLE(Table134[condition]),_xlfn.TEXTBEFORE(_xlpm.c,"-"))</f>
        <v>russian</v>
      </c>
      <c r="B22">
        <f>_xlfn.LET(_xlpm.c,_xlfn.SINGLE(Table134[condition]),IF(RIGHT(_xlpm.c,2)="1g",1,0))</f>
        <v>1</v>
      </c>
      <c r="C22" t="s">
        <v>31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f t="shared" si="0"/>
        <v>1</v>
      </c>
      <c r="R22" s="3">
        <f t="shared" si="1"/>
        <v>0</v>
      </c>
      <c r="S22" s="1">
        <f>Table134[[#This Row],[average]]-SQRT(Table134[[#This Row],[stdev]])</f>
        <v>1</v>
      </c>
    </row>
    <row r="23" spans="1:19" ht="30" customHeight="1">
      <c r="A23" t="str">
        <f>_xlfn.LET(_xlpm.c,_xlfn.SINGLE(Table134[condition]),_xlfn.TEXTBEFORE(_xlpm.c,"-"))</f>
        <v>russian</v>
      </c>
      <c r="B23">
        <f>_xlfn.LET(_xlpm.c,_xlfn.SINGLE(Table134[condition]),IF(RIGHT(_xlpm.c,2)="1g",1,0))</f>
        <v>0</v>
      </c>
      <c r="C23" t="s">
        <v>32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f t="shared" si="0"/>
        <v>1</v>
      </c>
      <c r="R23" s="3">
        <f t="shared" si="1"/>
        <v>0</v>
      </c>
      <c r="S23" s="1">
        <f>Table134[[#This Row],[average]]-SQRT(Table134[[#This Row],[stdev]])</f>
        <v>1</v>
      </c>
    </row>
    <row r="24" spans="1:19" ht="30" customHeight="1">
      <c r="A24" t="str">
        <f>_xlfn.LET(_xlpm.c,_xlfn.SINGLE(Table134[condition]),_xlfn.TEXTBEFORE(_xlpm.c,"-"))</f>
        <v>russian</v>
      </c>
      <c r="B24">
        <f>_xlfn.LET(_xlpm.c,_xlfn.SINGLE(Table134[condition]),IF(RIGHT(_xlpm.c,2)="1g",1,0))</f>
        <v>0</v>
      </c>
      <c r="C24" t="s">
        <v>33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f t="shared" si="0"/>
        <v>1</v>
      </c>
      <c r="R24" s="3">
        <f t="shared" si="1"/>
        <v>0</v>
      </c>
      <c r="S24" s="1">
        <f>Table134[[#This Row],[average]]-SQRT(Table134[[#This Row],[stdev]])</f>
        <v>1</v>
      </c>
    </row>
    <row r="25" spans="1:19" ht="30" customHeight="1">
      <c r="A25" t="str">
        <f>_xlfn.LET(_xlpm.c,_xlfn.SINGLE(Table134[condition]),_xlfn.TEXTBEFORE(_xlpm.c,"-"))</f>
        <v>russian</v>
      </c>
      <c r="B25">
        <f>_xlfn.LET(_xlpm.c,_xlfn.SINGLE(Table134[condition]),IF(RIGHT(_xlpm.c,2)="1g",1,0))</f>
        <v>0</v>
      </c>
      <c r="C25" t="s">
        <v>34</v>
      </c>
      <c r="D25" s="1">
        <v>0.98205467208862196</v>
      </c>
      <c r="E25" s="1">
        <v>0.993283949854179</v>
      </c>
      <c r="F25" s="1">
        <v>0.97466385409424505</v>
      </c>
      <c r="G25" s="1">
        <v>1</v>
      </c>
      <c r="H25" s="1">
        <v>0.99875774863915401</v>
      </c>
      <c r="I25" s="1">
        <v>0.99873733146369303</v>
      </c>
      <c r="J25" s="1">
        <v>1</v>
      </c>
      <c r="K25" s="1">
        <v>1</v>
      </c>
      <c r="L25" s="1">
        <v>1</v>
      </c>
      <c r="M25" s="1">
        <v>0.99046233260439398</v>
      </c>
      <c r="N25" s="1">
        <v>1</v>
      </c>
      <c r="O25" s="1">
        <v>1</v>
      </c>
      <c r="P25" s="1">
        <v>1</v>
      </c>
      <c r="Q25" s="1">
        <f t="shared" si="0"/>
        <v>0.99522768374956061</v>
      </c>
      <c r="R25" s="3">
        <f t="shared" si="1"/>
        <v>8.2010670101841411E-3</v>
      </c>
      <c r="S25" s="1">
        <f>Table134[[#This Row],[average]]-SQRT(Table134[[#This Row],[stdev]])</f>
        <v>0.90466794098168313</v>
      </c>
    </row>
    <row r="26" spans="1:19" ht="30" customHeight="1">
      <c r="A26" t="str">
        <f>_xlfn.LET(_xlpm.c,_xlfn.SINGLE(Table134[condition]),_xlfn.TEXTBEFORE(_xlpm.c,"-"))</f>
        <v>russian</v>
      </c>
      <c r="B26">
        <f>_xlfn.LET(_xlpm.c,_xlfn.SINGLE(Table134[condition]),IF(RIGHT(_xlpm.c,2)="1g",1,0))</f>
        <v>0</v>
      </c>
      <c r="C26" t="s">
        <v>35</v>
      </c>
      <c r="D26" s="1">
        <v>1</v>
      </c>
      <c r="E26" s="1">
        <v>1</v>
      </c>
      <c r="F26" s="1">
        <v>1</v>
      </c>
      <c r="G26" s="1">
        <v>1</v>
      </c>
      <c r="H26" s="1">
        <v>0.99935938080315201</v>
      </c>
      <c r="I26" s="1">
        <v>0.91688233804913599</v>
      </c>
      <c r="J26" s="1">
        <v>1</v>
      </c>
      <c r="K26" s="1">
        <v>1</v>
      </c>
      <c r="L26" s="1">
        <v>1</v>
      </c>
      <c r="M26" s="1">
        <v>0.95887985344470195</v>
      </c>
      <c r="N26" s="1">
        <v>0.99588458780222799</v>
      </c>
      <c r="O26" s="1">
        <v>0.58578643762690497</v>
      </c>
      <c r="P26" s="1">
        <v>0.666663039030291</v>
      </c>
      <c r="Q26" s="1">
        <f t="shared" si="0"/>
        <v>0.93257351051972404</v>
      </c>
      <c r="R26" s="3">
        <f t="shared" si="1"/>
        <v>0.13910453344712745</v>
      </c>
      <c r="S26" s="1">
        <f>Table134[[#This Row],[average]]-SQRT(Table134[[#This Row],[stdev]])</f>
        <v>0.55960630894949559</v>
      </c>
    </row>
    <row r="28" spans="1:19" ht="30" customHeight="1">
      <c r="C28" t="s">
        <v>64</v>
      </c>
    </row>
    <row r="29" spans="1:19" ht="30" customHeight="1">
      <c r="C29" t="s">
        <v>53</v>
      </c>
      <c r="D29" s="2">
        <f t="shared" ref="D29:Q29" si="2">_xlfn.LET(_xlpm.d,D$2:D$26,AVERAGE(_xlpm.d))</f>
        <v>0.87195322690449795</v>
      </c>
      <c r="E29" s="2">
        <f t="shared" si="2"/>
        <v>0.8309744460175934</v>
      </c>
      <c r="F29" s="2">
        <f t="shared" si="2"/>
        <v>0.77939838566071817</v>
      </c>
      <c r="G29" s="2">
        <f t="shared" si="2"/>
        <v>0.78270292616692017</v>
      </c>
      <c r="H29" s="2">
        <f t="shared" si="2"/>
        <v>0.75566713757283821</v>
      </c>
      <c r="I29" s="2">
        <f t="shared" si="2"/>
        <v>0.72142117777363102</v>
      </c>
      <c r="J29" s="2">
        <f t="shared" si="2"/>
        <v>0.7508473952388216</v>
      </c>
      <c r="K29" s="2">
        <f t="shared" si="2"/>
        <v>0.71166383217679596</v>
      </c>
      <c r="L29" s="2">
        <f t="shared" si="2"/>
        <v>0.68571644110076846</v>
      </c>
      <c r="M29" s="2">
        <f t="shared" si="2"/>
        <v>0.67267976540090468</v>
      </c>
      <c r="N29" s="2">
        <f t="shared" si="2"/>
        <v>0.68449952556603888</v>
      </c>
      <c r="O29" s="2">
        <f t="shared" si="2"/>
        <v>0.6480441155833282</v>
      </c>
      <c r="P29" s="2">
        <f t="shared" si="2"/>
        <v>0.61121220567456369</v>
      </c>
      <c r="Q29" s="2">
        <f t="shared" si="2"/>
        <v>0.73129081391057082</v>
      </c>
    </row>
    <row r="30" spans="1:19" ht="30" customHeight="1">
      <c r="C30" t="s">
        <v>54</v>
      </c>
      <c r="D30" s="2" cm="1">
        <f t="array" ref="D30">_xlfn.LET(_xlpm.d,D$2:D$26,_xlpm.f,$A$2:$A$26,_xlpm.k,$C30,AVERAGE(_xlfn._xlws.FILTER(_xlpm.d,_xlpm.f=_xlpm.k)))</f>
        <v>0.99974024528201999</v>
      </c>
      <c r="E30" s="2" cm="1">
        <f t="array" ref="E30">_xlfn.LET(_xlpm.d,E$2:E$26,_xlpm.f,$A$2:$A$26,_xlpm.k,$C30,AVERAGE(_xlfn._xlws.FILTER(_xlpm.d,_xlpm.f=_xlpm.k)))</f>
        <v>0.99987437081835417</v>
      </c>
      <c r="F30" s="2" cm="1">
        <f t="array" ref="F30">_xlfn.LET(_xlpm.d,F$2:F$26,_xlpm.f,$A$2:$A$26,_xlpm.k,$C30,AVERAGE(_xlfn._xlws.FILTER(_xlpm.d,_xlpm.f=_xlpm.k)))</f>
        <v>0.99970994950775238</v>
      </c>
      <c r="G30" s="2" cm="1">
        <f t="array" ref="G30">_xlfn.LET(_xlpm.d,G$2:G$26,_xlpm.f,$A$2:$A$26,_xlpm.k,$C30,AVERAGE(_xlfn._xlws.FILTER(_xlpm.d,_xlpm.f=_xlpm.k)))</f>
        <v>1</v>
      </c>
      <c r="H30" s="2" cm="1">
        <f t="array" ref="H30">_xlfn.LET(_xlpm.d,H$2:H$26,_xlpm.f,$A$2:$A$26,_xlpm.k,$C30,AVERAGE(_xlfn._xlws.FILTER(_xlpm.d,_xlpm.f=_xlpm.k)))</f>
        <v>0.99529841556680521</v>
      </c>
      <c r="I30" s="2" cm="1">
        <f t="array" ref="I30">_xlfn.LET(_xlpm.d,I$2:I$26,_xlpm.f,$A$2:$A$26,_xlpm.k,$C30,AVERAGE(_xlfn._xlws.FILTER(_xlpm.d,_xlpm.f=_xlpm.k)))</f>
        <v>1</v>
      </c>
      <c r="J30" s="2" cm="1">
        <f t="array" ref="J30">_xlfn.LET(_xlpm.d,J$2:J$26,_xlpm.f,$A$2:$A$26,_xlpm.k,$C30,AVERAGE(_xlfn._xlws.FILTER(_xlpm.d,_xlpm.f=_xlpm.k)))</f>
        <v>0.99875699633336468</v>
      </c>
      <c r="K30" s="2" cm="1">
        <f t="array" ref="K30">_xlfn.LET(_xlpm.d,K$2:K$26,_xlpm.f,$A$2:$A$26,_xlpm.k,$C30,AVERAGE(_xlfn._xlws.FILTER(_xlpm.d,_xlpm.f=_xlpm.k)))</f>
        <v>0.99317692116670442</v>
      </c>
      <c r="L30" s="2" cm="1">
        <f t="array" ref="L30">_xlfn.LET(_xlpm.d,L$2:L$26,_xlpm.f,$A$2:$A$26,_xlpm.k,$C30,AVERAGE(_xlfn._xlws.FILTER(_xlpm.d,_xlpm.f=_xlpm.k)))</f>
        <v>0.99660713081125341</v>
      </c>
      <c r="M30" s="2" cm="1">
        <f t="array" ref="M30">_xlfn.LET(_xlpm.d,M$2:M$26,_xlpm.f,$A$2:$A$26,_xlpm.k,$C30,AVERAGE(_xlfn._xlws.FILTER(_xlpm.d,_xlpm.f=_xlpm.k)))</f>
        <v>1</v>
      </c>
      <c r="N30" s="2" cm="1">
        <f t="array" ref="N30">_xlfn.LET(_xlpm.d,N$2:N$26,_xlpm.f,$A$2:$A$26,_xlpm.k,$C30,AVERAGE(_xlfn._xlws.FILTER(_xlpm.d,_xlpm.f=_xlpm.k)))</f>
        <v>1</v>
      </c>
      <c r="O30" s="2" cm="1">
        <f t="array" ref="O30">_xlfn.LET(_xlpm.d,O$2:O$26,_xlpm.f,$A$2:$A$26,_xlpm.k,$C30,AVERAGE(_xlfn._xlws.FILTER(_xlpm.d,_xlpm.f=_xlpm.k)))</f>
        <v>0.99916649781593547</v>
      </c>
      <c r="P30" s="2" cm="1">
        <f t="array" ref="P30">_xlfn.LET(_xlpm.d,P$2:P$26,_xlpm.f,$A$2:$A$26,_xlpm.k,$C30,AVERAGE(_xlfn._xlws.FILTER(_xlpm.d,_xlpm.f=_xlpm.k)))</f>
        <v>0.99891866611132341</v>
      </c>
      <c r="Q30" s="2" cm="1">
        <f t="array" ref="Q30">_xlfn.LET(_xlpm.d,Q$2:Q$26,_xlpm.f,$A$2:$A$26,_xlpm.k,$C30,AVERAGE(_xlfn._xlws.FILTER(_xlpm.d,_xlpm.f=_xlpm.k)))</f>
        <v>0.99855763026257782</v>
      </c>
    </row>
    <row r="31" spans="1:19" ht="30" customHeight="1">
      <c r="C31" t="s">
        <v>55</v>
      </c>
      <c r="D31" s="2" cm="1">
        <f t="array" ref="D31">_xlfn.LET(_xlpm.d,D$2:D$26,_xlpm.f,$A$2:$A$26,_xlpm.k,$C31,AVERAGE(_xlfn._xlws.FILTER(_xlpm.d,_xlpm.f=_xlpm.k)))</f>
        <v>0.84955443104993211</v>
      </c>
      <c r="E31" s="2" cm="1">
        <f t="array" ref="E31">_xlfn.LET(_xlpm.d,E$2:E$26,_xlpm.f,$A$2:$A$26,_xlpm.k,$C31,AVERAGE(_xlfn._xlws.FILTER(_xlpm.d,_xlpm.f=_xlpm.k)))</f>
        <v>0.76778902028541096</v>
      </c>
      <c r="F31" s="2" cm="1">
        <f t="array" ref="F31">_xlfn.LET(_xlpm.d,F$2:F$26,_xlpm.f,$A$2:$A$26,_xlpm.k,$C31,AVERAGE(_xlfn._xlws.FILTER(_xlpm.d,_xlpm.f=_xlpm.k)))</f>
        <v>0.71588051284044041</v>
      </c>
      <c r="G31" s="2" cm="1">
        <f t="array" ref="G31">_xlfn.LET(_xlpm.d,G$2:G$26,_xlpm.f,$A$2:$A$26,_xlpm.k,$C31,AVERAGE(_xlfn._xlws.FILTER(_xlpm.d,_xlpm.f=_xlpm.k)))</f>
        <v>0.70261723854373981</v>
      </c>
      <c r="H31" s="2" cm="1">
        <f t="array" ref="H31">_xlfn.LET(_xlpm.d,H$2:H$26,_xlpm.f,$A$2:$A$26,_xlpm.k,$C31,AVERAGE(_xlfn._xlws.FILTER(_xlpm.d,_xlpm.f=_xlpm.k)))</f>
        <v>0.66788994162771942</v>
      </c>
      <c r="I31" s="2" cm="1">
        <f t="array" ref="I31">_xlfn.LET(_xlpm.d,I$2:I$26,_xlpm.f,$A$2:$A$26,_xlpm.k,$C31,AVERAGE(_xlfn._xlws.FILTER(_xlpm.d,_xlpm.f=_xlpm.k)))</f>
        <v>0.50915376531317946</v>
      </c>
      <c r="J31" s="2" cm="1">
        <f t="array" ref="J31">_xlfn.LET(_xlpm.d,J$2:J$26,_xlpm.f,$A$2:$A$26,_xlpm.k,$C31,AVERAGE(_xlfn._xlws.FILTER(_xlpm.d,_xlpm.f=_xlpm.k)))</f>
        <v>0.64870138381911135</v>
      </c>
      <c r="K31" s="2" cm="1">
        <f t="array" ref="K31">_xlfn.LET(_xlpm.d,K$2:K$26,_xlpm.f,$A$2:$A$26,_xlpm.k,$C31,AVERAGE(_xlfn._xlws.FILTER(_xlpm.d,_xlpm.f=_xlpm.k)))</f>
        <v>0.51770205982775275</v>
      </c>
      <c r="L31" s="2" cm="1">
        <f t="array" ref="L31">_xlfn.LET(_xlpm.d,L$2:L$26,_xlpm.f,$A$2:$A$26,_xlpm.k,$C31,AVERAGE(_xlfn._xlws.FILTER(_xlpm.d,_xlpm.f=_xlpm.k)))</f>
        <v>0.4542010522075694</v>
      </c>
      <c r="M31" s="2" cm="1">
        <f t="array" ref="M31">_xlfn.LET(_xlpm.d,M$2:M$26,_xlpm.f,$A$2:$A$26,_xlpm.k,$C31,AVERAGE(_xlfn._xlws.FILTER(_xlpm.d,_xlpm.f=_xlpm.k)))</f>
        <v>0.49964841128210224</v>
      </c>
      <c r="N31" s="2" cm="1">
        <f t="array" ref="N31">_xlfn.LET(_xlpm.d,N$2:N$26,_xlpm.f,$A$2:$A$26,_xlpm.k,$C31,AVERAGE(_xlfn._xlws.FILTER(_xlpm.d,_xlpm.f=_xlpm.k)))</f>
        <v>0.53952933094839972</v>
      </c>
      <c r="O31" s="2" cm="1">
        <f t="array" ref="O31">_xlfn.LET(_xlpm.d,O$2:O$26,_xlpm.f,$A$2:$A$26,_xlpm.k,$C31,AVERAGE(_xlfn._xlws.FILTER(_xlpm.d,_xlpm.f=_xlpm.k)))</f>
        <v>0.46073948816932464</v>
      </c>
      <c r="P31" s="2" cm="1">
        <f t="array" ref="P31">_xlfn.LET(_xlpm.d,P$2:P$26,_xlpm.f,$A$2:$A$26,_xlpm.k,$C31,AVERAGE(_xlfn._xlws.FILTER(_xlpm.d,_xlpm.f=_xlpm.k)))</f>
        <v>0.41076252575111</v>
      </c>
      <c r="Q31" s="2" cm="1">
        <f t="array" ref="Q31">_xlfn.LET(_xlpm.d,Q$2:Q$26,_xlpm.f,$A$2:$A$26,_xlpm.k,$C31,AVERAGE(_xlfn._xlws.FILTER(_xlpm.d,_xlpm.f=_xlpm.k)))</f>
        <v>0.59570532012813782</v>
      </c>
    </row>
    <row r="32" spans="1:19" ht="30" customHeight="1">
      <c r="C32" t="s">
        <v>56</v>
      </c>
      <c r="D32" s="2" cm="1">
        <f t="array" ref="D32">_xlfn.LET(_xlpm.d,D$2:D$26,_xlpm.f,$A$2:$A$26,_xlpm.k,$C32,AVERAGE(_xlfn._xlws.FILTER(_xlpm.d,_xlpm.f=_xlpm.k)))</f>
        <v>0.73202111881971388</v>
      </c>
      <c r="E32" s="2" cm="1">
        <f t="array" ref="E32">_xlfn.LET(_xlpm.d,E$2:E$26,_xlpm.f,$A$2:$A$26,_xlpm.k,$C32,AVERAGE(_xlfn._xlws.FILTER(_xlpm.d,_xlpm.f=_xlpm.k)))</f>
        <v>0.67282585882939983</v>
      </c>
      <c r="F32" s="2" cm="1">
        <f t="array" ref="F32">_xlfn.LET(_xlpm.d,F$2:F$26,_xlpm.f,$A$2:$A$26,_xlpm.k,$C32,AVERAGE(_xlfn._xlws.FILTER(_xlpm.d,_xlpm.f=_xlpm.k)))</f>
        <v>0.63085231562657285</v>
      </c>
      <c r="G32" s="2" cm="1">
        <f t="array" ref="G32">_xlfn.LET(_xlpm.d,G$2:G$26,_xlpm.f,$A$2:$A$26,_xlpm.k,$C32,AVERAGE(_xlfn._xlws.FILTER(_xlpm.d,_xlpm.f=_xlpm.k)))</f>
        <v>0.59718618150081693</v>
      </c>
      <c r="H32" s="2" cm="1">
        <f t="array" ref="H32">_xlfn.LET(_xlpm.d,H$2:H$26,_xlpm.f,$A$2:$A$26,_xlpm.k,$C32,AVERAGE(_xlfn._xlws.FILTER(_xlpm.d,_xlpm.f=_xlpm.k)))</f>
        <v>0.58626451958926729</v>
      </c>
      <c r="I32" s="2" cm="1">
        <f t="array" ref="I32">_xlfn.LET(_xlpm.d,I$2:I$26,_xlpm.f,$A$2:$A$26,_xlpm.k,$C32,AVERAGE(_xlfn._xlws.FILTER(_xlpm.d,_xlpm.f=_xlpm.k)))</f>
        <v>0.49950532065702846</v>
      </c>
      <c r="J32" s="2" cm="1">
        <f t="array" ref="J32">_xlfn.LET(_xlpm.d,J$2:J$26,_xlpm.f,$A$2:$A$26,_xlpm.k,$C32,AVERAGE(_xlfn._xlws.FILTER(_xlpm.d,_xlpm.f=_xlpm.k)))</f>
        <v>0.59378098462540063</v>
      </c>
      <c r="K32" s="2" cm="1">
        <f t="array" ref="K32">_xlfn.LET(_xlpm.d,K$2:K$26,_xlpm.f,$A$2:$A$26,_xlpm.k,$C32,AVERAGE(_xlfn._xlws.FILTER(_xlpm.d,_xlpm.f=_xlpm.k)))</f>
        <v>0.46769667762993422</v>
      </c>
      <c r="L32" s="2" cm="1">
        <f t="array" ref="L32">_xlfn.LET(_xlpm.d,L$2:L$26,_xlpm.f,$A$2:$A$26,_xlpm.k,$C32,AVERAGE(_xlfn._xlws.FILTER(_xlpm.d,_xlpm.f=_xlpm.k)))</f>
        <v>0.49620983086585008</v>
      </c>
      <c r="M32" s="2" cm="1">
        <f t="array" ref="M32">_xlfn.LET(_xlpm.d,M$2:M$26,_xlpm.f,$A$2:$A$26,_xlpm.k,$C32,AVERAGE(_xlfn._xlws.FILTER(_xlpm.d,_xlpm.f=_xlpm.k)))</f>
        <v>0.48192583107330478</v>
      </c>
      <c r="N32" s="2" cm="1">
        <f t="array" ref="N32">_xlfn.LET(_xlpm.d,N$2:N$26,_xlpm.f,$A$2:$A$26,_xlpm.k,$C32,AVERAGE(_xlfn._xlws.FILTER(_xlpm.d,_xlpm.f=_xlpm.k)))</f>
        <v>0.46413200998887538</v>
      </c>
      <c r="O32" s="2" cm="1">
        <f t="array" ref="O32">_xlfn.LET(_xlpm.d,O$2:O$26,_xlpm.f,$A$2:$A$26,_xlpm.k,$C32,AVERAGE(_xlfn._xlws.FILTER(_xlpm.d,_xlpm.f=_xlpm.k)))</f>
        <v>0.37063927561375698</v>
      </c>
      <c r="P32" s="2" cm="1">
        <f t="array" ref="P32">_xlfn.LET(_xlpm.d,P$2:P$26,_xlpm.f,$A$2:$A$26,_xlpm.k,$C32,AVERAGE(_xlfn._xlws.FILTER(_xlpm.d,_xlpm.f=_xlpm.k)))</f>
        <v>0.36517200544022183</v>
      </c>
      <c r="Q32" s="2" cm="1">
        <f t="array" ref="Q32">_xlfn.LET(_xlpm.d,Q$2:Q$26,_xlpm.f,$A$2:$A$26,_xlpm.k,$C32,AVERAGE(_xlfn._xlws.FILTER(_xlpm.d,_xlpm.f=_xlpm.k)))</f>
        <v>0.53524707155847262</v>
      </c>
    </row>
    <row r="33" spans="3:17" ht="30" customHeight="1">
      <c r="C33" t="s">
        <v>57</v>
      </c>
      <c r="D33" s="2" cm="1">
        <f t="array" ref="D33">_xlfn.LET(_xlpm.d,D$2:D$26,_xlpm.f,$A$2:$A$26,_xlpm.k,$C33,AVERAGE(_xlfn._xlws.FILTER(_xlpm.d,_xlpm.f=_xlpm.k)))</f>
        <v>0.7820394049531002</v>
      </c>
      <c r="E33" s="2" cm="1">
        <f t="array" ref="E33">_xlfn.LET(_xlpm.d,E$2:E$26,_xlpm.f,$A$2:$A$26,_xlpm.k,$C33,AVERAGE(_xlfn._xlws.FILTER(_xlpm.d,_xlpm.f=_xlpm.k)))</f>
        <v>0.71572619018396644</v>
      </c>
      <c r="F33" s="2" cm="1">
        <f t="array" ref="F33">_xlfn.LET(_xlpm.d,F$2:F$26,_xlpm.f,$A$2:$A$26,_xlpm.k,$C33,AVERAGE(_xlfn._xlws.FILTER(_xlpm.d,_xlpm.f=_xlpm.k)))</f>
        <v>0.55561637950997622</v>
      </c>
      <c r="G33" s="2" cm="1">
        <f t="array" ref="G33">_xlfn.LET(_xlpm.d,G$2:G$26,_xlpm.f,$A$2:$A$26,_xlpm.k,$C33,AVERAGE(_xlfn._xlws.FILTER(_xlpm.d,_xlpm.f=_xlpm.k)))</f>
        <v>0.61371121079004354</v>
      </c>
      <c r="H33" s="2" cm="1">
        <f t="array" ref="H33">_xlfn.LET(_xlpm.d,H$2:H$26,_xlpm.f,$A$2:$A$26,_xlpm.k,$C33,AVERAGE(_xlfn._xlws.FILTER(_xlpm.d,_xlpm.f=_xlpm.k)))</f>
        <v>0.52925938519193783</v>
      </c>
      <c r="I33" s="2" cm="1">
        <f t="array" ref="I33">_xlfn.LET(_xlpm.d,I$2:I$26,_xlpm.f,$A$2:$A$26,_xlpm.k,$C33,AVERAGE(_xlfn._xlws.FILTER(_xlpm.d,_xlpm.f=_xlpm.k)))</f>
        <v>0.61532286899538124</v>
      </c>
      <c r="J33" s="2" cm="1">
        <f t="array" ref="J33">_xlfn.LET(_xlpm.d,J$2:J$26,_xlpm.f,$A$2:$A$26,_xlpm.k,$C33,AVERAGE(_xlfn._xlws.FILTER(_xlpm.d,_xlpm.f=_xlpm.k)))</f>
        <v>0.51299761141623179</v>
      </c>
      <c r="K33" s="2" cm="1">
        <f t="array" ref="K33">_xlfn.LET(_xlpm.d,K$2:K$26,_xlpm.f,$A$2:$A$26,_xlpm.k,$C33,AVERAGE(_xlfn._xlws.FILTER(_xlpm.d,_xlpm.f=_xlpm.k)))</f>
        <v>0.57974350225958848</v>
      </c>
      <c r="L33" s="2" cm="1">
        <f t="array" ref="L33">_xlfn.LET(_xlpm.d,L$2:L$26,_xlpm.f,$A$2:$A$26,_xlpm.k,$C33,AVERAGE(_xlfn._xlws.FILTER(_xlpm.d,_xlpm.f=_xlpm.k)))</f>
        <v>0.48156419161916941</v>
      </c>
      <c r="M33" s="2" cm="1">
        <f t="array" ref="M33">_xlfn.LET(_xlpm.d,M$2:M$26,_xlpm.f,$A$2:$A$26,_xlpm.k,$C33,AVERAGE(_xlfn._xlws.FILTER(_xlpm.d,_xlpm.f=_xlpm.k)))</f>
        <v>0.39195614743929758</v>
      </c>
      <c r="N33" s="2" cm="1">
        <f t="array" ref="N33">_xlfn.LET(_xlpm.d,N$2:N$26,_xlpm.f,$A$2:$A$26,_xlpm.k,$C33,AVERAGE(_xlfn._xlws.FILTER(_xlpm.d,_xlpm.f=_xlpm.k)))</f>
        <v>0.41965936933247383</v>
      </c>
      <c r="O33" s="2" cm="1">
        <f t="array" ref="O33">_xlfn.LET(_xlpm.d,O$2:O$26,_xlpm.f,$A$2:$A$26,_xlpm.k,$C33,AVERAGE(_xlfn._xlws.FILTER(_xlpm.d,_xlpm.f=_xlpm.k)))</f>
        <v>0.49251802879224316</v>
      </c>
      <c r="P33" s="2" cm="1">
        <f t="array" ref="P33">_xlfn.LET(_xlpm.d,P$2:P$26,_xlpm.f,$A$2:$A$26,_xlpm.k,$C33,AVERAGE(_xlfn._xlws.FILTER(_xlpm.d,_xlpm.f=_xlpm.k)))</f>
        <v>0.34787522326410503</v>
      </c>
      <c r="Q33" s="2" cm="1">
        <f t="array" ref="Q33">_xlfn.LET(_xlpm.d,Q$2:Q$26,_xlpm.f,$A$2:$A$26,_xlpm.k,$C33,AVERAGE(_xlfn._xlws.FILTER(_xlpm.d,_xlpm.f=_xlpm.k)))</f>
        <v>0.54138380874980885</v>
      </c>
    </row>
    <row r="34" spans="3:17" ht="30" customHeight="1">
      <c r="C34" t="s">
        <v>58</v>
      </c>
      <c r="D34" s="2" cm="1">
        <f t="array" ref="D34">_xlfn.LET(_xlpm.d,D$2:D$26,_xlpm.f,$A$2:$A$26,_xlpm.k,$C34,AVERAGE(_xlfn._xlws.FILTER(_xlpm.d,_xlpm.f=_xlpm.k)))</f>
        <v>0.99641093441772433</v>
      </c>
      <c r="E34" s="2" cm="1">
        <f t="array" ref="E34">_xlfn.LET(_xlpm.d,E$2:E$26,_xlpm.f,$A$2:$A$26,_xlpm.k,$C34,AVERAGE(_xlfn._xlws.FILTER(_xlpm.d,_xlpm.f=_xlpm.k)))</f>
        <v>0.99865678997083585</v>
      </c>
      <c r="F34" s="2" cm="1">
        <f t="array" ref="F34">_xlfn.LET(_xlpm.d,F$2:F$26,_xlpm.f,$A$2:$A$26,_xlpm.k,$C34,AVERAGE(_xlfn._xlws.FILTER(_xlpm.d,_xlpm.f=_xlpm.k)))</f>
        <v>0.99493277081884912</v>
      </c>
      <c r="G34" s="2" cm="1">
        <f t="array" ref="G34">_xlfn.LET(_xlpm.d,G$2:G$26,_xlpm.f,$A$2:$A$26,_xlpm.k,$C34,AVERAGE(_xlfn._xlws.FILTER(_xlpm.d,_xlpm.f=_xlpm.k)))</f>
        <v>1</v>
      </c>
      <c r="H34" s="2" cm="1">
        <f t="array" ref="H34">_xlfn.LET(_xlpm.d,H$2:H$26,_xlpm.f,$A$2:$A$26,_xlpm.k,$C34,AVERAGE(_xlfn._xlws.FILTER(_xlpm.d,_xlpm.f=_xlpm.k)))</f>
        <v>0.99962342588846131</v>
      </c>
      <c r="I34" s="2" cm="1">
        <f t="array" ref="I34">_xlfn.LET(_xlpm.d,I$2:I$26,_xlpm.f,$A$2:$A$26,_xlpm.k,$C34,AVERAGE(_xlfn._xlws.FILTER(_xlpm.d,_xlpm.f=_xlpm.k)))</f>
        <v>0.98312393390256569</v>
      </c>
      <c r="J34" s="2" cm="1">
        <f t="array" ref="J34">_xlfn.LET(_xlpm.d,J$2:J$26,_xlpm.f,$A$2:$A$26,_xlpm.k,$C34,AVERAGE(_xlfn._xlws.FILTER(_xlpm.d,_xlpm.f=_xlpm.k)))</f>
        <v>1</v>
      </c>
      <c r="K34" s="2" cm="1">
        <f t="array" ref="K34">_xlfn.LET(_xlpm.d,K$2:K$26,_xlpm.f,$A$2:$A$26,_xlpm.k,$C34,AVERAGE(_xlfn._xlws.FILTER(_xlpm.d,_xlpm.f=_xlpm.k)))</f>
        <v>1</v>
      </c>
      <c r="L34" s="2" cm="1">
        <f t="array" ref="L34">_xlfn.LET(_xlpm.d,L$2:L$26,_xlpm.f,$A$2:$A$26,_xlpm.k,$C34,AVERAGE(_xlfn._xlws.FILTER(_xlpm.d,_xlpm.f=_xlpm.k)))</f>
        <v>1</v>
      </c>
      <c r="M34" s="2" cm="1">
        <f t="array" ref="M34">_xlfn.LET(_xlpm.d,M$2:M$26,_xlpm.f,$A$2:$A$26,_xlpm.k,$C34,AVERAGE(_xlfn._xlws.FILTER(_xlpm.d,_xlpm.f=_xlpm.k)))</f>
        <v>0.98986843720981921</v>
      </c>
      <c r="N34" s="2" cm="1">
        <f t="array" ref="N34">_xlfn.LET(_xlpm.d,N$2:N$26,_xlpm.f,$A$2:$A$26,_xlpm.k,$C34,AVERAGE(_xlfn._xlws.FILTER(_xlpm.d,_xlpm.f=_xlpm.k)))</f>
        <v>0.99917691756044569</v>
      </c>
      <c r="O34" s="2" cm="1">
        <f t="array" ref="O34">_xlfn.LET(_xlpm.d,O$2:O$26,_xlpm.f,$A$2:$A$26,_xlpm.k,$C34,AVERAGE(_xlfn._xlws.FILTER(_xlpm.d,_xlpm.f=_xlpm.k)))</f>
        <v>0.91715728752538106</v>
      </c>
      <c r="P34" s="2" cm="1">
        <f t="array" ref="P34">_xlfn.LET(_xlpm.d,P$2:P$26,_xlpm.f,$A$2:$A$26,_xlpm.k,$C34,AVERAGE(_xlfn._xlws.FILTER(_xlpm.d,_xlpm.f=_xlpm.k)))</f>
        <v>0.9333326078060582</v>
      </c>
      <c r="Q34" s="2" cm="1">
        <f t="array" ref="Q34">_xlfn.LET(_xlpm.d,Q$2:Q$26,_xlpm.f,$A$2:$A$26,_xlpm.k,$C34,AVERAGE(_xlfn._xlws.FILTER(_xlpm.d,_xlpm.f=_xlpm.k)))</f>
        <v>0.98556023885385691</v>
      </c>
    </row>
    <row r="36" spans="3:17" ht="30" customHeight="1">
      <c r="C36" t="s">
        <v>65</v>
      </c>
    </row>
    <row r="37" spans="3:17" ht="30" customHeight="1">
      <c r="C37" t="s">
        <v>53</v>
      </c>
      <c r="D37" s="2" cm="1">
        <f t="array" ref="D37">_xlfn.LET(_xlpm.d,D$2:D$26,_xlpm.g,$B$2:$B$26,_xlpm.k,$C37,AVERAGE(_xlfn._xlws.FILTER(_xlpm.d,(_xlpm.g=0))))</f>
        <v>0.85043326791376617</v>
      </c>
      <c r="E37" s="2" cm="1">
        <f t="array" ref="E37">_xlfn.LET(_xlpm.d,E$2:E$26,_xlpm.g,$B$2:$B$26,_xlpm.k,$C37,AVERAGE(_xlfn._xlws.FILTER(_xlpm.d,(_xlpm.g=0))))</f>
        <v>0.79902907791064259</v>
      </c>
      <c r="F37" s="2" cm="1">
        <f t="array" ref="F37">_xlfn.LET(_xlpm.d,F$2:F$26,_xlpm.g,$B$2:$B$26,_xlpm.k,$C37,AVERAGE(_xlfn._xlws.FILTER(_xlpm.d,(_xlpm.g=0))))</f>
        <v>0.74846876328607104</v>
      </c>
      <c r="G37" s="2" cm="1">
        <f t="array" ref="G37">_xlfn.LET(_xlpm.d,G$2:G$26,_xlpm.g,$B$2:$B$26,_xlpm.k,$C37,AVERAGE(_xlfn._xlws.FILTER(_xlpm.d,(_xlpm.g=0))))</f>
        <v>0.75423288236775032</v>
      </c>
      <c r="H37" s="2" cm="1">
        <f t="array" ref="H37">_xlfn.LET(_xlpm.d,H$2:H$26,_xlpm.g,$B$2:$B$26,_xlpm.k,$C37,AVERAGE(_xlfn._xlws.FILTER(_xlpm.d,(_xlpm.g=0))))</f>
        <v>0.74185776571924633</v>
      </c>
      <c r="I37" s="2" cm="1">
        <f t="array" ref="I37">_xlfn.LET(_xlpm.d,I$2:I$26,_xlpm.g,$B$2:$B$26,_xlpm.k,$C37,AVERAGE(_xlfn._xlws.FILTER(_xlpm.d,(_xlpm.g=0))))</f>
        <v>0.70755606271163607</v>
      </c>
      <c r="J37" s="2" cm="1">
        <f t="array" ref="J37">_xlfn.LET(_xlpm.d,J$2:J$26,_xlpm.g,$B$2:$B$26,_xlpm.k,$C37,AVERAGE(_xlfn._xlws.FILTER(_xlpm.d,(_xlpm.g=0))))</f>
        <v>0.75084478302689561</v>
      </c>
      <c r="K37" s="2" cm="1">
        <f t="array" ref="K37">_xlfn.LET(_xlpm.d,K$2:K$26,_xlpm.g,$B$2:$B$26,_xlpm.k,$C37,AVERAGE(_xlfn._xlws.FILTER(_xlpm.d,(_xlpm.g=0))))</f>
        <v>0.70612331701393127</v>
      </c>
      <c r="L37" s="2" cm="1">
        <f t="array" ref="L37">_xlfn.LET(_xlpm.d,L$2:L$26,_xlpm.g,$B$2:$B$26,_xlpm.k,$C37,AVERAGE(_xlfn._xlws.FILTER(_xlpm.d,(_xlpm.g=0))))</f>
        <v>0.67096797751271975</v>
      </c>
      <c r="M37" s="2" cm="1">
        <f t="array" ref="M37">_xlfn.LET(_xlpm.d,M$2:M$26,_xlpm.g,$B$2:$B$26,_xlpm.k,$C37,AVERAGE(_xlfn._xlws.FILTER(_xlpm.d,(_xlpm.g=0))))</f>
        <v>0.68561113045588495</v>
      </c>
      <c r="N37" s="2" cm="1">
        <f t="array" ref="N37">_xlfn.LET(_xlpm.d,N$2:N$26,_xlpm.g,$B$2:$B$26,_xlpm.k,$C37,AVERAGE(_xlfn._xlws.FILTER(_xlpm.d,(_xlpm.g=0))))</f>
        <v>0.68051978844297456</v>
      </c>
      <c r="O37" s="2" cm="1">
        <f t="array" ref="O37">_xlfn.LET(_xlpm.d,O$2:O$26,_xlpm.g,$B$2:$B$26,_xlpm.k,$C37,AVERAGE(_xlfn._xlws.FILTER(_xlpm.d,(_xlpm.g=0))))</f>
        <v>0.66756702916683253</v>
      </c>
      <c r="P37" s="2" cm="1">
        <f t="array" ref="P37">_xlfn.LET(_xlpm.d,P$2:P$26,_xlpm.g,$B$2:$B$26,_xlpm.k,$C37,AVERAGE(_xlfn._xlws.FILTER(_xlpm.d,(_xlpm.g=0))))</f>
        <v>0.60773483770427461</v>
      </c>
      <c r="Q37" s="2" cm="1">
        <f t="array" ref="Q37">_xlfn.LET(_xlpm.d,Q$2:Q$26,_xlpm.g,$B$2:$B$26,_xlpm.k,$C37,AVERAGE(_xlfn._xlws.FILTER(_xlpm.d,(_xlpm.g=0))))</f>
        <v>0.72084205255635569</v>
      </c>
    </row>
    <row r="38" spans="3:17" ht="30" customHeight="1">
      <c r="C38" t="s">
        <v>54</v>
      </c>
      <c r="D38" s="2" cm="1">
        <f t="array" ref="D38">_xlfn.LET(_xlpm.d,D$2:D$26,_xlpm.f,$A$2:$A$26,_xlpm.g,$B$2:$B$26,_xlpm.k,$C38,AVERAGE(_xlfn._xlws.FILTER(_xlpm.d,(_xlpm.f=_xlpm.k)*(_xlpm.g=0))))</f>
        <v>0.99967530660252502</v>
      </c>
      <c r="E38" s="2" cm="1">
        <f t="array" ref="E38">_xlfn.LET(_xlpm.d,E$2:E$26,_xlpm.f,$A$2:$A$26,_xlpm.g,$B$2:$B$26,_xlpm.k,$C38,AVERAGE(_xlfn._xlws.FILTER(_xlpm.d,(_xlpm.f=_xlpm.k)*(_xlpm.g=0))))</f>
        <v>0.99984296352294277</v>
      </c>
      <c r="F38" s="2" cm="1">
        <f t="array" ref="F38">_xlfn.LET(_xlpm.d,F$2:F$26,_xlpm.f,$A$2:$A$26,_xlpm.g,$B$2:$B$26,_xlpm.k,$C38,AVERAGE(_xlfn._xlws.FILTER(_xlpm.d,(_xlpm.f=_xlpm.k)*(_xlpm.g=0))))</f>
        <v>0.99963743688469053</v>
      </c>
      <c r="G38" s="2" cm="1">
        <f t="array" ref="G38">_xlfn.LET(_xlpm.d,G$2:G$26,_xlpm.f,$A$2:$A$26,_xlpm.g,$B$2:$B$26,_xlpm.k,$C38,AVERAGE(_xlfn._xlws.FILTER(_xlpm.d,(_xlpm.f=_xlpm.k)*(_xlpm.g=0))))</f>
        <v>1</v>
      </c>
      <c r="H38" s="2" cm="1">
        <f t="array" ref="H38">_xlfn.LET(_xlpm.d,H$2:H$26,_xlpm.f,$A$2:$A$26,_xlpm.g,$B$2:$B$26,_xlpm.k,$C38,AVERAGE(_xlfn._xlws.FILTER(_xlpm.d,(_xlpm.f=_xlpm.k)*(_xlpm.g=0))))</f>
        <v>0.99412301945850656</v>
      </c>
      <c r="I38" s="2" cm="1">
        <f t="array" ref="I38">_xlfn.LET(_xlpm.d,I$2:I$26,_xlpm.f,$A$2:$A$26,_xlpm.g,$B$2:$B$26,_xlpm.k,$C38,AVERAGE(_xlfn._xlws.FILTER(_xlpm.d,(_xlpm.f=_xlpm.k)*(_xlpm.g=0))))</f>
        <v>1</v>
      </c>
      <c r="J38" s="2" cm="1">
        <f t="array" ref="J38">_xlfn.LET(_xlpm.d,J$2:J$26,_xlpm.f,$A$2:$A$26,_xlpm.g,$B$2:$B$26,_xlpm.k,$C38,AVERAGE(_xlfn._xlws.FILTER(_xlpm.d,(_xlpm.f=_xlpm.k)*(_xlpm.g=0))))</f>
        <v>0.99844624541670579</v>
      </c>
      <c r="K38" s="2" cm="1">
        <f t="array" ref="K38">_xlfn.LET(_xlpm.d,K$2:K$26,_xlpm.f,$A$2:$A$26,_xlpm.g,$B$2:$B$26,_xlpm.k,$C38,AVERAGE(_xlfn._xlws.FILTER(_xlpm.d,(_xlpm.f=_xlpm.k)*(_xlpm.g=0))))</f>
        <v>0.9914711514583805</v>
      </c>
      <c r="L38" s="2" cm="1">
        <f t="array" ref="L38">_xlfn.LET(_xlpm.d,L$2:L$26,_xlpm.f,$A$2:$A$26,_xlpm.g,$B$2:$B$26,_xlpm.k,$C38,AVERAGE(_xlfn._xlws.FILTER(_xlpm.d,(_xlpm.f=_xlpm.k)*(_xlpm.g=0))))</f>
        <v>0.99575891351406676</v>
      </c>
      <c r="M38" s="2" cm="1">
        <f t="array" ref="M38">_xlfn.LET(_xlpm.d,M$2:M$26,_xlpm.f,$A$2:$A$26,_xlpm.g,$B$2:$B$26,_xlpm.k,$C38,AVERAGE(_xlfn._xlws.FILTER(_xlpm.d,(_xlpm.f=_xlpm.k)*(_xlpm.g=0))))</f>
        <v>1</v>
      </c>
      <c r="N38" s="2" cm="1">
        <f t="array" ref="N38">_xlfn.LET(_xlpm.d,N$2:N$26,_xlpm.f,$A$2:$A$26,_xlpm.g,$B$2:$B$26,_xlpm.k,$C38,AVERAGE(_xlfn._xlws.FILTER(_xlpm.d,(_xlpm.f=_xlpm.k)*(_xlpm.g=0))))</f>
        <v>1</v>
      </c>
      <c r="O38" s="2" cm="1">
        <f t="array" ref="O38">_xlfn.LET(_xlpm.d,O$2:O$26,_xlpm.f,$A$2:$A$26,_xlpm.g,$B$2:$B$26,_xlpm.k,$C38,AVERAGE(_xlfn._xlws.FILTER(_xlpm.d,(_xlpm.f=_xlpm.k)*(_xlpm.g=0))))</f>
        <v>0.99895812226991931</v>
      </c>
      <c r="P38" s="2" cm="1">
        <f t="array" ref="P38">_xlfn.LET(_xlpm.d,P$2:P$26,_xlpm.f,$A$2:$A$26,_xlpm.g,$B$2:$B$26,_xlpm.k,$C38,AVERAGE(_xlfn._xlws.FILTER(_xlpm.d,(_xlpm.f=_xlpm.k)*(_xlpm.g=0))))</f>
        <v>0.9986483326391542</v>
      </c>
      <c r="Q38" s="2" cm="1">
        <f t="array" ref="Q38">_xlfn.LET(_xlpm.d,Q$2:Q$26,_xlpm.f,$A$2:$A$26,_xlpm.g,$B$2:$B$26,_xlpm.k,$C38,AVERAGE(_xlfn._xlws.FILTER(_xlpm.d,(_xlpm.f=_xlpm.k)*(_xlpm.g=0))))</f>
        <v>0.99819703782822244</v>
      </c>
    </row>
    <row r="39" spans="3:17" ht="30" customHeight="1">
      <c r="C39" t="s">
        <v>56</v>
      </c>
      <c r="D39" s="2" cm="1">
        <f t="array" ref="D39">_xlfn.LET(_xlpm.d,D$2:D$26,_xlpm.f,$A$2:$A$26,_xlpm.g,$B$2:$B$26,_xlpm.k,$C39,AVERAGE(_xlfn._xlws.FILTER(_xlpm.d,(_xlpm.f=_xlpm.k)*(_xlpm.g=0))))</f>
        <v>0.693855904510569</v>
      </c>
      <c r="E39" s="2" cm="1">
        <f t="array" ref="E39">_xlfn.LET(_xlpm.d,E$2:E$26,_xlpm.f,$A$2:$A$26,_xlpm.g,$B$2:$B$26,_xlpm.k,$C39,AVERAGE(_xlfn._xlws.FILTER(_xlpm.d,(_xlpm.f=_xlpm.k)*(_xlpm.g=0))))</f>
        <v>0.63482935703967747</v>
      </c>
      <c r="F39" s="2" cm="1">
        <f t="array" ref="F39">_xlfn.LET(_xlpm.d,F$2:F$26,_xlpm.f,$A$2:$A$26,_xlpm.g,$B$2:$B$26,_xlpm.k,$C39,AVERAGE(_xlfn._xlws.FILTER(_xlpm.d,(_xlpm.f=_xlpm.k)*(_xlpm.g=0))))</f>
        <v>0.58412355936361682</v>
      </c>
      <c r="G39" s="2" cm="1">
        <f t="array" ref="G39">_xlfn.LET(_xlpm.d,G$2:G$26,_xlpm.f,$A$2:$A$26,_xlpm.g,$B$2:$B$26,_xlpm.k,$C39,AVERAGE(_xlfn._xlws.FILTER(_xlpm.d,(_xlpm.f=_xlpm.k)*(_xlpm.g=0))))</f>
        <v>0.57317275316825023</v>
      </c>
      <c r="H39" s="2" cm="1">
        <f t="array" ref="H39">_xlfn.LET(_xlpm.d,H$2:H$26,_xlpm.f,$A$2:$A$26,_xlpm.g,$B$2:$B$26,_xlpm.k,$C39,AVERAGE(_xlfn._xlws.FILTER(_xlpm.d,(_xlpm.f=_xlpm.k)*(_xlpm.g=0))))</f>
        <v>0.55954084345080823</v>
      </c>
      <c r="I39" s="2" cm="1">
        <f t="array" ref="I39">_xlfn.LET(_xlpm.d,I$2:I$26,_xlpm.f,$A$2:$A$26,_xlpm.g,$B$2:$B$26,_xlpm.k,$C39,AVERAGE(_xlfn._xlws.FILTER(_xlpm.d,(_xlpm.f=_xlpm.k)*(_xlpm.g=0))))</f>
        <v>0.49425858508578824</v>
      </c>
      <c r="J39" s="2" cm="1">
        <f t="array" ref="J39">_xlfn.LET(_xlpm.d,J$2:J$26,_xlpm.f,$A$2:$A$26,_xlpm.g,$B$2:$B$26,_xlpm.k,$C39,AVERAGE(_xlfn._xlws.FILTER(_xlpm.d,(_xlpm.f=_xlpm.k)*(_xlpm.g=0))))</f>
        <v>0.58626787768649824</v>
      </c>
      <c r="K39" s="2" cm="1">
        <f t="array" ref="K39">_xlfn.LET(_xlpm.d,K$2:K$26,_xlpm.f,$A$2:$A$26,_xlpm.g,$B$2:$B$26,_xlpm.k,$C39,AVERAGE(_xlfn._xlws.FILTER(_xlpm.d,(_xlpm.f=_xlpm.k)*(_xlpm.g=0))))</f>
        <v>0.47104706862568724</v>
      </c>
      <c r="L39" s="2" cm="1">
        <f t="array" ref="L39">_xlfn.LET(_xlpm.d,L$2:L$26,_xlpm.f,$A$2:$A$26,_xlpm.g,$B$2:$B$26,_xlpm.k,$C39,AVERAGE(_xlfn._xlws.FILTER(_xlpm.d,(_xlpm.f=_xlpm.k)*(_xlpm.g=0))))</f>
        <v>0.52066233375662874</v>
      </c>
      <c r="M39" s="2" cm="1">
        <f t="array" ref="M39">_xlfn.LET(_xlpm.d,M$2:M$26,_xlpm.f,$A$2:$A$26,_xlpm.g,$B$2:$B$26,_xlpm.k,$C39,AVERAGE(_xlfn._xlws.FILTER(_xlpm.d,(_xlpm.f=_xlpm.k)*(_xlpm.g=0))))</f>
        <v>0.52076612018020474</v>
      </c>
      <c r="N39" s="2" cm="1">
        <f t="array" ref="N39">_xlfn.LET(_xlpm.d,N$2:N$26,_xlpm.f,$A$2:$A$26,_xlpm.g,$B$2:$B$26,_xlpm.k,$C39,AVERAGE(_xlfn._xlws.FILTER(_xlpm.d,(_xlpm.f=_xlpm.k)*(_xlpm.g=0))))</f>
        <v>0.47792814467583072</v>
      </c>
      <c r="O39" s="2" cm="1">
        <f t="array" ref="O39">_xlfn.LET(_xlpm.d,O$2:O$26,_xlpm.f,$A$2:$A$26,_xlpm.g,$B$2:$B$26,_xlpm.k,$C39,AVERAGE(_xlfn._xlws.FILTER(_xlpm.d,(_xlpm.f=_xlpm.k)*(_xlpm.g=0))))</f>
        <v>0.46329909451719625</v>
      </c>
      <c r="P39" s="2" cm="1">
        <f t="array" ref="P39">_xlfn.LET(_xlpm.d,P$2:P$26,_xlpm.f,$A$2:$A$26,_xlpm.g,$B$2:$B$26,_xlpm.k,$C39,AVERAGE(_xlfn._xlws.FILTER(_xlpm.d,(_xlpm.f=_xlpm.k)*(_xlpm.g=0))))</f>
        <v>0.39627771033953801</v>
      </c>
      <c r="Q39" s="2" cm="1">
        <f t="array" ref="Q39">_xlfn.LET(_xlpm.d,Q$2:Q$26,_xlpm.f,$A$2:$A$26,_xlpm.g,$B$2:$B$26,_xlpm.k,$C39,AVERAGE(_xlfn._xlws.FILTER(_xlpm.d,(_xlpm.f=_xlpm.k)*(_xlpm.g=0))))</f>
        <v>0.53661764249233035</v>
      </c>
    </row>
    <row r="40" spans="3:17" ht="30" customHeight="1">
      <c r="C40" t="s">
        <v>57</v>
      </c>
      <c r="D40" s="2" cm="1">
        <f t="array" ref="D40">_xlfn.LET(_xlpm.d,D$2:D$26,_xlpm.f,$A$2:$A$26,_xlpm.g,$B$2:$B$26,_xlpm.k,$C40,AVERAGE(_xlfn._xlws.FILTER(_xlpm.d,(_xlpm.f=_xlpm.k)*(_xlpm.g=0))))</f>
        <v>0.7511784216211661</v>
      </c>
      <c r="E40" s="2" cm="1">
        <f t="array" ref="E40">_xlfn.LET(_xlpm.d,E$2:E$26,_xlpm.f,$A$2:$A$26,_xlpm.g,$B$2:$B$26,_xlpm.k,$C40,AVERAGE(_xlfn._xlws.FILTER(_xlpm.d,(_xlpm.f=_xlpm.k)*(_xlpm.g=0))))</f>
        <v>0.64465773772995805</v>
      </c>
      <c r="F40" s="2" cm="1">
        <f t="array" ref="F40">_xlfn.LET(_xlpm.d,F$2:F$26,_xlpm.f,$A$2:$A$26,_xlpm.g,$B$2:$B$26,_xlpm.k,$C40,AVERAGE(_xlfn._xlws.FILTER(_xlpm.d,(_xlpm.f=_xlpm.k)*(_xlpm.g=0))))</f>
        <v>0.47398579938413576</v>
      </c>
      <c r="G40" s="2" cm="1">
        <f t="array" ref="G40">_xlfn.LET(_xlpm.d,G$2:G$26,_xlpm.f,$A$2:$A$26,_xlpm.g,$B$2:$B$26,_xlpm.k,$C40,AVERAGE(_xlfn._xlws.FILTER(_xlpm.d,(_xlpm.f=_xlpm.k)*(_xlpm.g=0))))</f>
        <v>0.55066286739551318</v>
      </c>
      <c r="H40" s="2" cm="1">
        <f t="array" ref="H40">_xlfn.LET(_xlpm.d,H$2:H$26,_xlpm.f,$A$2:$A$26,_xlpm.g,$B$2:$B$26,_xlpm.k,$C40,AVERAGE(_xlfn._xlws.FILTER(_xlpm.d,(_xlpm.f=_xlpm.k)*(_xlpm.g=0))))</f>
        <v>0.4791558231954407</v>
      </c>
      <c r="I40" s="2" cm="1">
        <f t="array" ref="I40">_xlfn.LET(_xlpm.d,I$2:I$26,_xlpm.f,$A$2:$A$26,_xlpm.g,$B$2:$B$26,_xlpm.k,$C40,AVERAGE(_xlfn._xlws.FILTER(_xlpm.d,(_xlpm.f=_xlpm.k)*(_xlpm.g=0))))</f>
        <v>0.58788842427450383</v>
      </c>
      <c r="J40" s="2" cm="1">
        <f t="array" ref="J40">_xlfn.LET(_xlpm.d,J$2:J$26,_xlpm.f,$A$2:$A$26,_xlpm.g,$B$2:$B$26,_xlpm.k,$C40,AVERAGE(_xlfn._xlws.FILTER(_xlpm.d,(_xlpm.f=_xlpm.k)*(_xlpm.g=0))))</f>
        <v>0.52187702981968553</v>
      </c>
      <c r="K40" s="2" cm="1">
        <f t="array" ref="K40">_xlfn.LET(_xlpm.d,K$2:K$26,_xlpm.f,$A$2:$A$26,_xlpm.g,$B$2:$B$26,_xlpm.k,$C40,AVERAGE(_xlfn._xlws.FILTER(_xlpm.d,(_xlpm.f=_xlpm.k)*(_xlpm.g=0))))</f>
        <v>0.57027513697028842</v>
      </c>
      <c r="L40" s="2" cm="1">
        <f t="array" ref="L40">_xlfn.LET(_xlpm.d,L$2:L$26,_xlpm.f,$A$2:$A$26,_xlpm.g,$B$2:$B$26,_xlpm.k,$C40,AVERAGE(_xlfn._xlws.FILTER(_xlpm.d,(_xlpm.f=_xlpm.k)*(_xlpm.g=0))))</f>
        <v>0.41146469797298052</v>
      </c>
      <c r="M40" s="2" cm="1">
        <f t="array" ref="M40">_xlfn.LET(_xlpm.d,M$2:M$26,_xlpm.f,$A$2:$A$26,_xlpm.g,$B$2:$B$26,_xlpm.k,$C40,AVERAGE(_xlfn._xlws.FILTER(_xlpm.d,(_xlpm.f=_xlpm.k)*(_xlpm.g=0))))</f>
        <v>0.42437331778520121</v>
      </c>
      <c r="N40" s="2" cm="1">
        <f t="array" ref="N40">_xlfn.LET(_xlpm.d,N$2:N$26,_xlpm.f,$A$2:$A$26,_xlpm.g,$B$2:$B$26,_xlpm.k,$C40,AVERAGE(_xlfn._xlws.FILTER(_xlpm.d,(_xlpm.f=_xlpm.k)*(_xlpm.g=0))))</f>
        <v>0.39656069509176228</v>
      </c>
      <c r="O40" s="2" cm="1">
        <f t="array" ref="O40">_xlfn.LET(_xlpm.d,O$2:O$26,_xlpm.f,$A$2:$A$26,_xlpm.g,$B$2:$B$26,_xlpm.k,$C40,AVERAGE(_xlfn._xlws.FILTER(_xlpm.d,(_xlpm.f=_xlpm.k)*(_xlpm.g=0))))</f>
        <v>0.50065369187676201</v>
      </c>
      <c r="P40" s="2" cm="1">
        <f t="array" ref="P40">_xlfn.LET(_xlpm.d,P$2:P$26,_xlpm.f,$A$2:$A$26,_xlpm.g,$B$2:$B$26,_xlpm.k,$C40,AVERAGE(_xlfn._xlws.FILTER(_xlpm.d,(_xlpm.f=_xlpm.k)*(_xlpm.g=0))))</f>
        <v>0.302132704843314</v>
      </c>
      <c r="Q40" s="2" cm="1">
        <f t="array" ref="Q40">_xlfn.LET(_xlpm.d,Q$2:Q$26,_xlpm.f,$A$2:$A$26,_xlpm.g,$B$2:$B$26,_xlpm.k,$C40,AVERAGE(_xlfn._xlws.FILTER(_xlpm.d,(_xlpm.f=_xlpm.k)*(_xlpm.g=0))))</f>
        <v>0.50883587292005472</v>
      </c>
    </row>
    <row r="41" spans="3:17" ht="30" customHeight="1">
      <c r="C41" t="s">
        <v>55</v>
      </c>
      <c r="D41" s="2" cm="1">
        <f t="array" ref="D41">_xlfn.LET(_xlpm.d,D$2:D$26,_xlpm.f,$A$2:$A$26,_xlpm.g,$B$2:$B$26,_xlpm.k,$C41,AVERAGE(_xlfn._xlws.FILTER(_xlpm.d,(_xlpm.f=_xlpm.k)*(_xlpm.g=0))))</f>
        <v>0.81194303881241525</v>
      </c>
      <c r="E41" s="2" cm="1">
        <f t="array" ref="E41">_xlfn.LET(_xlpm.d,E$2:E$26,_xlpm.f,$A$2:$A$26,_xlpm.g,$B$2:$B$26,_xlpm.k,$C41,AVERAGE(_xlfn._xlws.FILTER(_xlpm.d,(_xlpm.f=_xlpm.k)*(_xlpm.g=0))))</f>
        <v>0.71749434379708954</v>
      </c>
      <c r="F41" s="2" cm="1">
        <f t="array" ref="F41">_xlfn.LET(_xlpm.d,F$2:F$26,_xlpm.f,$A$2:$A$26,_xlpm.g,$B$2:$B$26,_xlpm.k,$C41,AVERAGE(_xlfn._xlws.FILTER(_xlpm.d,(_xlpm.f=_xlpm.k)*(_xlpm.g=0))))</f>
        <v>0.69093105727435078</v>
      </c>
      <c r="G41" s="2" cm="1">
        <f t="array" ref="G41">_xlfn.LET(_xlpm.d,G$2:G$26,_xlpm.f,$A$2:$A$26,_xlpm.g,$B$2:$B$26,_xlpm.k,$C41,AVERAGE(_xlfn._xlws.FILTER(_xlpm.d,(_xlpm.f=_xlpm.k)*(_xlpm.g=0))))</f>
        <v>0.64732879127498788</v>
      </c>
      <c r="H41" s="2" cm="1">
        <f t="array" ref="H41">_xlfn.LET(_xlpm.d,H$2:H$26,_xlpm.f,$A$2:$A$26,_xlpm.g,$B$2:$B$26,_xlpm.k,$C41,AVERAGE(_xlfn._xlws.FILTER(_xlpm.d,(_xlpm.f=_xlpm.k)*(_xlpm.g=0))))</f>
        <v>0.67693986013089924</v>
      </c>
      <c r="I41" s="2" cm="1">
        <f t="array" ref="I41">_xlfn.LET(_xlpm.d,I$2:I$26,_xlpm.f,$A$2:$A$26,_xlpm.g,$B$2:$B$26,_xlpm.k,$C41,AVERAGE(_xlfn._xlws.FILTER(_xlpm.d,(_xlpm.f=_xlpm.k)*(_xlpm.g=0))))</f>
        <v>0.47672838681968127</v>
      </c>
      <c r="J41" s="2" cm="1">
        <f t="array" ref="J41">_xlfn.LET(_xlpm.d,J$2:J$26,_xlpm.f,$A$2:$A$26,_xlpm.g,$B$2:$B$26,_xlpm.k,$C41,AVERAGE(_xlfn._xlws.FILTER(_xlpm.d,(_xlpm.f=_xlpm.k)*(_xlpm.g=0))))</f>
        <v>0.64763276221158872</v>
      </c>
      <c r="K41" s="2" cm="1">
        <f t="array" ref="K41">_xlfn.LET(_xlpm.d,K$2:K$26,_xlpm.f,$A$2:$A$26,_xlpm.g,$B$2:$B$26,_xlpm.k,$C41,AVERAGE(_xlfn._xlws.FILTER(_xlpm.d,(_xlpm.f=_xlpm.k)*(_xlpm.g=0))))</f>
        <v>0.49782322801530055</v>
      </c>
      <c r="L41" s="2" cm="1">
        <f t="array" ref="L41">_xlfn.LET(_xlpm.d,L$2:L$26,_xlpm.f,$A$2:$A$26,_xlpm.g,$B$2:$B$26,_xlpm.k,$C41,AVERAGE(_xlfn._xlws.FILTER(_xlpm.d,(_xlpm.f=_xlpm.k)*(_xlpm.g=0))))</f>
        <v>0.42695394231992279</v>
      </c>
      <c r="M41" s="2" cm="1">
        <f t="array" ref="M41">_xlfn.LET(_xlpm.d,M$2:M$26,_xlpm.f,$A$2:$A$26,_xlpm.g,$B$2:$B$26,_xlpm.k,$C41,AVERAGE(_xlfn._xlws.FILTER(_xlpm.d,(_xlpm.f=_xlpm.k)*(_xlpm.g=0))))</f>
        <v>0.49558066780174476</v>
      </c>
      <c r="N41" s="2" cm="1">
        <f t="array" ref="N41">_xlfn.LET(_xlpm.d,N$2:N$26,_xlpm.f,$A$2:$A$26,_xlpm.g,$B$2:$B$26,_xlpm.k,$C41,AVERAGE(_xlfn._xlws.FILTER(_xlpm.d,(_xlpm.f=_xlpm.k)*(_xlpm.g=0))))</f>
        <v>0.52913895549672219</v>
      </c>
      <c r="O41" s="2" cm="1">
        <f t="array" ref="O41">_xlfn.LET(_xlpm.d,O$2:O$26,_xlpm.f,$A$2:$A$26,_xlpm.g,$B$2:$B$26,_xlpm.k,$C41,AVERAGE(_xlfn._xlws.FILTER(_xlpm.d,(_xlpm.f=_xlpm.k)*(_xlpm.g=0))))</f>
        <v>0.47847762776355951</v>
      </c>
      <c r="P41" s="2" cm="1">
        <f t="array" ref="P41">_xlfn.LET(_xlpm.d,P$2:P$26,_xlpm.f,$A$2:$A$26,_xlpm.g,$B$2:$B$26,_xlpm.k,$C41,AVERAGE(_xlfn._xlws.FILTER(_xlpm.d,(_xlpm.f=_xlpm.k)*(_xlpm.g=0))))</f>
        <v>0.42494968094179375</v>
      </c>
      <c r="Q41" s="2" cm="1">
        <f t="array" ref="Q41">_xlfn.LET(_xlpm.d,Q$2:Q$26,_xlpm.f,$A$2:$A$26,_xlpm.g,$B$2:$B$26,_xlpm.k,$C41,AVERAGE(_xlfn._xlws.FILTER(_xlpm.d,(_xlpm.f=_xlpm.k)*(_xlpm.g=0))))</f>
        <v>0.57860941097385044</v>
      </c>
    </row>
    <row r="42" spans="3:17" ht="30" customHeight="1">
      <c r="C42" t="s">
        <v>58</v>
      </c>
      <c r="D42" s="2" cm="1">
        <f t="array" ref="D42">_xlfn.LET(_xlpm.d,D$2:D$26,_xlpm.f,$A$2:$A$26,_xlpm.g,$B$2:$B$26,_xlpm.k,$C42,AVERAGE(_xlfn._xlws.FILTER(_xlpm.d,(_xlpm.f=_xlpm.k)*(_xlpm.g=0))))</f>
        <v>0.99551366802215546</v>
      </c>
      <c r="E42" s="2" cm="1">
        <f t="array" ref="E42">_xlfn.LET(_xlpm.d,E$2:E$26,_xlpm.f,$A$2:$A$26,_xlpm.g,$B$2:$B$26,_xlpm.k,$C42,AVERAGE(_xlfn._xlws.FILTER(_xlpm.d,(_xlpm.f=_xlpm.k)*(_xlpm.g=0))))</f>
        <v>0.99832098746354481</v>
      </c>
      <c r="F42" s="2" cm="1">
        <f t="array" ref="F42">_xlfn.LET(_xlpm.d,F$2:F$26,_xlpm.f,$A$2:$A$26,_xlpm.g,$B$2:$B$26,_xlpm.k,$C42,AVERAGE(_xlfn._xlws.FILTER(_xlpm.d,(_xlpm.f=_xlpm.k)*(_xlpm.g=0))))</f>
        <v>0.99366596352356129</v>
      </c>
      <c r="G42" s="2" cm="1">
        <f t="array" ref="G42">_xlfn.LET(_xlpm.d,G$2:G$26,_xlpm.f,$A$2:$A$26,_xlpm.g,$B$2:$B$26,_xlpm.k,$C42,AVERAGE(_xlfn._xlws.FILTER(_xlpm.d,(_xlpm.f=_xlpm.k)*(_xlpm.g=0))))</f>
        <v>1</v>
      </c>
      <c r="H42" s="2" cm="1">
        <f t="array" ref="H42">_xlfn.LET(_xlpm.d,H$2:H$26,_xlpm.f,$A$2:$A$26,_xlpm.g,$B$2:$B$26,_xlpm.k,$C42,AVERAGE(_xlfn._xlws.FILTER(_xlpm.d,(_xlpm.f=_xlpm.k)*(_xlpm.g=0))))</f>
        <v>0.99952928236057659</v>
      </c>
      <c r="I42" s="2" cm="1">
        <f t="array" ref="I42">_xlfn.LET(_xlpm.d,I$2:I$26,_xlpm.f,$A$2:$A$26,_xlpm.g,$B$2:$B$26,_xlpm.k,$C42,AVERAGE(_xlfn._xlws.FILTER(_xlpm.d,(_xlpm.f=_xlpm.k)*(_xlpm.g=0))))</f>
        <v>0.97890491737820728</v>
      </c>
      <c r="J42" s="2" cm="1">
        <f t="array" ref="J42">_xlfn.LET(_xlpm.d,J$2:J$26,_xlpm.f,$A$2:$A$26,_xlpm.g,$B$2:$B$26,_xlpm.k,$C42,AVERAGE(_xlfn._xlws.FILTER(_xlpm.d,(_xlpm.f=_xlpm.k)*(_xlpm.g=0))))</f>
        <v>1</v>
      </c>
      <c r="K42" s="2" cm="1">
        <f t="array" ref="K42">_xlfn.LET(_xlpm.d,K$2:K$26,_xlpm.f,$A$2:$A$26,_xlpm.g,$B$2:$B$26,_xlpm.k,$C42,AVERAGE(_xlfn._xlws.FILTER(_xlpm.d,(_xlpm.f=_xlpm.k)*(_xlpm.g=0))))</f>
        <v>1</v>
      </c>
      <c r="L42" s="2" cm="1">
        <f t="array" ref="L42">_xlfn.LET(_xlpm.d,L$2:L$26,_xlpm.f,$A$2:$A$26,_xlpm.g,$B$2:$B$26,_xlpm.k,$C42,AVERAGE(_xlfn._xlws.FILTER(_xlpm.d,(_xlpm.f=_xlpm.k)*(_xlpm.g=0))))</f>
        <v>1</v>
      </c>
      <c r="M42" s="2" cm="1">
        <f t="array" ref="M42">_xlfn.LET(_xlpm.d,M$2:M$26,_xlpm.f,$A$2:$A$26,_xlpm.g,$B$2:$B$26,_xlpm.k,$C42,AVERAGE(_xlfn._xlws.FILTER(_xlpm.d,(_xlpm.f=_xlpm.k)*(_xlpm.g=0))))</f>
        <v>0.98733554651227395</v>
      </c>
      <c r="N42" s="2" cm="1">
        <f t="array" ref="N42">_xlfn.LET(_xlpm.d,N$2:N$26,_xlpm.f,$A$2:$A$26,_xlpm.g,$B$2:$B$26,_xlpm.k,$C42,AVERAGE(_xlfn._xlws.FILTER(_xlpm.d,(_xlpm.f=_xlpm.k)*(_xlpm.g=0))))</f>
        <v>0.998971146950557</v>
      </c>
      <c r="O42" s="2" cm="1">
        <f t="array" ref="O42">_xlfn.LET(_xlpm.d,O$2:O$26,_xlpm.f,$A$2:$A$26,_xlpm.g,$B$2:$B$26,_xlpm.k,$C42,AVERAGE(_xlfn._xlws.FILTER(_xlpm.d,(_xlpm.f=_xlpm.k)*(_xlpm.g=0))))</f>
        <v>0.89644660940672627</v>
      </c>
      <c r="P42" s="2" cm="1">
        <f t="array" ref="P42">_xlfn.LET(_xlpm.d,P$2:P$26,_xlpm.f,$A$2:$A$26,_xlpm.g,$B$2:$B$26,_xlpm.k,$C42,AVERAGE(_xlfn._xlws.FILTER(_xlpm.d,(_xlpm.f=_xlpm.k)*(_xlpm.g=0))))</f>
        <v>0.9166657597575727</v>
      </c>
      <c r="Q42" s="2" cm="1">
        <f t="array" ref="Q42">_xlfn.LET(_xlpm.d,Q$2:Q$26,_xlpm.f,$A$2:$A$26,_xlpm.g,$B$2:$B$26,_xlpm.k,$C42,AVERAGE(_xlfn._xlws.FILTER(_xlpm.d,(_xlpm.f=_xlpm.k)*(_xlpm.g=0))))</f>
        <v>0.98195029856732119</v>
      </c>
    </row>
  </sheetData>
  <conditionalFormatting sqref="D2:Q26 S2:S2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Q3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Q37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Q42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CB1-E98D-4F41-BC23-A67569931093}">
  <dimension ref="A1:S52"/>
  <sheetViews>
    <sheetView workbookViewId="0">
      <pane xSplit="9080" ySplit="3520" topLeftCell="A38" activePane="topRight"/>
      <selection activeCell="B1" sqref="B1:C36"/>
      <selection pane="topRight" activeCell="D1" sqref="D1:Q1048576"/>
      <selection pane="bottomLeft" activeCell="C40" sqref="C40"/>
      <selection pane="bottomRight" activeCell="B52" sqref="B52"/>
    </sheetView>
  </sheetViews>
  <sheetFormatPr baseColWidth="10" defaultRowHeight="30" customHeight="1"/>
  <cols>
    <col min="1" max="1" width="10" customWidth="1"/>
    <col min="2" max="2" width="7.375" customWidth="1"/>
    <col min="3" max="3" width="15.5" customWidth="1"/>
    <col min="4" max="17" width="6.875" customWidth="1"/>
    <col min="18" max="18" width="7.375" customWidth="1"/>
    <col min="19" max="19" width="8.75" customWidth="1"/>
    <col min="20" max="20" width="9.125" customWidth="1"/>
    <col min="21" max="21" width="8.75" customWidth="1"/>
  </cols>
  <sheetData>
    <row r="1" spans="1:19" ht="30" customHeight="1">
      <c r="A1" t="s">
        <v>59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47</v>
      </c>
      <c r="M1" t="s">
        <v>9</v>
      </c>
      <c r="N1" t="s">
        <v>48</v>
      </c>
      <c r="O1" t="s">
        <v>49</v>
      </c>
      <c r="P1" t="s">
        <v>10</v>
      </c>
      <c r="Q1" t="s">
        <v>36</v>
      </c>
      <c r="R1" t="s">
        <v>61</v>
      </c>
      <c r="S1" t="s">
        <v>62</v>
      </c>
    </row>
    <row r="2" spans="1:19" ht="30" customHeight="1">
      <c r="A2" t="str">
        <f>_xlfn.LET(_xlpm.c,_xlfn.SINGLE(Table13[condition]),_xlfn.TEXTBEFORE(_xlpm.c,"-"))</f>
        <v>arabic</v>
      </c>
      <c r="B2">
        <f>_xlfn.LET(_xlpm.c,_xlfn.SINGLE(Table13[condition]),IF(RIGHT(_xlpm.c,2)="1g",1,0))</f>
        <v>1</v>
      </c>
      <c r="C2" t="s">
        <v>11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f>_xlfn.LET(_xlpm.d,$D2:$P2,AVERAGE(_xlpm.d))</f>
        <v>1</v>
      </c>
      <c r="R2" s="3">
        <f>_xlfn.LET(_xlpm.d,$D2:$P2,STDEV(_xlpm.d))</f>
        <v>0</v>
      </c>
      <c r="S2" s="1">
        <f>Table13[[#This Row],[average]]-SQRT(Table13[[#This Row],[stdev]])</f>
        <v>1</v>
      </c>
    </row>
    <row r="3" spans="1:19" ht="30" customHeight="1">
      <c r="A3" t="str">
        <f>_xlfn.LET(_xlpm.c,_xlfn.SINGLE(Table13[condition]),_xlfn.TEXTBEFORE(_xlpm.c,"-"))</f>
        <v>arabic</v>
      </c>
      <c r="B3">
        <f>_xlfn.LET(_xlpm.c,_xlfn.SINGLE(Table13[condition]),IF(RIGHT(_xlpm.c,2)="1g",1,0))</f>
        <v>0</v>
      </c>
      <c r="C3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f t="shared" ref="Q3:Q36" si="0">_xlfn.LET(_xlpm.d,$D3:$P3,AVERAGE(_xlpm.d))</f>
        <v>1</v>
      </c>
      <c r="R3" s="3">
        <f t="shared" ref="R3:R36" si="1">_xlfn.LET(_xlpm.d,$D3:$P3,STDEV(_xlpm.d))</f>
        <v>0</v>
      </c>
      <c r="S3" s="1">
        <f>Table13[[#This Row],[average]]-SQRT(Table13[[#This Row],[stdev]])</f>
        <v>1</v>
      </c>
    </row>
    <row r="4" spans="1:19" ht="30" customHeight="1">
      <c r="A4" t="str">
        <f>_xlfn.LET(_xlpm.c,_xlfn.SINGLE(Table13[condition]),_xlfn.TEXTBEFORE(_xlpm.c,"-"))</f>
        <v>arabic</v>
      </c>
      <c r="B4">
        <f>_xlfn.LET(_xlpm.c,_xlfn.SINGLE(Table13[condition]),IF(RIGHT(_xlpm.c,2)="1g",1,0))</f>
        <v>0</v>
      </c>
      <c r="C4" t="s">
        <v>13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0.99931127919426099</v>
      </c>
      <c r="M4" s="1">
        <v>1</v>
      </c>
      <c r="N4" s="1">
        <v>1</v>
      </c>
      <c r="O4" s="1">
        <v>1</v>
      </c>
      <c r="P4" s="1">
        <v>1</v>
      </c>
      <c r="Q4" s="1">
        <f t="shared" si="0"/>
        <v>0.99994702147648162</v>
      </c>
      <c r="R4" s="3">
        <f t="shared" si="1"/>
        <v>1.9101678304391258E-4</v>
      </c>
      <c r="S4" s="1">
        <f>Table13[[#This Row],[average]]-SQRT(Table13[[#This Row],[stdev]])</f>
        <v>0.98612613933951543</v>
      </c>
    </row>
    <row r="5" spans="1:19" ht="30" customHeight="1">
      <c r="A5" t="str">
        <f>_xlfn.LET(_xlpm.c,_xlfn.SINGLE(Table13[condition]),_xlfn.TEXTBEFORE(_xlpm.c,"-"))</f>
        <v>arabic</v>
      </c>
      <c r="B5">
        <f>_xlfn.LET(_xlpm.c,_xlfn.SINGLE(Table13[condition]),IF(RIGHT(_xlpm.c,2)="1g",1,0))</f>
        <v>0</v>
      </c>
      <c r="C5" t="s">
        <v>14</v>
      </c>
      <c r="D5" s="1">
        <v>0.99870122641009995</v>
      </c>
      <c r="E5" s="1">
        <v>1</v>
      </c>
      <c r="F5" s="1">
        <v>0.99880948837677597</v>
      </c>
      <c r="G5" s="1">
        <v>1</v>
      </c>
      <c r="H5" s="1">
        <v>0.99518280291962202</v>
      </c>
      <c r="I5" s="1">
        <v>1</v>
      </c>
      <c r="J5" s="1">
        <v>1</v>
      </c>
      <c r="K5" s="1">
        <v>0.98898968210386295</v>
      </c>
      <c r="L5" s="1">
        <v>1</v>
      </c>
      <c r="M5" s="1">
        <v>1</v>
      </c>
      <c r="N5" s="1">
        <v>1</v>
      </c>
      <c r="O5" s="1">
        <v>0.99583248907967703</v>
      </c>
      <c r="P5" s="1">
        <v>0.99459333055661703</v>
      </c>
      <c r="Q5" s="1">
        <f t="shared" si="0"/>
        <v>0.997854539957435</v>
      </c>
      <c r="R5" s="3">
        <f t="shared" si="1"/>
        <v>3.3453681419727457E-3</v>
      </c>
      <c r="S5" s="1">
        <f>Table13[[#This Row],[average]]-SQRT(Table13[[#This Row],[stdev]])</f>
        <v>0.94001538244305949</v>
      </c>
    </row>
    <row r="6" spans="1:19" ht="30" customHeight="1">
      <c r="A6" t="str">
        <f>_xlfn.LET(_xlpm.c,_xlfn.SINGLE(Table13[condition]),_xlfn.TEXTBEFORE(_xlpm.c,"-"))</f>
        <v>arabic</v>
      </c>
      <c r="B6">
        <f>_xlfn.LET(_xlpm.c,_xlfn.SINGLE(Table13[condition]),IF(RIGHT(_xlpm.c,2)="1g",1,0))</f>
        <v>0</v>
      </c>
      <c r="C6" t="s">
        <v>15</v>
      </c>
      <c r="D6" s="1">
        <v>1</v>
      </c>
      <c r="E6" s="1">
        <v>0.99937185409177098</v>
      </c>
      <c r="F6" s="1">
        <v>0.99974025916198594</v>
      </c>
      <c r="G6" s="1">
        <v>1</v>
      </c>
      <c r="H6" s="1">
        <v>0.98130927491440401</v>
      </c>
      <c r="I6" s="1">
        <v>1</v>
      </c>
      <c r="J6" s="1">
        <v>0.99378498166682305</v>
      </c>
      <c r="K6" s="1">
        <v>0.97689492372965903</v>
      </c>
      <c r="L6" s="1">
        <v>0.98372437486200603</v>
      </c>
      <c r="M6" s="1">
        <v>1</v>
      </c>
      <c r="N6" s="1">
        <v>1</v>
      </c>
      <c r="O6" s="1">
        <v>1</v>
      </c>
      <c r="P6" s="1">
        <v>1</v>
      </c>
      <c r="Q6" s="1">
        <f t="shared" si="0"/>
        <v>0.99498658987897304</v>
      </c>
      <c r="R6" s="3">
        <f t="shared" si="1"/>
        <v>8.4677159417488792E-3</v>
      </c>
      <c r="S6" s="1">
        <f>Table13[[#This Row],[average]]-SQRT(Table13[[#This Row],[stdev]])</f>
        <v>0.90296639675947954</v>
      </c>
    </row>
    <row r="7" spans="1:19" ht="30" customHeight="1">
      <c r="A7" t="str">
        <f>_xlfn.LET(_xlpm.c,_xlfn.SINGLE(Table13[condition]),_xlfn.TEXTBEFORE(_xlpm.c,"-"))</f>
        <v>arabic</v>
      </c>
      <c r="B7">
        <f>_xlfn.LET(_xlpm.c,_xlfn.SINGLE(Table13[condition]),IF(RIGHT(_xlpm.c,2)="1g",1,0))</f>
        <v>0</v>
      </c>
      <c r="C7" t="s">
        <v>37</v>
      </c>
      <c r="D7" s="1">
        <v>1</v>
      </c>
      <c r="E7" s="1">
        <v>0.98895744075047198</v>
      </c>
      <c r="F7" s="1">
        <v>1</v>
      </c>
      <c r="G7" s="1">
        <v>1</v>
      </c>
      <c r="H7" s="1">
        <v>1</v>
      </c>
      <c r="I7" s="1">
        <v>0.97491123952657699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f t="shared" si="0"/>
        <v>0.99722066771361917</v>
      </c>
      <c r="R7" s="3">
        <f t="shared" si="1"/>
        <v>7.3652510333806842E-3</v>
      </c>
      <c r="S7" s="1">
        <f>Table13[[#This Row],[average]]-SQRT(Table13[[#This Row],[stdev]])</f>
        <v>0.91139962697546051</v>
      </c>
    </row>
    <row r="8" spans="1:19" ht="30" customHeight="1">
      <c r="A8" t="str">
        <f>_xlfn.LET(_xlpm.c,_xlfn.SINGLE(Table13[condition]),_xlfn.TEXTBEFORE(_xlpm.c,"-"))</f>
        <v>arabic</v>
      </c>
      <c r="B8">
        <f>_xlfn.LET(_xlpm.c,_xlfn.SINGLE(Table13[condition]),IF(RIGHT(_xlpm.c,2)="1g",1,0))</f>
        <v>0</v>
      </c>
      <c r="C8" t="s">
        <v>38</v>
      </c>
      <c r="D8" s="1">
        <v>0.99846141828072399</v>
      </c>
      <c r="E8" s="1">
        <v>1</v>
      </c>
      <c r="F8" s="1">
        <v>0.99787202249109996</v>
      </c>
      <c r="G8" s="1">
        <v>0.99969343773491104</v>
      </c>
      <c r="H8" s="1">
        <v>0.96907493695581803</v>
      </c>
      <c r="I8" s="1">
        <v>1</v>
      </c>
      <c r="J8" s="1">
        <v>1</v>
      </c>
      <c r="K8" s="1">
        <v>1</v>
      </c>
      <c r="L8" s="1">
        <v>0.99953051522463898</v>
      </c>
      <c r="M8" s="1">
        <v>1</v>
      </c>
      <c r="N8" s="1">
        <v>1</v>
      </c>
      <c r="O8" s="1">
        <v>0.83250770906883798</v>
      </c>
      <c r="P8" s="1">
        <v>0.85269737078487096</v>
      </c>
      <c r="Q8" s="1">
        <f t="shared" si="0"/>
        <v>0.97306441619545392</v>
      </c>
      <c r="R8" s="3">
        <f t="shared" si="1"/>
        <v>5.8653976679701035E-2</v>
      </c>
      <c r="S8" s="1">
        <f>Table13[[#This Row],[average]]-SQRT(Table13[[#This Row],[stdev]])</f>
        <v>0.7308785853140809</v>
      </c>
    </row>
    <row r="9" spans="1:19" ht="30" customHeight="1">
      <c r="A9" t="str">
        <f>_xlfn.LET(_xlpm.c,_xlfn.SINGLE(Table13[condition]),_xlfn.TEXTBEFORE(_xlpm.c,"-"))</f>
        <v>english</v>
      </c>
      <c r="B9">
        <f>_xlfn.LET(_xlpm.c,_xlfn.SINGLE(Table13[condition]),IF(RIGHT(_xlpm.c,2)="1g",1,0))</f>
        <v>1</v>
      </c>
      <c r="C9" t="s">
        <v>16</v>
      </c>
      <c r="D9" s="1">
        <v>0.88468197605629295</v>
      </c>
      <c r="E9" s="1">
        <v>0.82481186598828904</v>
      </c>
      <c r="F9" s="1">
        <v>0.81776734067839696</v>
      </c>
      <c r="G9" s="1">
        <v>0.69323989483108395</v>
      </c>
      <c r="H9" s="1">
        <v>0.69315922414310405</v>
      </c>
      <c r="I9" s="1">
        <v>0.52049226294198903</v>
      </c>
      <c r="J9" s="1">
        <v>0.62383341238100998</v>
      </c>
      <c r="K9" s="1">
        <v>0.45429511364692199</v>
      </c>
      <c r="L9" s="1">
        <v>0.39839981930273499</v>
      </c>
      <c r="M9" s="1">
        <v>0.32656467464570499</v>
      </c>
      <c r="N9" s="1">
        <v>0.40894747124105402</v>
      </c>
      <c r="O9" s="1">
        <v>0</v>
      </c>
      <c r="P9" s="1">
        <v>0.24074918584295699</v>
      </c>
      <c r="Q9" s="1">
        <f t="shared" si="0"/>
        <v>0.52976478782304148</v>
      </c>
      <c r="R9" s="3">
        <f t="shared" si="1"/>
        <v>0.25841527993152108</v>
      </c>
      <c r="S9" s="1">
        <f>Table13[[#This Row],[average]]-SQRT(Table13[[#This Row],[stdev]])</f>
        <v>2.1419157438043457E-2</v>
      </c>
    </row>
    <row r="10" spans="1:19" ht="30" customHeight="1">
      <c r="A10" t="str">
        <f>_xlfn.LET(_xlpm.c,_xlfn.SINGLE(Table13[condition]),_xlfn.TEXTBEFORE(_xlpm.c,"-"))</f>
        <v>english</v>
      </c>
      <c r="B10">
        <f>_xlfn.LET(_xlpm.c,_xlfn.SINGLE(Table13[condition]),IF(RIGHT(_xlpm.c,2)="1g",1,0))</f>
        <v>0</v>
      </c>
      <c r="C10" t="s">
        <v>17</v>
      </c>
      <c r="D10" s="1">
        <v>0.55513644220719005</v>
      </c>
      <c r="E10" s="1">
        <v>0.662508345994818</v>
      </c>
      <c r="F10" s="1">
        <v>0.57856372850198001</v>
      </c>
      <c r="G10" s="1">
        <v>0.52940028397021599</v>
      </c>
      <c r="H10" s="1">
        <v>0.467325424335791</v>
      </c>
      <c r="I10" s="1">
        <v>0.28111012313163902</v>
      </c>
      <c r="J10" s="1">
        <v>0.54244293932188004</v>
      </c>
      <c r="K10" s="1">
        <v>0.63329833128157598</v>
      </c>
      <c r="L10" s="1">
        <v>0.298819636571516</v>
      </c>
      <c r="M10" s="1">
        <v>0.54583062611162703</v>
      </c>
      <c r="N10" s="1">
        <v>0.53190420082677103</v>
      </c>
      <c r="O10" s="1">
        <v>0.49527996019079801</v>
      </c>
      <c r="P10" s="1">
        <v>0.26833948116858197</v>
      </c>
      <c r="Q10" s="1">
        <f t="shared" si="0"/>
        <v>0.49153534797033732</v>
      </c>
      <c r="R10" s="3">
        <f t="shared" si="1"/>
        <v>0.12954573310565237</v>
      </c>
      <c r="S10" s="1">
        <f>Table13[[#This Row],[average]]-SQRT(Table13[[#This Row],[stdev]])</f>
        <v>0.13161072654850076</v>
      </c>
    </row>
    <row r="11" spans="1:19" ht="30" customHeight="1">
      <c r="A11" t="str">
        <f>_xlfn.LET(_xlpm.c,_xlfn.SINGLE(Table13[condition]),_xlfn.TEXTBEFORE(_xlpm.c,"-"))</f>
        <v>english</v>
      </c>
      <c r="B11">
        <f>_xlfn.LET(_xlpm.c,_xlfn.SINGLE(Table13[condition]),IF(RIGHT(_xlpm.c,2)="1g",1,0))</f>
        <v>0</v>
      </c>
      <c r="C11" t="s">
        <v>18</v>
      </c>
      <c r="D11" s="1">
        <v>0.66357631011378604</v>
      </c>
      <c r="E11" s="1">
        <v>0.637511221321995</v>
      </c>
      <c r="F11" s="1">
        <v>0.46487322444887003</v>
      </c>
      <c r="G11" s="1">
        <v>0.58397587631591596</v>
      </c>
      <c r="H11" s="1">
        <v>0.52486587242173099</v>
      </c>
      <c r="I11" s="1">
        <v>0.52828038616862905</v>
      </c>
      <c r="J11" s="1">
        <v>0.34776986809417598</v>
      </c>
      <c r="K11" s="1">
        <v>0.244731886469887</v>
      </c>
      <c r="L11" s="1">
        <v>0.51390921275030099</v>
      </c>
      <c r="M11" s="1">
        <v>0.67063552575536201</v>
      </c>
      <c r="N11" s="1">
        <v>0.58998231619916897</v>
      </c>
      <c r="O11" s="1">
        <v>0.28566821302480799</v>
      </c>
      <c r="P11" s="1">
        <v>0.22125697411659601</v>
      </c>
      <c r="Q11" s="1">
        <f t="shared" si="0"/>
        <v>0.48284899132317122</v>
      </c>
      <c r="R11" s="3">
        <f t="shared" si="1"/>
        <v>0.15835740464323139</v>
      </c>
      <c r="S11" s="1">
        <f>Table13[[#This Row],[average]]-SQRT(Table13[[#This Row],[stdev]])</f>
        <v>8.4907532508898653E-2</v>
      </c>
    </row>
    <row r="12" spans="1:19" ht="30" customHeight="1">
      <c r="A12" t="str">
        <f>_xlfn.LET(_xlpm.c,_xlfn.SINGLE(Table13[condition]),_xlfn.TEXTBEFORE(_xlpm.c,"-"))</f>
        <v>english</v>
      </c>
      <c r="B12">
        <f>_xlfn.LET(_xlpm.c,_xlfn.SINGLE(Table13[condition]),IF(RIGHT(_xlpm.c,2)="1g",1,0))</f>
        <v>0</v>
      </c>
      <c r="C12" t="s">
        <v>19</v>
      </c>
      <c r="D12" s="1">
        <v>0.87298284708875096</v>
      </c>
      <c r="E12" s="1">
        <v>0.69922632006692498</v>
      </c>
      <c r="F12" s="1">
        <v>0.71566662970132799</v>
      </c>
      <c r="G12" s="1">
        <v>0.52043646947213595</v>
      </c>
      <c r="H12" s="1">
        <v>0.63057253317880102</v>
      </c>
      <c r="I12" s="1">
        <v>0.55676578387245401</v>
      </c>
      <c r="J12" s="1">
        <v>0.60350491519612603</v>
      </c>
      <c r="K12" s="1">
        <v>0.59018621544136696</v>
      </c>
      <c r="L12" s="1">
        <v>0.59282916246987505</v>
      </c>
      <c r="M12" s="1">
        <v>0.51618076599654295</v>
      </c>
      <c r="N12" s="1">
        <v>0.38877618663791702</v>
      </c>
      <c r="O12" s="1">
        <v>0.47500560027953997</v>
      </c>
      <c r="P12" s="1">
        <v>0.55966372418075505</v>
      </c>
      <c r="Q12" s="1">
        <f t="shared" si="0"/>
        <v>0.59398439642942447</v>
      </c>
      <c r="R12" s="3">
        <f t="shared" si="1"/>
        <v>0.12092003420290837</v>
      </c>
      <c r="S12" s="1">
        <f>Table13[[#This Row],[average]]-SQRT(Table13[[#This Row],[stdev]])</f>
        <v>0.24624881555955092</v>
      </c>
    </row>
    <row r="13" spans="1:19" ht="30" customHeight="1">
      <c r="A13" t="str">
        <f>_xlfn.LET(_xlpm.c,_xlfn.SINGLE(Table13[condition]),_xlfn.TEXTBEFORE(_xlpm.c,"-"))</f>
        <v>english</v>
      </c>
      <c r="B13">
        <f>_xlfn.LET(_xlpm.c,_xlfn.SINGLE(Table13[condition]),IF(RIGHT(_xlpm.c,2)="1g",1,0))</f>
        <v>0</v>
      </c>
      <c r="C13" t="s">
        <v>20</v>
      </c>
      <c r="D13" s="1">
        <v>0.68372801863254895</v>
      </c>
      <c r="E13" s="1">
        <v>0.54007154077497199</v>
      </c>
      <c r="F13" s="1">
        <v>0.57739065480228902</v>
      </c>
      <c r="G13" s="1">
        <v>0.658878382914733</v>
      </c>
      <c r="H13" s="1">
        <v>0.61539954386690998</v>
      </c>
      <c r="I13" s="1">
        <v>0.61087804717043104</v>
      </c>
      <c r="J13" s="1">
        <v>0.85135378813381102</v>
      </c>
      <c r="K13" s="1">
        <v>0.41597184130991899</v>
      </c>
      <c r="L13" s="1">
        <v>0.67709132323482302</v>
      </c>
      <c r="M13" s="1">
        <v>0.35041756285728698</v>
      </c>
      <c r="N13" s="1">
        <v>0.40104987503946599</v>
      </c>
      <c r="O13" s="1">
        <v>0.59724260457363898</v>
      </c>
      <c r="P13" s="1">
        <v>0.53585066189221897</v>
      </c>
      <c r="Q13" s="1">
        <f t="shared" si="0"/>
        <v>0.57810183424638839</v>
      </c>
      <c r="R13" s="3">
        <f t="shared" si="1"/>
        <v>0.13468626758481284</v>
      </c>
      <c r="S13" s="1">
        <f>Table13[[#This Row],[average]]-SQRT(Table13[[#This Row],[stdev]])</f>
        <v>0.21110555690176347</v>
      </c>
    </row>
    <row r="14" spans="1:19" ht="30" customHeight="1">
      <c r="A14" t="str">
        <f>_xlfn.LET(_xlpm.c,_xlfn.SINGLE(Table13[condition]),_xlfn.TEXTBEFORE(_xlpm.c,"-"))</f>
        <v>english</v>
      </c>
      <c r="B14">
        <f>_xlfn.LET(_xlpm.c,_xlfn.SINGLE(Table13[condition]),IF(RIGHT(_xlpm.c,2)="1g",1,0))</f>
        <v>0</v>
      </c>
      <c r="C14" t="s">
        <v>39</v>
      </c>
      <c r="D14" s="1">
        <v>0.76362964890752905</v>
      </c>
      <c r="E14" s="1">
        <v>0.78794199168895995</v>
      </c>
      <c r="F14" s="1">
        <v>0.65815395408323996</v>
      </c>
      <c r="G14" s="1">
        <v>0.712778204752336</v>
      </c>
      <c r="H14" s="1">
        <v>0.54806431807942102</v>
      </c>
      <c r="I14" s="1">
        <v>0.67516536262067595</v>
      </c>
      <c r="J14" s="1">
        <v>0.52767608102503405</v>
      </c>
      <c r="K14" s="1">
        <v>0.45042538028803297</v>
      </c>
      <c r="L14" s="1">
        <v>0.55350109481008303</v>
      </c>
      <c r="M14" s="1">
        <v>0.59215658992612497</v>
      </c>
      <c r="N14" s="1">
        <v>0.45529266641870297</v>
      </c>
      <c r="O14" s="1">
        <v>0.33569451373324799</v>
      </c>
      <c r="P14" s="1">
        <v>0.41027265495047699</v>
      </c>
      <c r="Q14" s="1">
        <f t="shared" si="0"/>
        <v>0.57467326625260506</v>
      </c>
      <c r="R14" s="3">
        <f t="shared" si="1"/>
        <v>0.13988897187724503</v>
      </c>
      <c r="S14" s="1">
        <f>Table13[[#This Row],[average]]-SQRT(Table13[[#This Row],[stdev]])</f>
        <v>0.20065592457277731</v>
      </c>
    </row>
    <row r="15" spans="1:19" ht="30" customHeight="1">
      <c r="A15" t="str">
        <f>_xlfn.LET(_xlpm.c,_xlfn.SINGLE(Table13[condition]),_xlfn.TEXTBEFORE(_xlpm.c,"-"))</f>
        <v>english</v>
      </c>
      <c r="B15">
        <f>_xlfn.LET(_xlpm.c,_xlfn.SINGLE(Table13[condition]),IF(RIGHT(_xlpm.c,2)="1g",1,0))</f>
        <v>0</v>
      </c>
      <c r="C15" t="s">
        <v>40</v>
      </c>
      <c r="D15" s="1">
        <v>0.71891515434466102</v>
      </c>
      <c r="E15" s="1">
        <v>0.84359931884942096</v>
      </c>
      <c r="F15" s="1">
        <v>0.80313366862329805</v>
      </c>
      <c r="G15" s="1">
        <v>0.69461783108638198</v>
      </c>
      <c r="H15" s="1">
        <v>0.55331437190110899</v>
      </c>
      <c r="I15" s="1">
        <v>0.33513269392193501</v>
      </c>
      <c r="J15" s="1">
        <v>0.624596699967498</v>
      </c>
      <c r="K15" s="1">
        <v>0.57640933923677495</v>
      </c>
      <c r="L15" s="1">
        <v>0.319000535351873</v>
      </c>
      <c r="M15" s="1">
        <v>0.24006135556653199</v>
      </c>
      <c r="N15" s="1">
        <v>0</v>
      </c>
      <c r="O15" s="1">
        <v>0.71472922833439101</v>
      </c>
      <c r="P15" s="1">
        <v>0.42255214836090599</v>
      </c>
      <c r="Q15" s="1">
        <f t="shared" si="0"/>
        <v>0.52662018042652148</v>
      </c>
      <c r="R15" s="3">
        <f t="shared" si="1"/>
        <v>0.24838818876165472</v>
      </c>
      <c r="S15" s="1">
        <f>Table13[[#This Row],[average]]-SQRT(Table13[[#This Row],[stdev]])</f>
        <v>2.8234598008997358E-2</v>
      </c>
    </row>
    <row r="16" spans="1:19" ht="30" customHeight="1">
      <c r="A16" t="str">
        <f>_xlfn.LET(_xlpm.c,_xlfn.SINGLE(Table13[condition]),_xlfn.TEXTBEFORE(_xlpm.c,"-"))</f>
        <v>french</v>
      </c>
      <c r="B16">
        <f>_xlfn.LET(_xlpm.c,_xlfn.SINGLE(Table13[condition]),IF(RIGHT(_xlpm.c,2)="1g",1,0))</f>
        <v>1</v>
      </c>
      <c r="C16" t="s">
        <v>21</v>
      </c>
      <c r="D16" s="1">
        <v>0.90548333828083705</v>
      </c>
      <c r="E16" s="1">
        <v>1</v>
      </c>
      <c r="F16" s="1">
        <v>0.88213870001333805</v>
      </c>
      <c r="G16" s="1">
        <v>0.86590458436816498</v>
      </c>
      <c r="H16" s="1">
        <v>0.729673633177926</v>
      </c>
      <c r="I16" s="1">
        <v>0.72506064787889102</v>
      </c>
      <c r="J16" s="1">
        <v>0.47747993780241699</v>
      </c>
      <c r="K16" s="1">
        <v>0.61761696341678896</v>
      </c>
      <c r="L16" s="1">
        <v>0.76196216620392498</v>
      </c>
      <c r="M16" s="1">
        <v>0.26228746605568298</v>
      </c>
      <c r="N16" s="1">
        <v>0.51205406629532002</v>
      </c>
      <c r="O16" s="1">
        <v>0.45997537645416797</v>
      </c>
      <c r="P16" s="1">
        <v>0.53084529694726901</v>
      </c>
      <c r="Q16" s="1">
        <f t="shared" si="0"/>
        <v>0.67157555206882524</v>
      </c>
      <c r="R16" s="3">
        <f t="shared" si="1"/>
        <v>0.21548588171126484</v>
      </c>
      <c r="S16" s="1">
        <f>Table13[[#This Row],[average]]-SQRT(Table13[[#This Row],[stdev]])</f>
        <v>0.20737098325108422</v>
      </c>
    </row>
    <row r="17" spans="1:19" ht="30" customHeight="1">
      <c r="A17" t="str">
        <f>_xlfn.LET(_xlpm.c,_xlfn.SINGLE(Table13[condition]),_xlfn.TEXTBEFORE(_xlpm.c,"-"))</f>
        <v>french</v>
      </c>
      <c r="B17">
        <f>_xlfn.LET(_xlpm.c,_xlfn.SINGLE(Table13[condition]),IF(RIGHT(_xlpm.c,2)="1g",1,0))</f>
        <v>0</v>
      </c>
      <c r="C17" t="s">
        <v>22</v>
      </c>
      <c r="D17" s="1">
        <v>0.62908175473849204</v>
      </c>
      <c r="E17" s="1">
        <v>0.752207757211242</v>
      </c>
      <c r="F17" s="1">
        <v>0.53291460620884301</v>
      </c>
      <c r="G17" s="1">
        <v>0.55801745453178597</v>
      </c>
      <c r="H17" s="1">
        <v>0.502756724337871</v>
      </c>
      <c r="I17" s="1">
        <v>0.61232574279591101</v>
      </c>
      <c r="J17" s="1">
        <v>0.44270523475583701</v>
      </c>
      <c r="K17" s="1">
        <v>0.55645493392105105</v>
      </c>
      <c r="L17" s="1">
        <v>0.35723025355995303</v>
      </c>
      <c r="M17" s="1">
        <v>0.33873297410033099</v>
      </c>
      <c r="N17" s="1">
        <v>0.44501918099411297</v>
      </c>
      <c r="O17" s="1">
        <v>0.27705819826119199</v>
      </c>
      <c r="P17" s="1">
        <v>0.25729469087955498</v>
      </c>
      <c r="Q17" s="1">
        <f t="shared" si="0"/>
        <v>0.48167688509970602</v>
      </c>
      <c r="R17" s="3">
        <f t="shared" si="1"/>
        <v>0.14647873960358493</v>
      </c>
      <c r="S17" s="1">
        <f>Table13[[#This Row],[average]]-SQRT(Table13[[#This Row],[stdev]])</f>
        <v>9.8951474911690263E-2</v>
      </c>
    </row>
    <row r="18" spans="1:19" ht="30" customHeight="1">
      <c r="A18" t="str">
        <f>_xlfn.LET(_xlpm.c,_xlfn.SINGLE(Table13[condition]),_xlfn.TEXTBEFORE(_xlpm.c,"-"))</f>
        <v>french</v>
      </c>
      <c r="B18">
        <f>_xlfn.LET(_xlpm.c,_xlfn.SINGLE(Table13[condition]),IF(RIGHT(_xlpm.c,2)="1g",1,0))</f>
        <v>0</v>
      </c>
      <c r="C18" t="s">
        <v>23</v>
      </c>
      <c r="D18" s="1">
        <v>0.75327518554177497</v>
      </c>
      <c r="E18" s="1">
        <v>0.54287793147749097</v>
      </c>
      <c r="F18" s="1">
        <v>0.71789898469888902</v>
      </c>
      <c r="G18" s="1">
        <v>0.54455265560613997</v>
      </c>
      <c r="H18" s="1">
        <v>0.40283840832948098</v>
      </c>
      <c r="I18" s="1">
        <v>0.660743829273161</v>
      </c>
      <c r="J18" s="1">
        <v>0.534811063996528</v>
      </c>
      <c r="K18" s="1">
        <v>0.61536316652033896</v>
      </c>
      <c r="L18" s="1">
        <v>0.40260956272168902</v>
      </c>
      <c r="M18" s="1">
        <v>0.35696570770510799</v>
      </c>
      <c r="N18" s="1">
        <v>0.52051808666827404</v>
      </c>
      <c r="O18" s="1">
        <v>0.57307129876837104</v>
      </c>
      <c r="P18" s="1">
        <v>0.41108035072110199</v>
      </c>
      <c r="Q18" s="1">
        <f t="shared" si="0"/>
        <v>0.54127740246371903</v>
      </c>
      <c r="R18" s="3">
        <f t="shared" si="1"/>
        <v>0.12473714778103941</v>
      </c>
      <c r="S18" s="1">
        <f>Table13[[#This Row],[average]]-SQRT(Table13[[#This Row],[stdev]])</f>
        <v>0.18809593666881153</v>
      </c>
    </row>
    <row r="19" spans="1:19" ht="30" customHeight="1">
      <c r="A19" t="str">
        <f>_xlfn.LET(_xlpm.c,_xlfn.SINGLE(Table13[condition]),_xlfn.TEXTBEFORE(_xlpm.c,"-"))</f>
        <v>french</v>
      </c>
      <c r="B19">
        <f>_xlfn.LET(_xlpm.c,_xlfn.SINGLE(Table13[condition]),IF(RIGHT(_xlpm.c,2)="1g",1,0))</f>
        <v>0</v>
      </c>
      <c r="C19" t="s">
        <v>24</v>
      </c>
      <c r="D19" s="1">
        <v>0.71592329178376302</v>
      </c>
      <c r="E19" s="1">
        <v>0.67014037989329001</v>
      </c>
      <c r="F19" s="1">
        <v>0</v>
      </c>
      <c r="G19" s="1">
        <v>0.64183545233691996</v>
      </c>
      <c r="H19" s="1">
        <v>0.69439961725667698</v>
      </c>
      <c r="I19" s="1">
        <v>0.65331398139269004</v>
      </c>
      <c r="J19" s="1">
        <v>0.60415490403351402</v>
      </c>
      <c r="K19" s="1">
        <v>0.68365486021795396</v>
      </c>
      <c r="L19" s="1">
        <v>0.24495222402401601</v>
      </c>
      <c r="M19" s="1">
        <v>0.71881956652341295</v>
      </c>
      <c r="N19" s="1">
        <v>0.33095051660089098</v>
      </c>
      <c r="O19" s="1">
        <v>0.62053786605390404</v>
      </c>
      <c r="P19" s="1">
        <v>0.54015577777259904</v>
      </c>
      <c r="Q19" s="1">
        <f t="shared" si="0"/>
        <v>0.54760295676074078</v>
      </c>
      <c r="R19" s="3">
        <f t="shared" si="1"/>
        <v>0.21980181886994227</v>
      </c>
      <c r="S19" s="1">
        <f>Table13[[#This Row],[average]]-SQRT(Table13[[#This Row],[stdev]])</f>
        <v>7.8772690171709348E-2</v>
      </c>
    </row>
    <row r="20" spans="1:19" ht="30" customHeight="1">
      <c r="A20" t="str">
        <f>_xlfn.LET(_xlpm.c,_xlfn.SINGLE(Table13[condition]),_xlfn.TEXTBEFORE(_xlpm.c,"-"))</f>
        <v>french</v>
      </c>
      <c r="B20">
        <f>_xlfn.LET(_xlpm.c,_xlfn.SINGLE(Table13[condition]),IF(RIGHT(_xlpm.c,2)="1g",1,0))</f>
        <v>0</v>
      </c>
      <c r="C20" t="s">
        <v>25</v>
      </c>
      <c r="D20" s="1">
        <v>0.90643345442063405</v>
      </c>
      <c r="E20" s="1">
        <v>0.61340488233780899</v>
      </c>
      <c r="F20" s="1">
        <v>0.64512960662881103</v>
      </c>
      <c r="G20" s="1">
        <v>0.45824590710720697</v>
      </c>
      <c r="H20" s="1">
        <v>0.31662854285773401</v>
      </c>
      <c r="I20" s="1">
        <v>0.425170143636253</v>
      </c>
      <c r="J20" s="1">
        <v>0.505836916492863</v>
      </c>
      <c r="K20" s="1">
        <v>0.42562758722180999</v>
      </c>
      <c r="L20" s="1">
        <v>0.64106675158626403</v>
      </c>
      <c r="M20" s="1">
        <v>0.28297502281195303</v>
      </c>
      <c r="N20" s="1">
        <v>0.28975499610377098</v>
      </c>
      <c r="O20" s="1">
        <v>0.53194740442358102</v>
      </c>
      <c r="P20" s="1">
        <v>0</v>
      </c>
      <c r="Q20" s="1">
        <f t="shared" si="0"/>
        <v>0.46478624735605306</v>
      </c>
      <c r="R20" s="3">
        <f t="shared" si="1"/>
        <v>0.22206378772760521</v>
      </c>
      <c r="S20" s="1">
        <f>Table13[[#This Row],[average]]-SQRT(Table13[[#This Row],[stdev]])</f>
        <v>-6.450198313851796E-3</v>
      </c>
    </row>
    <row r="21" spans="1:19" ht="30" customHeight="1">
      <c r="A21" t="str">
        <f>_xlfn.LET(_xlpm.c,_xlfn.SINGLE(Table13[condition]),_xlfn.TEXTBEFORE(_xlpm.c,"-"))</f>
        <v>french</v>
      </c>
      <c r="B21">
        <f>_xlfn.LET(_xlpm.c,_xlfn.SINGLE(Table13[condition]),IF(RIGHT(_xlpm.c,2)="1g",1,0))</f>
        <v>0</v>
      </c>
      <c r="C21" t="s">
        <v>41</v>
      </c>
      <c r="D21" s="1">
        <v>0.72733933861032496</v>
      </c>
      <c r="E21" s="1">
        <v>0.64265747555719199</v>
      </c>
      <c r="F21" s="1">
        <v>0.64756398484532995</v>
      </c>
      <c r="G21" s="1">
        <v>0.52549724288744004</v>
      </c>
      <c r="H21" s="1">
        <v>0.86140525135966695</v>
      </c>
      <c r="I21" s="1">
        <v>0.57316571862961896</v>
      </c>
      <c r="J21" s="1">
        <v>0.53900767135672001</v>
      </c>
      <c r="K21" s="1">
        <v>0.68936869379840904</v>
      </c>
      <c r="L21" s="1">
        <v>0.50260122984045696</v>
      </c>
      <c r="M21" s="1">
        <v>0.71624144934515299</v>
      </c>
      <c r="N21" s="1">
        <v>0.540634390470073</v>
      </c>
      <c r="O21" s="1">
        <v>0.52459032455745203</v>
      </c>
      <c r="P21" s="1">
        <v>0.459688159555805</v>
      </c>
      <c r="Q21" s="1">
        <f t="shared" si="0"/>
        <v>0.61152007160104938</v>
      </c>
      <c r="R21" s="3">
        <f t="shared" si="1"/>
        <v>0.11430194594891081</v>
      </c>
      <c r="S21" s="1">
        <f>Table13[[#This Row],[average]]-SQRT(Table13[[#This Row],[stdev]])</f>
        <v>0.27343436360837065</v>
      </c>
    </row>
    <row r="22" spans="1:19" ht="30" customHeight="1">
      <c r="A22" t="str">
        <f>_xlfn.LET(_xlpm.c,_xlfn.SINGLE(Table13[condition]),_xlfn.TEXTBEFORE(_xlpm.c,"-"))</f>
        <v>french</v>
      </c>
      <c r="B22">
        <f>_xlfn.LET(_xlpm.c,_xlfn.SINGLE(Table13[condition]),IF(RIGHT(_xlpm.c,2)="1g",1,0))</f>
        <v>0</v>
      </c>
      <c r="C22" t="s">
        <v>42</v>
      </c>
      <c r="D22" s="1">
        <v>0.64138742497749401</v>
      </c>
      <c r="E22" s="1">
        <v>0.70533207161182798</v>
      </c>
      <c r="F22" s="1">
        <v>0.656693738384315</v>
      </c>
      <c r="G22" s="1">
        <v>0.63117481100660999</v>
      </c>
      <c r="H22" s="1">
        <v>0.56462175670077797</v>
      </c>
      <c r="I22" s="1">
        <v>0.28514220609416902</v>
      </c>
      <c r="J22" s="1">
        <v>0.24187886425667601</v>
      </c>
      <c r="K22" s="1">
        <v>0.58452403860369195</v>
      </c>
      <c r="L22" s="1">
        <v>0.36566714813614498</v>
      </c>
      <c r="M22" s="1">
        <v>0.42287401869584901</v>
      </c>
      <c r="N22" s="1">
        <v>0.34064333739210401</v>
      </c>
      <c r="O22" s="1">
        <v>0.43598942121336498</v>
      </c>
      <c r="P22" s="1">
        <v>0.37782636427648902</v>
      </c>
      <c r="Q22" s="1">
        <f t="shared" si="0"/>
        <v>0.48105809241150099</v>
      </c>
      <c r="R22" s="3">
        <f t="shared" si="1"/>
        <v>0.15592994751061764</v>
      </c>
      <c r="S22" s="1">
        <f>Table13[[#This Row],[average]]-SQRT(Table13[[#This Row],[stdev]])</f>
        <v>8.6178430348971324E-2</v>
      </c>
    </row>
    <row r="23" spans="1:19" ht="30" customHeight="1">
      <c r="A23" t="str">
        <f>_xlfn.LET(_xlpm.c,_xlfn.SINGLE(Table13[condition]),_xlfn.TEXTBEFORE(_xlpm.c,"-"))</f>
        <v>german</v>
      </c>
      <c r="B23">
        <f>_xlfn.LET(_xlpm.c,_xlfn.SINGLE(Table13[condition]),IF(RIGHT(_xlpm.c,2)="1g",1,0))</f>
        <v>1</v>
      </c>
      <c r="C23" t="s">
        <v>26</v>
      </c>
      <c r="D23" s="1">
        <v>1</v>
      </c>
      <c r="E23" s="1">
        <v>0.96896772623869698</v>
      </c>
      <c r="F23" s="1">
        <v>0.81567833510479903</v>
      </c>
      <c r="G23" s="1">
        <v>0.92377102761874796</v>
      </c>
      <c r="H23" s="1">
        <v>0.63169026761500002</v>
      </c>
      <c r="I23" s="1">
        <v>0.63885527928717201</v>
      </c>
      <c r="J23" s="1">
        <v>0.65297587024920201</v>
      </c>
      <c r="K23" s="1">
        <v>0.597217387077562</v>
      </c>
      <c r="L23" s="1">
        <v>0.56318949175815602</v>
      </c>
      <c r="M23" s="1">
        <v>0.51591938520353198</v>
      </c>
      <c r="N23" s="1">
        <v>0.58109083275510998</v>
      </c>
      <c r="O23" s="1">
        <v>0.389786929792385</v>
      </c>
      <c r="P23" s="1">
        <v>0.35401390498837498</v>
      </c>
      <c r="Q23" s="1">
        <f t="shared" si="0"/>
        <v>0.66408895674528756</v>
      </c>
      <c r="R23" s="3">
        <f t="shared" si="1"/>
        <v>0.20673954708632836</v>
      </c>
      <c r="S23" s="1">
        <f>Table13[[#This Row],[average]]-SQRT(Table13[[#This Row],[stdev]])</f>
        <v>0.20940274947006315</v>
      </c>
    </row>
    <row r="24" spans="1:19" ht="30" customHeight="1">
      <c r="A24" t="str">
        <f>_xlfn.LET(_xlpm.c,_xlfn.SINGLE(Table13[condition]),_xlfn.TEXTBEFORE(_xlpm.c,"-"))</f>
        <v>german</v>
      </c>
      <c r="B24">
        <f>_xlfn.LET(_xlpm.c,_xlfn.SINGLE(Table13[condition]),IF(RIGHT(_xlpm.c,2)="1g",1,0))</f>
        <v>0</v>
      </c>
      <c r="C24" t="s">
        <v>27</v>
      </c>
      <c r="D24" s="1">
        <v>0.95050832449934097</v>
      </c>
      <c r="E24" s="1">
        <v>0.62838180307701796</v>
      </c>
      <c r="F24" s="1">
        <v>0.46002815434577499</v>
      </c>
      <c r="G24" s="1">
        <v>0.69380538907674505</v>
      </c>
      <c r="H24" s="1">
        <v>0.61433910046150497</v>
      </c>
      <c r="I24" s="1">
        <v>0.54997434279784496</v>
      </c>
      <c r="J24" s="1">
        <v>0.58721382559595403</v>
      </c>
      <c r="K24" s="1">
        <v>0.56932972192695597</v>
      </c>
      <c r="L24" s="1">
        <v>0.26532925780873701</v>
      </c>
      <c r="M24" s="1">
        <v>0.35626375111616898</v>
      </c>
      <c r="N24" s="1">
        <v>0.570972182944256</v>
      </c>
      <c r="O24" s="1">
        <v>0.47362778004297001</v>
      </c>
      <c r="P24" s="1">
        <v>0.53028050852917097</v>
      </c>
      <c r="Q24" s="1">
        <f t="shared" si="0"/>
        <v>0.5576964724786494</v>
      </c>
      <c r="R24" s="3">
        <f t="shared" si="1"/>
        <v>0.16474376161136722</v>
      </c>
      <c r="S24" s="1">
        <f>Table13[[#This Row],[average]]-SQRT(Table13[[#This Row],[stdev]])</f>
        <v>0.15181008244891803</v>
      </c>
    </row>
    <row r="25" spans="1:19" ht="30" customHeight="1">
      <c r="A25" t="str">
        <f>_xlfn.LET(_xlpm.c,_xlfn.SINGLE(Table13[condition]),_xlfn.TEXTBEFORE(_xlpm.c,"-"))</f>
        <v>german</v>
      </c>
      <c r="B25">
        <f>_xlfn.LET(_xlpm.c,_xlfn.SINGLE(Table13[condition]),IF(RIGHT(_xlpm.c,2)="1g",1,0))</f>
        <v>0</v>
      </c>
      <c r="C25" t="s">
        <v>28</v>
      </c>
      <c r="D25" s="1">
        <v>0.74676343061433903</v>
      </c>
      <c r="E25" s="1">
        <v>0.69444456453738101</v>
      </c>
      <c r="F25" s="1">
        <v>0.744773732816015</v>
      </c>
      <c r="G25" s="1">
        <v>0.53017529977009403</v>
      </c>
      <c r="H25" s="1">
        <v>0.78797062973554799</v>
      </c>
      <c r="I25" s="1">
        <v>0.55235887439606601</v>
      </c>
      <c r="J25" s="1">
        <v>0.732615560524285</v>
      </c>
      <c r="K25" s="1">
        <v>0.376496445000222</v>
      </c>
      <c r="L25" s="1">
        <v>0.47709434403935802</v>
      </c>
      <c r="M25" s="1">
        <v>0.61541967287606802</v>
      </c>
      <c r="N25" s="1">
        <v>0.498792274607818</v>
      </c>
      <c r="O25" s="1">
        <v>0.52409481855945905</v>
      </c>
      <c r="P25" s="1">
        <v>0.44512360874464602</v>
      </c>
      <c r="Q25" s="1">
        <f t="shared" si="0"/>
        <v>0.59431717355548452</v>
      </c>
      <c r="R25" s="3">
        <f t="shared" si="1"/>
        <v>0.13427353858731944</v>
      </c>
      <c r="S25" s="1">
        <f>Table13[[#This Row],[average]]-SQRT(Table13[[#This Row],[stdev]])</f>
        <v>0.22788363444188287</v>
      </c>
    </row>
    <row r="26" spans="1:19" ht="30" customHeight="1">
      <c r="A26" t="str">
        <f>_xlfn.LET(_xlpm.c,_xlfn.SINGLE(Table13[condition]),_xlfn.TEXTBEFORE(_xlpm.c,"-"))</f>
        <v>german</v>
      </c>
      <c r="B26">
        <f>_xlfn.LET(_xlpm.c,_xlfn.SINGLE(Table13[condition]),IF(RIGHT(_xlpm.c,2)="1g",1,0))</f>
        <v>0</v>
      </c>
      <c r="C26" t="s">
        <v>29</v>
      </c>
      <c r="D26" s="1">
        <v>0.75103127688177895</v>
      </c>
      <c r="E26" s="1">
        <v>0.72492593360772195</v>
      </c>
      <c r="F26" s="1">
        <v>0.79198859100254304</v>
      </c>
      <c r="G26" s="1">
        <v>0.72419003555814798</v>
      </c>
      <c r="H26" s="1">
        <v>0.68127627552614001</v>
      </c>
      <c r="I26" s="1">
        <v>0.367435599975594</v>
      </c>
      <c r="J26" s="1">
        <v>0.68072326410611395</v>
      </c>
      <c r="K26" s="1">
        <v>0.481135203189894</v>
      </c>
      <c r="L26" s="1">
        <v>0.53668775222644205</v>
      </c>
      <c r="M26" s="1">
        <v>0.47467392034608102</v>
      </c>
      <c r="N26" s="1">
        <v>0.39814618721438</v>
      </c>
      <c r="O26" s="1">
        <v>0.51328802824629705</v>
      </c>
      <c r="P26" s="1">
        <v>0.37201990632738602</v>
      </c>
      <c r="Q26" s="1">
        <f t="shared" si="0"/>
        <v>0.57673245955450159</v>
      </c>
      <c r="R26" s="3">
        <f t="shared" si="1"/>
        <v>0.1540975978763694</v>
      </c>
      <c r="S26" s="1">
        <f>Table13[[#This Row],[average]]-SQRT(Table13[[#This Row],[stdev]])</f>
        <v>0.18417979063430512</v>
      </c>
    </row>
    <row r="27" spans="1:19" ht="30" customHeight="1">
      <c r="A27" t="str">
        <f>_xlfn.LET(_xlpm.c,_xlfn.SINGLE(Table13[condition]),_xlfn.TEXTBEFORE(_xlpm.c,"-"))</f>
        <v>german</v>
      </c>
      <c r="B27">
        <f>_xlfn.LET(_xlpm.c,_xlfn.SINGLE(Table13[condition]),IF(RIGHT(_xlpm.c,2)="1g",1,0))</f>
        <v>0</v>
      </c>
      <c r="C27" t="s">
        <v>30</v>
      </c>
      <c r="D27" s="1">
        <v>0.79946912325420205</v>
      </c>
      <c r="E27" s="1">
        <v>0.82222507396623701</v>
      </c>
      <c r="F27" s="1">
        <v>0.76693375093307004</v>
      </c>
      <c r="G27" s="1">
        <v>0.64114444069496401</v>
      </c>
      <c r="H27" s="1">
        <v>0.62417343480040399</v>
      </c>
      <c r="I27" s="1">
        <v>0.43714473010922</v>
      </c>
      <c r="J27" s="1">
        <v>0.58997839862000201</v>
      </c>
      <c r="K27" s="1">
        <v>0.56433154194413004</v>
      </c>
      <c r="L27" s="1">
        <v>0.42870441520515401</v>
      </c>
      <c r="M27" s="1">
        <v>0.53596532686866105</v>
      </c>
      <c r="N27" s="1">
        <v>0.64864517722043502</v>
      </c>
      <c r="O27" s="1">
        <v>0.40289988420551198</v>
      </c>
      <c r="P27" s="1">
        <v>0.352374700165972</v>
      </c>
      <c r="Q27" s="1">
        <f t="shared" si="0"/>
        <v>0.58569153830676635</v>
      </c>
      <c r="R27" s="3">
        <f t="shared" si="1"/>
        <v>0.15289558525432073</v>
      </c>
      <c r="S27" s="1">
        <f>Table13[[#This Row],[average]]-SQRT(Table13[[#This Row],[stdev]])</f>
        <v>0.19467288753123013</v>
      </c>
    </row>
    <row r="28" spans="1:19" ht="30" customHeight="1">
      <c r="A28" t="str">
        <f>_xlfn.LET(_xlpm.c,_xlfn.SINGLE(Table13[condition]),_xlfn.TEXTBEFORE(_xlpm.c,"-"))</f>
        <v>german</v>
      </c>
      <c r="B28">
        <f>_xlfn.LET(_xlpm.c,_xlfn.SINGLE(Table13[condition]),IF(RIGHT(_xlpm.c,2)="1g",1,0))</f>
        <v>0</v>
      </c>
      <c r="C28" t="s">
        <v>43</v>
      </c>
      <c r="D28" s="1">
        <v>0.71541611203143896</v>
      </c>
      <c r="E28" s="1">
        <v>0.83532056312886205</v>
      </c>
      <c r="F28" s="1">
        <v>0.76525474652708203</v>
      </c>
      <c r="G28" s="1">
        <v>0.53174672647329102</v>
      </c>
      <c r="H28" s="1">
        <v>0.60050985561651904</v>
      </c>
      <c r="I28" s="1">
        <v>0.56794374593831498</v>
      </c>
      <c r="J28" s="1">
        <v>0.69290885839962002</v>
      </c>
      <c r="K28" s="1">
        <v>0.58721008259410501</v>
      </c>
      <c r="L28" s="1">
        <v>0.68155485044860198</v>
      </c>
      <c r="M28" s="1">
        <v>0.64874847497650501</v>
      </c>
      <c r="N28" s="1">
        <v>0.590167886776923</v>
      </c>
      <c r="O28" s="1">
        <v>0.78757372688604499</v>
      </c>
      <c r="P28" s="1">
        <v>0.74539063171626796</v>
      </c>
      <c r="Q28" s="1">
        <f t="shared" si="0"/>
        <v>0.67305740473181352</v>
      </c>
      <c r="R28" s="3">
        <f t="shared" si="1"/>
        <v>9.4228626206725438E-2</v>
      </c>
      <c r="S28" s="1">
        <f>Table13[[#This Row],[average]]-SQRT(Table13[[#This Row],[stdev]])</f>
        <v>0.36609058859898552</v>
      </c>
    </row>
    <row r="29" spans="1:19" ht="30" customHeight="1">
      <c r="A29" t="str">
        <f>_xlfn.LET(_xlpm.c,_xlfn.SINGLE(Table13[condition]),_xlfn.TEXTBEFORE(_xlpm.c,"-"))</f>
        <v>german</v>
      </c>
      <c r="B29">
        <f>_xlfn.LET(_xlpm.c,_xlfn.SINGLE(Table13[condition]),IF(RIGHT(_xlpm.c,2)="1g",1,0))</f>
        <v>0</v>
      </c>
      <c r="C29" t="s">
        <v>44</v>
      </c>
      <c r="D29" s="1">
        <v>0.72856452341286604</v>
      </c>
      <c r="E29" s="1">
        <v>0.86003326908398303</v>
      </c>
      <c r="F29" s="1">
        <v>0.82582239905953703</v>
      </c>
      <c r="G29" s="1">
        <v>0.70587975993386398</v>
      </c>
      <c r="H29" s="1">
        <v>0.61408869404527999</v>
      </c>
      <c r="I29" s="1">
        <v>0.92649402620010401</v>
      </c>
      <c r="J29" s="1">
        <v>0.444983202683154</v>
      </c>
      <c r="K29" s="1">
        <v>0.75328352221784001</v>
      </c>
      <c r="L29" s="1">
        <v>0.55468918051080696</v>
      </c>
      <c r="M29" s="1">
        <v>0.52103611990112897</v>
      </c>
      <c r="N29" s="1">
        <v>0.34187002669621502</v>
      </c>
      <c r="O29" s="1">
        <v>0.49129674998533801</v>
      </c>
      <c r="P29" s="1">
        <v>0.398665385910277</v>
      </c>
      <c r="Q29" s="1">
        <f t="shared" si="0"/>
        <v>0.628208219972338</v>
      </c>
      <c r="R29" s="3">
        <f t="shared" si="1"/>
        <v>0.18654816776167238</v>
      </c>
      <c r="S29" s="1">
        <f>Table13[[#This Row],[average]]-SQRT(Table13[[#This Row],[stdev]])</f>
        <v>0.19629599768443795</v>
      </c>
    </row>
    <row r="30" spans="1:19" ht="30" customHeight="1">
      <c r="A30" t="str">
        <f>_xlfn.LET(_xlpm.c,_xlfn.SINGLE(Table13[condition]),_xlfn.TEXTBEFORE(_xlpm.c,"-"))</f>
        <v>russian</v>
      </c>
      <c r="B30">
        <f>_xlfn.LET(_xlpm.c,_xlfn.SINGLE(Table13[condition]),IF(RIGHT(_xlpm.c,2)="1g",1,0))</f>
        <v>1</v>
      </c>
      <c r="C30" t="s">
        <v>31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f t="shared" si="0"/>
        <v>1</v>
      </c>
      <c r="R30" s="3">
        <f t="shared" si="1"/>
        <v>0</v>
      </c>
      <c r="S30" s="1">
        <f>Table13[[#This Row],[average]]-SQRT(Table13[[#This Row],[stdev]])</f>
        <v>1</v>
      </c>
    </row>
    <row r="31" spans="1:19" ht="30" customHeight="1">
      <c r="A31" t="str">
        <f>_xlfn.LET(_xlpm.c,_xlfn.SINGLE(Table13[condition]),_xlfn.TEXTBEFORE(_xlpm.c,"-"))</f>
        <v>russian</v>
      </c>
      <c r="B31">
        <f>_xlfn.LET(_xlpm.c,_xlfn.SINGLE(Table13[condition]),IF(RIGHT(_xlpm.c,2)="1g",1,0))</f>
        <v>0</v>
      </c>
      <c r="C31" t="s">
        <v>32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f t="shared" si="0"/>
        <v>1</v>
      </c>
      <c r="R31" s="3">
        <f t="shared" si="1"/>
        <v>0</v>
      </c>
      <c r="S31" s="1">
        <f>Table13[[#This Row],[average]]-SQRT(Table13[[#This Row],[stdev]])</f>
        <v>1</v>
      </c>
    </row>
    <row r="32" spans="1:19" ht="30" customHeight="1">
      <c r="A32" t="str">
        <f>_xlfn.LET(_xlpm.c,_xlfn.SINGLE(Table13[condition]),_xlfn.TEXTBEFORE(_xlpm.c,"-"))</f>
        <v>russian</v>
      </c>
      <c r="B32">
        <f>_xlfn.LET(_xlpm.c,_xlfn.SINGLE(Table13[condition]),IF(RIGHT(_xlpm.c,2)="1g",1,0))</f>
        <v>0</v>
      </c>
      <c r="C32" t="s">
        <v>33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f t="shared" si="0"/>
        <v>1</v>
      </c>
      <c r="R32" s="3">
        <f t="shared" si="1"/>
        <v>0</v>
      </c>
      <c r="S32" s="1">
        <f>Table13[[#This Row],[average]]-SQRT(Table13[[#This Row],[stdev]])</f>
        <v>1</v>
      </c>
    </row>
    <row r="33" spans="1:19" ht="30" customHeight="1">
      <c r="A33" t="str">
        <f>_xlfn.LET(_xlpm.c,_xlfn.SINGLE(Table13[condition]),_xlfn.TEXTBEFORE(_xlpm.c,"-"))</f>
        <v>russian</v>
      </c>
      <c r="B33">
        <f>_xlfn.LET(_xlpm.c,_xlfn.SINGLE(Table13[condition]),IF(RIGHT(_xlpm.c,2)="1g",1,0))</f>
        <v>0</v>
      </c>
      <c r="C33" t="s">
        <v>34</v>
      </c>
      <c r="D33" s="1">
        <v>0.98205467208862196</v>
      </c>
      <c r="E33" s="1">
        <v>0.993283949854179</v>
      </c>
      <c r="F33" s="1">
        <v>0.97466385409424505</v>
      </c>
      <c r="G33" s="1">
        <v>1</v>
      </c>
      <c r="H33" s="1">
        <v>0.99875774863915401</v>
      </c>
      <c r="I33" s="1">
        <v>0.99873733146369303</v>
      </c>
      <c r="J33" s="1">
        <v>1</v>
      </c>
      <c r="K33" s="1">
        <v>1</v>
      </c>
      <c r="L33" s="1">
        <v>1</v>
      </c>
      <c r="M33" s="1">
        <v>0.99046233260439398</v>
      </c>
      <c r="N33" s="1">
        <v>1</v>
      </c>
      <c r="O33" s="1">
        <v>1</v>
      </c>
      <c r="P33" s="1">
        <v>1</v>
      </c>
      <c r="Q33" s="1">
        <f t="shared" si="0"/>
        <v>0.99522768374956061</v>
      </c>
      <c r="R33" s="3">
        <f t="shared" si="1"/>
        <v>8.2010670101841411E-3</v>
      </c>
      <c r="S33" s="1">
        <f>Table13[[#This Row],[average]]-SQRT(Table13[[#This Row],[stdev]])</f>
        <v>0.90466794098168313</v>
      </c>
    </row>
    <row r="34" spans="1:19" ht="30" customHeight="1">
      <c r="A34" t="str">
        <f>_xlfn.LET(_xlpm.c,_xlfn.SINGLE(Table13[condition]),_xlfn.TEXTBEFORE(_xlpm.c,"-"))</f>
        <v>russian</v>
      </c>
      <c r="B34">
        <f>_xlfn.LET(_xlpm.c,_xlfn.SINGLE(Table13[condition]),IF(RIGHT(_xlpm.c,2)="1g",1,0))</f>
        <v>0</v>
      </c>
      <c r="C34" t="s">
        <v>35</v>
      </c>
      <c r="D34" s="1">
        <v>1</v>
      </c>
      <c r="E34" s="1">
        <v>1</v>
      </c>
      <c r="F34" s="1">
        <v>1</v>
      </c>
      <c r="G34" s="1">
        <v>1</v>
      </c>
      <c r="H34" s="1">
        <v>0.99935938080315201</v>
      </c>
      <c r="I34" s="1">
        <v>0.91688233804913599</v>
      </c>
      <c r="J34" s="1">
        <v>1</v>
      </c>
      <c r="K34" s="1">
        <v>1</v>
      </c>
      <c r="L34" s="1">
        <v>1</v>
      </c>
      <c r="M34" s="1">
        <v>0.95887985344470195</v>
      </c>
      <c r="N34" s="1">
        <v>0.99588458780222799</v>
      </c>
      <c r="O34" s="1">
        <v>0.58578643762690497</v>
      </c>
      <c r="P34" s="1">
        <v>0.666663039030291</v>
      </c>
      <c r="Q34" s="1">
        <f t="shared" si="0"/>
        <v>0.93257351051972404</v>
      </c>
      <c r="R34" s="3">
        <f t="shared" si="1"/>
        <v>0.13910453344712745</v>
      </c>
      <c r="S34" s="1">
        <f>Table13[[#This Row],[average]]-SQRT(Table13[[#This Row],[stdev]])</f>
        <v>0.55960630894949559</v>
      </c>
    </row>
    <row r="35" spans="1:19" ht="30" customHeight="1">
      <c r="A35" t="str">
        <f>_xlfn.LET(_xlpm.c,_xlfn.SINGLE(Table13[condition]),_xlfn.TEXTBEFORE(_xlpm.c,"-"))</f>
        <v>russian</v>
      </c>
      <c r="B35">
        <f>_xlfn.LET(_xlpm.c,_xlfn.SINGLE(Table13[condition]),IF(RIGHT(_xlpm.c,2)="1g",1,0))</f>
        <v>0</v>
      </c>
      <c r="C35" t="s">
        <v>45</v>
      </c>
      <c r="D35" s="1">
        <v>1</v>
      </c>
      <c r="E35" s="1">
        <v>0.99582988006636697</v>
      </c>
      <c r="F35" s="1">
        <v>0.99577520184041202</v>
      </c>
      <c r="G35" s="1">
        <v>0.98545824262596804</v>
      </c>
      <c r="H35" s="1">
        <v>0.99723930726551502</v>
      </c>
      <c r="I35" s="1">
        <v>0.99785214490059804</v>
      </c>
      <c r="J35" s="1">
        <v>0.98668006274969899</v>
      </c>
      <c r="K35" s="1">
        <v>0.94211612286842095</v>
      </c>
      <c r="L35" s="1">
        <v>0.99418966256888897</v>
      </c>
      <c r="M35" s="1">
        <v>1</v>
      </c>
      <c r="N35" s="1">
        <v>0.99579936073401998</v>
      </c>
      <c r="O35" s="1">
        <v>0.99749987498859205</v>
      </c>
      <c r="P35" s="1">
        <v>0.93101304392921203</v>
      </c>
      <c r="Q35" s="1">
        <f t="shared" si="0"/>
        <v>0.98611176188751481</v>
      </c>
      <c r="R35" s="3">
        <f t="shared" si="1"/>
        <v>2.2539364205220628E-2</v>
      </c>
      <c r="S35" s="1">
        <f>Table13[[#This Row],[average]]-SQRT(Table13[[#This Row],[stdev]])</f>
        <v>0.83598060521035933</v>
      </c>
    </row>
    <row r="36" spans="1:19" ht="30" customHeight="1">
      <c r="A36" t="str">
        <f>_xlfn.LET(_xlpm.c,_xlfn.SINGLE(Table13[condition]),_xlfn.TEXTBEFORE(_xlpm.c,"-"))</f>
        <v>russian</v>
      </c>
      <c r="B36">
        <f>_xlfn.LET(_xlpm.c,_xlfn.SINGLE(Table13[condition]),IF(RIGHT(_xlpm.c,2)="1g",1,0))</f>
        <v>0</v>
      </c>
      <c r="C36" t="s">
        <v>46</v>
      </c>
      <c r="D36" s="1">
        <v>0.99848468265269796</v>
      </c>
      <c r="E36" s="1">
        <v>0.99844687451310099</v>
      </c>
      <c r="F36" s="1">
        <v>0.91505600847388502</v>
      </c>
      <c r="G36" s="1">
        <v>0.97945417228212805</v>
      </c>
      <c r="H36" s="1">
        <v>0.99963436889598201</v>
      </c>
      <c r="I36" s="1">
        <v>0.82114280109273297</v>
      </c>
      <c r="J36" s="1">
        <v>0.98066577369969599</v>
      </c>
      <c r="K36" s="1">
        <v>0.98221105986053103</v>
      </c>
      <c r="L36" s="1">
        <v>0.98351200240552705</v>
      </c>
      <c r="M36" s="1">
        <v>0.83661274169397504</v>
      </c>
      <c r="N36" s="1">
        <v>0.94259818731117795</v>
      </c>
      <c r="O36" s="1">
        <v>0.99767981438514997</v>
      </c>
      <c r="P36" s="1">
        <v>0.99937888174795697</v>
      </c>
      <c r="Q36" s="1">
        <f t="shared" si="0"/>
        <v>0.95652902838573373</v>
      </c>
      <c r="R36" s="3">
        <f t="shared" si="1"/>
        <v>6.1930181551376168E-2</v>
      </c>
      <c r="S36" s="1">
        <f>Table13[[#This Row],[average]]-SQRT(Table13[[#This Row],[stdev]])</f>
        <v>0.70767127473643276</v>
      </c>
    </row>
    <row r="39" spans="1:19" ht="30" customHeight="1">
      <c r="C39" t="s">
        <v>53</v>
      </c>
      <c r="D39" s="2">
        <f>_xlfn.LET(_xlpm.d,D$2:D$36,AVERAGE(_xlpm.d))</f>
        <v>0.85974368502371967</v>
      </c>
      <c r="E39" s="2">
        <f t="shared" ref="E39:Q39" si="2">_xlfn.LET(_xlpm.d,E$2:E$36,AVERAGE(_xlpm.d))</f>
        <v>0.84092800101971488</v>
      </c>
      <c r="F39" s="2">
        <f t="shared" si="2"/>
        <v>0.79286529616703283</v>
      </c>
      <c r="G39" s="2">
        <f t="shared" si="2"/>
        <v>0.78096781665588377</v>
      </c>
      <c r="H39" s="2">
        <f t="shared" si="2"/>
        <v>0.7599894657183156</v>
      </c>
      <c r="I39" s="2">
        <f t="shared" si="2"/>
        <v>0.71978512523615712</v>
      </c>
      <c r="J39" s="2">
        <f t="shared" si="2"/>
        <v>0.73741663128881818</v>
      </c>
      <c r="K39" s="2">
        <f t="shared" si="2"/>
        <v>0.72448982982536303</v>
      </c>
      <c r="L39" s="2">
        <f t="shared" si="2"/>
        <v>0.68849020705189234</v>
      </c>
      <c r="M39" s="2">
        <f t="shared" si="2"/>
        <v>0.67984928243222542</v>
      </c>
      <c r="N39" s="2">
        <f t="shared" si="2"/>
        <v>0.66627125699857659</v>
      </c>
      <c r="O39" s="2">
        <f t="shared" si="2"/>
        <v>0.66624755007816072</v>
      </c>
      <c r="P39" s="2">
        <f t="shared" si="2"/>
        <v>0.62507970808846725</v>
      </c>
      <c r="Q39" s="2">
        <f t="shared" si="2"/>
        <v>0.73400952735264069</v>
      </c>
    </row>
    <row r="40" spans="1:19" ht="30" customHeight="1">
      <c r="C40" t="s">
        <v>54</v>
      </c>
      <c r="D40" s="2" cm="1">
        <f t="array" ref="D40">_xlfn.LET(_xlpm.d,D$2:D$36,_xlpm.f,$A$2:$A$36,_xlpm.k,$C40,AVERAGE(_xlfn._xlws.FILTER(_xlpm.d,_xlpm.f=_xlpm.k)))</f>
        <v>0.99959466352726056</v>
      </c>
      <c r="E40" s="2" cm="1">
        <f t="array" ref="E40">_xlfn.LET(_xlpm.d,E$2:E$36,_xlpm.f,$A$2:$A$36,_xlpm.k,$C40,AVERAGE(_xlfn._xlws.FILTER(_xlpm.d,_xlpm.f=_xlpm.k)))</f>
        <v>0.99833275640603458</v>
      </c>
      <c r="F40" s="2" cm="1">
        <f t="array" ref="F40">_xlfn.LET(_xlpm.d,F$2:F$36,_xlpm.f,$A$2:$A$36,_xlpm.k,$C40,AVERAGE(_xlfn._xlws.FILTER(_xlpm.d,_xlpm.f=_xlpm.k)))</f>
        <v>0.99948882428998032</v>
      </c>
      <c r="G40" s="2" cm="1">
        <f t="array" ref="G40">_xlfn.LET(_xlpm.d,G$2:G$36,_xlpm.f,$A$2:$A$36,_xlpm.k,$C40,AVERAGE(_xlfn._xlws.FILTER(_xlpm.d,_xlpm.f=_xlpm.k)))</f>
        <v>0.99995620539070162</v>
      </c>
      <c r="H40" s="2" cm="1">
        <f t="array" ref="H40">_xlfn.LET(_xlpm.d,H$2:H$36,_xlpm.f,$A$2:$A$36,_xlpm.k,$C40,AVERAGE(_xlfn._xlws.FILTER(_xlpm.d,_xlpm.f=_xlpm.k)))</f>
        <v>0.9922238592556919</v>
      </c>
      <c r="I40" s="2" cm="1">
        <f t="array" ref="I40">_xlfn.LET(_xlpm.d,I$2:I$36,_xlpm.f,$A$2:$A$36,_xlpm.k,$C40,AVERAGE(_xlfn._xlws.FILTER(_xlpm.d,_xlpm.f=_xlpm.k)))</f>
        <v>0.99641589136093955</v>
      </c>
      <c r="J40" s="2" cm="1">
        <f t="array" ref="J40">_xlfn.LET(_xlpm.d,J$2:J$36,_xlpm.f,$A$2:$A$36,_xlpm.k,$C40,AVERAGE(_xlfn._xlws.FILTER(_xlpm.d,_xlpm.f=_xlpm.k)))</f>
        <v>0.99911214023811756</v>
      </c>
      <c r="K40" s="2" cm="1">
        <f t="array" ref="K40">_xlfn.LET(_xlpm.d,K$2:K$36,_xlpm.f,$A$2:$A$36,_xlpm.k,$C40,AVERAGE(_xlfn._xlws.FILTER(_xlpm.d,_xlpm.f=_xlpm.k)))</f>
        <v>0.99512637226193168</v>
      </c>
      <c r="L40" s="2" cm="1">
        <f t="array" ref="L40">_xlfn.LET(_xlpm.d,L$2:L$36,_xlpm.f,$A$2:$A$36,_xlpm.k,$C40,AVERAGE(_xlfn._xlws.FILTER(_xlpm.d,_xlpm.f=_xlpm.k)))</f>
        <v>0.99750945275441516</v>
      </c>
      <c r="M40" s="2" cm="1">
        <f t="array" ref="M40">_xlfn.LET(_xlpm.d,M$2:M$36,_xlpm.f,$A$2:$A$36,_xlpm.k,$C40,AVERAGE(_xlfn._xlws.FILTER(_xlpm.d,_xlpm.f=_xlpm.k)))</f>
        <v>1</v>
      </c>
      <c r="N40" s="2" cm="1">
        <f t="array" ref="N40">_xlfn.LET(_xlpm.d,N$2:N$36,_xlpm.f,$A$2:$A$36,_xlpm.k,$C40,AVERAGE(_xlfn._xlws.FILTER(_xlpm.d,_xlpm.f=_xlpm.k)))</f>
        <v>1</v>
      </c>
      <c r="O40" s="2" cm="1">
        <f t="array" ref="O40">_xlfn.LET(_xlpm.d,O$2:O$36,_xlpm.f,$A$2:$A$36,_xlpm.k,$C40,AVERAGE(_xlfn._xlws.FILTER(_xlpm.d,_xlpm.f=_xlpm.k)))</f>
        <v>0.97547717116407362</v>
      </c>
      <c r="P40" s="2" cm="1">
        <f t="array" ref="P40">_xlfn.LET(_xlpm.d,P$2:P$36,_xlpm.f,$A$2:$A$36,_xlpm.k,$C40,AVERAGE(_xlfn._xlws.FILTER(_xlpm.d,_xlpm.f=_xlpm.k)))</f>
        <v>0.97818438590592682</v>
      </c>
      <c r="Q40" s="2" cm="1">
        <f t="array" ref="Q40">_xlfn.LET(_xlpm.d,Q$2:Q$36,_xlpm.f,$A$2:$A$36,_xlpm.k,$C40,AVERAGE(_xlfn._xlws.FILTER(_xlpm.d,_xlpm.f=_xlpm.k)))</f>
        <v>0.99472474788885179</v>
      </c>
    </row>
    <row r="41" spans="1:19" ht="30" customHeight="1">
      <c r="C41" t="s">
        <v>55</v>
      </c>
      <c r="D41" s="2" cm="1">
        <f t="array" ref="D41">_xlfn.LET(_xlpm.d,D$2:D$36,_xlpm.f,$A$2:$A$36,_xlpm.k,$C41,AVERAGE(_xlfn._xlws.FILTER(_xlpm.d,_xlpm.f=_xlpm.k)))</f>
        <v>0.81310754152770937</v>
      </c>
      <c r="E41" s="2" cm="1">
        <f t="array" ref="E41">_xlfn.LET(_xlpm.d,E$2:E$36,_xlpm.f,$A$2:$A$36,_xlpm.k,$C41,AVERAGE(_xlfn._xlws.FILTER(_xlpm.d,_xlpm.f=_xlpm.k)))</f>
        <v>0.7906141333771286</v>
      </c>
      <c r="F41" s="2" cm="1">
        <f t="array" ref="F41">_xlfn.LET(_xlpm.d,F$2:F$36,_xlpm.f,$A$2:$A$36,_xlpm.k,$C41,AVERAGE(_xlfn._xlws.FILTER(_xlpm.d,_xlpm.f=_xlpm.k)))</f>
        <v>0.73863995854126008</v>
      </c>
      <c r="G41" s="2" cm="1">
        <f t="array" ref="G41">_xlfn.LET(_xlpm.d,G$2:G$36,_xlpm.f,$A$2:$A$36,_xlpm.k,$C41,AVERAGE(_xlfn._xlws.FILTER(_xlpm.d,_xlpm.f=_xlpm.k)))</f>
        <v>0.67867323987512207</v>
      </c>
      <c r="H41" s="2" cm="1">
        <f t="array" ref="H41">_xlfn.LET(_xlpm.d,H$2:H$36,_xlpm.f,$A$2:$A$36,_xlpm.k,$C41,AVERAGE(_xlfn._xlws.FILTER(_xlpm.d,_xlpm.f=_xlpm.k)))</f>
        <v>0.6505783225429137</v>
      </c>
      <c r="I41" s="2" cm="1">
        <f t="array" ref="I41">_xlfn.LET(_xlpm.d,I$2:I$36,_xlpm.f,$A$2:$A$36,_xlpm.k,$C41,AVERAGE(_xlfn._xlws.FILTER(_xlpm.d,_xlpm.f=_xlpm.k)))</f>
        <v>0.57717237124347387</v>
      </c>
      <c r="J41" s="2" cm="1">
        <f t="array" ref="J41">_xlfn.LET(_xlpm.d,J$2:J$36,_xlpm.f,$A$2:$A$36,_xlpm.k,$C41,AVERAGE(_xlfn._xlws.FILTER(_xlpm.d,_xlpm.f=_xlpm.k)))</f>
        <v>0.62591414002547585</v>
      </c>
      <c r="K41" s="2" cm="1">
        <f t="array" ref="K41">_xlfn.LET(_xlpm.d,K$2:K$36,_xlpm.f,$A$2:$A$36,_xlpm.k,$C41,AVERAGE(_xlfn._xlws.FILTER(_xlpm.d,_xlpm.f=_xlpm.k)))</f>
        <v>0.56128627199295844</v>
      </c>
      <c r="L41" s="2" cm="1">
        <f t="array" ref="L41">_xlfn.LET(_xlpm.d,L$2:L$36,_xlpm.f,$A$2:$A$36,_xlpm.k,$C41,AVERAGE(_xlfn._xlws.FILTER(_xlpm.d,_xlpm.f=_xlpm.k)))</f>
        <v>0.50103561314246514</v>
      </c>
      <c r="M41" s="2" cm="1">
        <f t="array" ref="M41">_xlfn.LET(_xlpm.d,M$2:M$36,_xlpm.f,$A$2:$A$36,_xlpm.k,$C41,AVERAGE(_xlfn._xlws.FILTER(_xlpm.d,_xlpm.f=_xlpm.k)))</f>
        <v>0.5240038073268779</v>
      </c>
      <c r="N41" s="2" cm="1">
        <f t="array" ref="N41">_xlfn.LET(_xlpm.d,N$2:N$36,_xlpm.f,$A$2:$A$36,_xlpm.k,$C41,AVERAGE(_xlfn._xlws.FILTER(_xlpm.d,_xlpm.f=_xlpm.k)))</f>
        <v>0.51852636688787668</v>
      </c>
      <c r="O41" s="2" cm="1">
        <f t="array" ref="O41">_xlfn.LET(_xlpm.d,O$2:O$36,_xlpm.f,$A$2:$A$36,_xlpm.k,$C41,AVERAGE(_xlfn._xlws.FILTER(_xlpm.d,_xlpm.f=_xlpm.k)))</f>
        <v>0.51179541681685803</v>
      </c>
      <c r="P41" s="2" cm="1">
        <f t="array" ref="P41">_xlfn.LET(_xlpm.d,P$2:P$36,_xlpm.f,$A$2:$A$36,_xlpm.k,$C41,AVERAGE(_xlfn._xlws.FILTER(_xlpm.d,_xlpm.f=_xlpm.k)))</f>
        <v>0.45683837805458494</v>
      </c>
      <c r="Q41" s="2" cm="1">
        <f t="array" ref="Q41">_xlfn.LET(_xlpm.d,Q$2:Q$36,_xlpm.f,$A$2:$A$36,_xlpm.k,$C41,AVERAGE(_xlfn._xlws.FILTER(_xlpm.d,_xlpm.f=_xlpm.k)))</f>
        <v>0.61139888933497721</v>
      </c>
    </row>
    <row r="42" spans="1:19" ht="30" customHeight="1">
      <c r="C42" t="s">
        <v>56</v>
      </c>
      <c r="D42" s="2" cm="1">
        <f t="array" ref="D42">_xlfn.LET(_xlpm.d,D$2:D$36,_xlpm.f,$A$2:$A$36,_xlpm.k,$C42,AVERAGE(_xlfn._xlws.FILTER(_xlpm.d,_xlpm.f=_xlpm.k)))</f>
        <v>0.73466434247867995</v>
      </c>
      <c r="E42" s="2" cm="1">
        <f t="array" ref="E42">_xlfn.LET(_xlpm.d,E$2:E$36,_xlpm.f,$A$2:$A$36,_xlpm.k,$C42,AVERAGE(_xlfn._xlws.FILTER(_xlpm.d,_xlpm.f=_xlpm.k)))</f>
        <v>0.71366722924076853</v>
      </c>
      <c r="F42" s="2" cm="1">
        <f t="array" ref="F42">_xlfn.LET(_xlpm.d,F$2:F$36,_xlpm.f,$A$2:$A$36,_xlpm.k,$C42,AVERAGE(_xlfn._xlws.FILTER(_xlpm.d,_xlpm.f=_xlpm.k)))</f>
        <v>0.65936417154848603</v>
      </c>
      <c r="G42" s="2" cm="1">
        <f t="array" ref="G42">_xlfn.LET(_xlpm.d,G$2:G$36,_xlpm.f,$A$2:$A$36,_xlpm.k,$C42,AVERAGE(_xlfn._xlws.FILTER(_xlpm.d,_xlpm.f=_xlpm.k)))</f>
        <v>0.62761813476325756</v>
      </c>
      <c r="H42" s="2" cm="1">
        <f t="array" ref="H42">_xlfn.LET(_xlpm.d,H$2:H$36,_xlpm.f,$A$2:$A$36,_xlpm.k,$C42,AVERAGE(_xlfn._xlws.FILTER(_xlpm.d,_xlpm.f=_xlpm.k)))</f>
        <v>0.57610018398955243</v>
      </c>
      <c r="I42" s="2" cm="1">
        <f t="array" ref="I42">_xlfn.LET(_xlpm.d,I$2:I$36,_xlpm.f,$A$2:$A$36,_xlpm.k,$C42,AVERAGE(_xlfn._xlws.FILTER(_xlpm.d,_xlpm.f=_xlpm.k)))</f>
        <v>0.50111780854682197</v>
      </c>
      <c r="J42" s="2" cm="1">
        <f t="array" ref="J42">_xlfn.LET(_xlpm.d,J$2:J$36,_xlpm.f,$A$2:$A$36,_xlpm.k,$C42,AVERAGE(_xlfn._xlws.FILTER(_xlpm.d,_xlpm.f=_xlpm.k)))</f>
        <v>0.58873967201707633</v>
      </c>
      <c r="K42" s="2" cm="1">
        <f t="array" ref="K42">_xlfn.LET(_xlpm.d,K$2:K$36,_xlpm.f,$A$2:$A$36,_xlpm.k,$C42,AVERAGE(_xlfn._xlws.FILTER(_xlpm.d,_xlpm.f=_xlpm.k)))</f>
        <v>0.48075972966778274</v>
      </c>
      <c r="L42" s="2" cm="1">
        <f t="array" ref="L42">_xlfn.LET(_xlpm.d,L$2:L$36,_xlpm.f,$A$2:$A$36,_xlpm.k,$C42,AVERAGE(_xlfn._xlws.FILTER(_xlpm.d,_xlpm.f=_xlpm.k)))</f>
        <v>0.47907868349874377</v>
      </c>
      <c r="M42" s="2" cm="1">
        <f t="array" ref="M42">_xlfn.LET(_xlpm.d,M$2:M$36,_xlpm.f,$A$2:$A$36,_xlpm.k,$C42,AVERAGE(_xlfn._xlws.FILTER(_xlpm.d,_xlpm.f=_xlpm.k)))</f>
        <v>0.46312101440845443</v>
      </c>
      <c r="N42" s="2" cm="1">
        <f t="array" ref="N42">_xlfn.LET(_xlpm.d,N$2:N$36,_xlpm.f,$A$2:$A$36,_xlpm.k,$C42,AVERAGE(_xlfn._xlws.FILTER(_xlpm.d,_xlpm.f=_xlpm.k)))</f>
        <v>0.39656467376615423</v>
      </c>
      <c r="O42" s="2" cm="1">
        <f t="array" ref="O42">_xlfn.LET(_xlpm.d,O$2:O$36,_xlpm.f,$A$2:$A$36,_xlpm.k,$C42,AVERAGE(_xlfn._xlws.FILTER(_xlpm.d,_xlpm.f=_xlpm.k)))</f>
        <v>0.41480287430520341</v>
      </c>
      <c r="P42" s="2" cm="1">
        <f t="array" ref="P42">_xlfn.LET(_xlpm.d,P$2:P$36,_xlpm.f,$A$2:$A$36,_xlpm.k,$C42,AVERAGE(_xlfn._xlws.FILTER(_xlpm.d,_xlpm.f=_xlpm.k)))</f>
        <v>0.37981211864464176</v>
      </c>
      <c r="Q42" s="2" cm="1">
        <f t="array" ref="Q42">_xlfn.LET(_xlpm.d,Q$2:Q$36,_xlpm.f,$A$2:$A$36,_xlpm.k,$C42,AVERAGE(_xlfn._xlws.FILTER(_xlpm.d,_xlpm.f=_xlpm.k)))</f>
        <v>0.53964697206735568</v>
      </c>
    </row>
    <row r="43" spans="1:19" ht="30" customHeight="1">
      <c r="C43" t="s">
        <v>57</v>
      </c>
      <c r="D43" s="2" cm="1">
        <f t="array" ref="D43">_xlfn.LET(_xlpm.d,D$2:D$36,_xlpm.f,$A$2:$A$36,_xlpm.k,$C43,AVERAGE(_xlfn._xlws.FILTER(_xlpm.d,_xlpm.f=_xlpm.k)))</f>
        <v>0.75413196976476005</v>
      </c>
      <c r="E43" s="2" cm="1">
        <f t="array" ref="E43">_xlfn.LET(_xlpm.d,E$2:E$36,_xlpm.f,$A$2:$A$36,_xlpm.k,$C43,AVERAGE(_xlfn._xlws.FILTER(_xlpm.d,_xlpm.f=_xlpm.k)))</f>
        <v>0.7038029282984074</v>
      </c>
      <c r="F43" s="2" cm="1">
        <f t="array" ref="F43">_xlfn.LET(_xlpm.d,F$2:F$36,_xlpm.f,$A$2:$A$36,_xlpm.k,$C43,AVERAGE(_xlfn._xlws.FILTER(_xlpm.d,_xlpm.f=_xlpm.k)))</f>
        <v>0.58319137439707514</v>
      </c>
      <c r="G43" s="2" cm="1">
        <f t="array" ref="G43">_xlfn.LET(_xlpm.d,G$2:G$36,_xlpm.f,$A$2:$A$36,_xlpm.k,$C43,AVERAGE(_xlfn._xlws.FILTER(_xlpm.d,_xlpm.f=_xlpm.k)))</f>
        <v>0.60360401540632402</v>
      </c>
      <c r="H43" s="2" cm="1">
        <f t="array" ref="H43">_xlfn.LET(_xlpm.d,H$2:H$36,_xlpm.f,$A$2:$A$36,_xlpm.k,$C43,AVERAGE(_xlfn._xlws.FILTER(_xlpm.d,_xlpm.f=_xlpm.k)))</f>
        <v>0.58176056200287629</v>
      </c>
      <c r="I43" s="2" cm="1">
        <f t="array" ref="I43">_xlfn.LET(_xlpm.d,I$2:I$36,_xlpm.f,$A$2:$A$36,_xlpm.k,$C43,AVERAGE(_xlfn._xlws.FILTER(_xlpm.d,_xlpm.f=_xlpm.k)))</f>
        <v>0.56213175281438488</v>
      </c>
      <c r="J43" s="2" cm="1">
        <f t="array" ref="J43">_xlfn.LET(_xlpm.d,J$2:J$36,_xlpm.f,$A$2:$A$36,_xlpm.k,$C43,AVERAGE(_xlfn._xlws.FILTER(_xlpm.d,_xlpm.f=_xlpm.k)))</f>
        <v>0.47798208467065073</v>
      </c>
      <c r="K43" s="2" cm="1">
        <f t="array" ref="K43">_xlfn.LET(_xlpm.d,K$2:K$36,_xlpm.f,$A$2:$A$36,_xlpm.k,$C43,AVERAGE(_xlfn._xlws.FILTER(_xlpm.d,_xlpm.f=_xlpm.k)))</f>
        <v>0.59608717767143482</v>
      </c>
      <c r="L43" s="2" cm="1">
        <f t="array" ref="L43">_xlfn.LET(_xlpm.d,L$2:L$36,_xlpm.f,$A$2:$A$36,_xlpm.k,$C43,AVERAGE(_xlfn._xlws.FILTER(_xlpm.d,_xlpm.f=_xlpm.k)))</f>
        <v>0.4680127622960642</v>
      </c>
      <c r="M43" s="2" cm="1">
        <f t="array" ref="M43">_xlfn.LET(_xlpm.d,M$2:M$36,_xlpm.f,$A$2:$A$36,_xlpm.k,$C43,AVERAGE(_xlfn._xlws.FILTER(_xlpm.d,_xlpm.f=_xlpm.k)))</f>
        <v>0.44269945789107001</v>
      </c>
      <c r="N43" s="2" cm="1">
        <f t="array" ref="N43">_xlfn.LET(_xlpm.d,N$2:N$36,_xlpm.f,$A$2:$A$36,_xlpm.k,$C43,AVERAGE(_xlfn._xlws.FILTER(_xlpm.d,_xlpm.f=_xlpm.k)))</f>
        <v>0.42565351064636375</v>
      </c>
      <c r="O43" s="2" cm="1">
        <f t="array" ref="O43">_xlfn.LET(_xlpm.d,O$2:O$36,_xlpm.f,$A$2:$A$36,_xlpm.k,$C43,AVERAGE(_xlfn._xlws.FILTER(_xlpm.d,_xlpm.f=_xlpm.k)))</f>
        <v>0.48902426996171894</v>
      </c>
      <c r="P43" s="2" cm="1">
        <f t="array" ref="P43">_xlfn.LET(_xlpm.d,P$2:P$36,_xlpm.f,$A$2:$A$36,_xlpm.k,$C43,AVERAGE(_xlfn._xlws.FILTER(_xlpm.d,_xlpm.f=_xlpm.k)))</f>
        <v>0.36812723430754563</v>
      </c>
      <c r="Q43" s="2" cm="1">
        <f t="array" ref="Q43">_xlfn.LET(_xlpm.d,Q$2:Q$36,_xlpm.f,$A$2:$A$36,_xlpm.k,$C43,AVERAGE(_xlfn._xlws.FILTER(_xlpm.d,_xlpm.f=_xlpm.k)))</f>
        <v>0.54278531539451358</v>
      </c>
    </row>
    <row r="44" spans="1:19" ht="30" customHeight="1">
      <c r="C44" t="s">
        <v>58</v>
      </c>
      <c r="D44" s="2" cm="1">
        <f t="array" ref="D44">_xlfn.LET(_xlpm.d,D$2:D$36,_xlpm.f,$A$2:$A$36,_xlpm.k,$C44,AVERAGE(_xlfn._xlws.FILTER(_xlpm.d,_xlpm.f=_xlpm.k)))</f>
        <v>0.99721990782018854</v>
      </c>
      <c r="E44" s="2" cm="1">
        <f t="array" ref="E44">_xlfn.LET(_xlpm.d,E$2:E$36,_xlpm.f,$A$2:$A$36,_xlpm.k,$C44,AVERAGE(_xlfn._xlws.FILTER(_xlpm.d,_xlpm.f=_xlpm.k)))</f>
        <v>0.99822295777623538</v>
      </c>
      <c r="F44" s="2" cm="1">
        <f t="array" ref="F44">_xlfn.LET(_xlpm.d,F$2:F$36,_xlpm.f,$A$2:$A$36,_xlpm.k,$C44,AVERAGE(_xlfn._xlws.FILTER(_xlpm.d,_xlpm.f=_xlpm.k)))</f>
        <v>0.98364215205836325</v>
      </c>
      <c r="G44" s="2" cm="1">
        <f t="array" ref="G44">_xlfn.LET(_xlpm.d,G$2:G$36,_xlpm.f,$A$2:$A$36,_xlpm.k,$C44,AVERAGE(_xlfn._xlws.FILTER(_xlpm.d,_xlpm.f=_xlpm.k)))</f>
        <v>0.99498748784401359</v>
      </c>
      <c r="H44" s="2" cm="1">
        <f t="array" ref="H44">_xlfn.LET(_xlpm.d,H$2:H$36,_xlpm.f,$A$2:$A$36,_xlpm.k,$C44,AVERAGE(_xlfn._xlws.FILTER(_xlpm.d,_xlpm.f=_xlpm.k)))</f>
        <v>0.99928440080054326</v>
      </c>
      <c r="I44" s="2" cm="1">
        <f t="array" ref="I44">_xlfn.LET(_xlpm.d,I$2:I$36,_xlpm.f,$A$2:$A$36,_xlpm.k,$C44,AVERAGE(_xlfn._xlws.FILTER(_xlpm.d,_xlpm.f=_xlpm.k)))</f>
        <v>0.96208780221516566</v>
      </c>
      <c r="J44" s="2" cm="1">
        <f t="array" ref="J44">_xlfn.LET(_xlpm.d,J$2:J$36,_xlpm.f,$A$2:$A$36,_xlpm.k,$C44,AVERAGE(_xlfn._xlws.FILTER(_xlpm.d,_xlpm.f=_xlpm.k)))</f>
        <v>0.99533511949277076</v>
      </c>
      <c r="K44" s="2" cm="1">
        <f t="array" ref="K44">_xlfn.LET(_xlpm.d,K$2:K$36,_xlpm.f,$A$2:$A$36,_xlpm.k,$C44,AVERAGE(_xlfn._xlws.FILTER(_xlpm.d,_xlpm.f=_xlpm.k)))</f>
        <v>0.98918959753270741</v>
      </c>
      <c r="L44" s="2" cm="1">
        <f t="array" ref="L44">_xlfn.LET(_xlpm.d,L$2:L$36,_xlpm.f,$A$2:$A$36,_xlpm.k,$C44,AVERAGE(_xlfn._xlws.FILTER(_xlpm.d,_xlpm.f=_xlpm.k)))</f>
        <v>0.99681452356777378</v>
      </c>
      <c r="M44" s="2" cm="1">
        <f t="array" ref="M44">_xlfn.LET(_xlpm.d,M$2:M$36,_xlpm.f,$A$2:$A$36,_xlpm.k,$C44,AVERAGE(_xlfn._xlws.FILTER(_xlpm.d,_xlpm.f=_xlpm.k)))</f>
        <v>0.96942213253472442</v>
      </c>
      <c r="N44" s="2" cm="1">
        <f t="array" ref="N44">_xlfn.LET(_xlpm.d,N$2:N$36,_xlpm.f,$A$2:$A$36,_xlpm.k,$C44,AVERAGE(_xlfn._xlws.FILTER(_xlpm.d,_xlpm.f=_xlpm.k)))</f>
        <v>0.99061173369248956</v>
      </c>
      <c r="O44" s="2" cm="1">
        <f t="array" ref="O44">_xlfn.LET(_xlpm.d,O$2:O$36,_xlpm.f,$A$2:$A$36,_xlpm.k,$C44,AVERAGE(_xlfn._xlws.FILTER(_xlpm.d,_xlpm.f=_xlpm.k)))</f>
        <v>0.94013801814294962</v>
      </c>
      <c r="P44" s="2" cm="1">
        <f t="array" ref="P44">_xlfn.LET(_xlpm.d,P$2:P$36,_xlpm.f,$A$2:$A$36,_xlpm.k,$C44,AVERAGE(_xlfn._xlws.FILTER(_xlpm.d,_xlpm.f=_xlpm.k)))</f>
        <v>0.94243642352963719</v>
      </c>
      <c r="Q44" s="2" cm="1">
        <f t="array" ref="Q44">_xlfn.LET(_xlpm.d,Q$2:Q$36,_xlpm.f,$A$2:$A$36,_xlpm.k,$C44,AVERAGE(_xlfn._xlws.FILTER(_xlpm.d,_xlpm.f=_xlpm.k)))</f>
        <v>0.98149171207750474</v>
      </c>
    </row>
    <row r="46" spans="1:19" ht="30" customHeight="1">
      <c r="C46" t="s">
        <v>65</v>
      </c>
    </row>
    <row r="47" spans="1:19" ht="30" customHeight="1">
      <c r="C47" t="s">
        <v>53</v>
      </c>
      <c r="D47" s="2" cm="1">
        <f t="array" ref="D47">_xlfn.LET(_xlpm.d,D$2:D$36,_xlpm.g,$B$2:$B$36,AVERAGE(_xlfn._xlws.FILTER(_xlpm.d,_xlpm.g=0)))</f>
        <v>0.84336212204976857</v>
      </c>
      <c r="E47" s="2" cm="1">
        <f t="array" ref="E47">_xlfn.LET(_xlpm.d,E$2:E$36,_xlpm.g,$B$2:$B$36,AVERAGE(_xlfn._xlws.FILTER(_xlpm.d,_xlpm.g=0)))</f>
        <v>0.82129001478210095</v>
      </c>
      <c r="F47" s="2" cm="1">
        <f t="array" ref="F47">_xlfn.LET(_xlpm.d,F$2:F$36,_xlpm.g,$B$2:$B$36,AVERAGE(_xlfn._xlws.FILTER(_xlpm.d,_xlpm.g=0)))</f>
        <v>0.77449003300165409</v>
      </c>
      <c r="G47" s="2" cm="1">
        <f t="array" ref="G47">_xlfn.LET(_xlpm.d,G$2:G$36,_xlpm.g,$B$2:$B$36,AVERAGE(_xlfn._xlws.FILTER(_xlpm.d,_xlpm.g=0)))</f>
        <v>0.76169860253793131</v>
      </c>
      <c r="H47" s="2" cm="1">
        <f t="array" ref="H47">_xlfn.LET(_xlpm.d,H$2:H$36,_xlpm.g,$B$2:$B$36,AVERAGE(_xlfn._xlws.FILTER(_xlpm.d,_xlpm.g=0)))</f>
        <v>0.75150360584016718</v>
      </c>
      <c r="I47" s="2" cm="1">
        <f t="array" ref="I47">_xlfn.LET(_xlpm.d,I$2:I$36,_xlpm.g,$B$2:$B$36,AVERAGE(_xlfn._xlws.FILTER(_xlpm.d,_xlpm.g=0)))</f>
        <v>0.7102690397719148</v>
      </c>
      <c r="J47" s="2" cm="1">
        <f t="array" ref="J47">_xlfn.LET(_xlpm.d,J$2:J$36,_xlpm.g,$B$2:$B$36,AVERAGE(_xlfn._xlws.FILTER(_xlpm.d,_xlpm.g=0)))</f>
        <v>0.7351764291558669</v>
      </c>
      <c r="K47" s="2" cm="1">
        <f t="array" ref="K47">_xlfn.LET(_xlpm.d,K$2:K$36,_xlpm.g,$B$2:$B$36,AVERAGE(_xlfn._xlws.FILTER(_xlpm.d,_xlpm.g=0)))</f>
        <v>0.7229338193248811</v>
      </c>
      <c r="L47" s="2" cm="1">
        <f t="array" ref="L47">_xlfn.LET(_xlpm.d,L$2:L$36,_xlpm.g,$B$2:$B$36,AVERAGE(_xlfn._xlws.FILTER(_xlpm.d,_xlpm.g=0)))</f>
        <v>0.67912019231838061</v>
      </c>
      <c r="M47" s="2" cm="1">
        <f t="array" ref="M47">_xlfn.LET(_xlpm.d,M$2:M$36,_xlpm.g,$B$2:$B$36,AVERAGE(_xlfn._xlws.FILTER(_xlpm.d,_xlpm.g=0)))</f>
        <v>0.68966511197409908</v>
      </c>
      <c r="N47" s="2" cm="1">
        <f t="array" ref="N47">_xlfn.LET(_xlpm.d,N$2:N$36,_xlpm.g,$B$2:$B$36,AVERAGE(_xlfn._xlws.FILTER(_xlpm.d,_xlpm.g=0)))</f>
        <v>0.66058005415528998</v>
      </c>
      <c r="O47" s="2" cm="1">
        <f t="array" ref="O47">_xlfn.LET(_xlpm.d,O$2:O$36,_xlpm.g,$B$2:$B$36,AVERAGE(_xlfn._xlws.FILTER(_xlpm.d,_xlpm.g=0)))</f>
        <v>0.68229673154963577</v>
      </c>
      <c r="P47" s="2" cm="1">
        <f t="array" ref="P47">_xlfn.LET(_xlpm.d,P$2:P$36,_xlpm.g,$B$2:$B$36,AVERAGE(_xlfn._xlws.FILTER(_xlpm.d,_xlpm.g=0)))</f>
        <v>0.62507271317725843</v>
      </c>
      <c r="Q47" s="2" cm="1">
        <f t="array" ref="Q47">_xlfn.LET(_xlpm.d,Q$2:Q$36,_xlpm.g,$B$2:$B$36,AVERAGE(_xlfn._xlws.FILTER(_xlpm.d,_xlpm.g=0)))</f>
        <v>0.72749680535684236</v>
      </c>
    </row>
    <row r="48" spans="1:19" ht="30" customHeight="1">
      <c r="C48" t="s">
        <v>54</v>
      </c>
      <c r="D48" s="2" cm="1">
        <f t="array" ref="D48">_xlfn.LET(_xlpm.d,D$2:D$36,_xlpm.f,$A$2:$A$36,_xlpm.g,$B$2:$B$36,_xlpm.k,$C48,AVERAGE(_xlfn._xlws.FILTER(_xlpm.d,(_xlpm.f=_xlpm.k)*(_xlpm.g=0))))</f>
        <v>0.99952710744847062</v>
      </c>
      <c r="E48" s="2" cm="1">
        <f t="array" ref="E48">_xlfn.LET(_xlpm.d,E$2:E$36,_xlpm.f,$A$2:$A$36,_xlpm.g,$B$2:$B$36,_xlpm.k,$C48,AVERAGE(_xlfn._xlws.FILTER(_xlpm.d,(_xlpm.f=_xlpm.k)*(_xlpm.g=0))))</f>
        <v>0.99805488247370722</v>
      </c>
      <c r="F48" s="2" cm="1">
        <f t="array" ref="F48">_xlfn.LET(_xlpm.d,F$2:F$36,_xlpm.f,$A$2:$A$36,_xlpm.g,$B$2:$B$36,_xlpm.k,$C48,AVERAGE(_xlfn._xlws.FILTER(_xlpm.d,(_xlpm.f=_xlpm.k)*(_xlpm.g=0))))</f>
        <v>0.99940362833831031</v>
      </c>
      <c r="G48" s="2" cm="1">
        <f t="array" ref="G48">_xlfn.LET(_xlpm.d,G$2:G$36,_xlpm.f,$A$2:$A$36,_xlpm.g,$B$2:$B$36,_xlpm.k,$C48,AVERAGE(_xlfn._xlws.FILTER(_xlpm.d,(_xlpm.f=_xlpm.k)*(_xlpm.g=0))))</f>
        <v>0.9999489062891519</v>
      </c>
      <c r="H48" s="2" cm="1">
        <f t="array" ref="H48">_xlfn.LET(_xlpm.d,H$2:H$36,_xlpm.f,$A$2:$A$36,_xlpm.g,$B$2:$B$36,_xlpm.k,$C48,AVERAGE(_xlfn._xlws.FILTER(_xlpm.d,(_xlpm.f=_xlpm.k)*(_xlpm.g=0))))</f>
        <v>0.99092783579830723</v>
      </c>
      <c r="I48" s="2" cm="1">
        <f t="array" ref="I48">_xlfn.LET(_xlpm.d,I$2:I$36,_xlpm.f,$A$2:$A$36,_xlpm.g,$B$2:$B$36,_xlpm.k,$C48,AVERAGE(_xlfn._xlws.FILTER(_xlpm.d,(_xlpm.f=_xlpm.k)*(_xlpm.g=0))))</f>
        <v>0.99581853992109615</v>
      </c>
      <c r="J48" s="2" cm="1">
        <f t="array" ref="J48">_xlfn.LET(_xlpm.d,J$2:J$36,_xlpm.f,$A$2:$A$36,_xlpm.g,$B$2:$B$36,_xlpm.k,$C48,AVERAGE(_xlfn._xlws.FILTER(_xlpm.d,(_xlpm.f=_xlpm.k)*(_xlpm.g=0))))</f>
        <v>0.99896416361113716</v>
      </c>
      <c r="K48" s="2" cm="1">
        <f t="array" ref="K48">_xlfn.LET(_xlpm.d,K$2:K$36,_xlpm.f,$A$2:$A$36,_xlpm.g,$B$2:$B$36,_xlpm.k,$C48,AVERAGE(_xlfn._xlws.FILTER(_xlpm.d,(_xlpm.f=_xlpm.k)*(_xlpm.g=0))))</f>
        <v>0.9943141009722537</v>
      </c>
      <c r="L48" s="2" cm="1">
        <f t="array" ref="L48">_xlfn.LET(_xlpm.d,L$2:L$36,_xlpm.f,$A$2:$A$36,_xlpm.g,$B$2:$B$36,_xlpm.k,$C48,AVERAGE(_xlfn._xlws.FILTER(_xlpm.d,(_xlpm.f=_xlpm.k)*(_xlpm.g=0))))</f>
        <v>0.99709436154681763</v>
      </c>
      <c r="M48" s="2" cm="1">
        <f t="array" ref="M48">_xlfn.LET(_xlpm.d,M$2:M$36,_xlpm.f,$A$2:$A$36,_xlpm.g,$B$2:$B$36,_xlpm.k,$C48,AVERAGE(_xlfn._xlws.FILTER(_xlpm.d,(_xlpm.f=_xlpm.k)*(_xlpm.g=0))))</f>
        <v>1</v>
      </c>
      <c r="N48" s="2" cm="1">
        <f t="array" ref="N48">_xlfn.LET(_xlpm.d,N$2:N$36,_xlpm.f,$A$2:$A$36,_xlpm.g,$B$2:$B$36,_xlpm.k,$C48,AVERAGE(_xlfn._xlws.FILTER(_xlpm.d,(_xlpm.f=_xlpm.k)*(_xlpm.g=0))))</f>
        <v>1</v>
      </c>
      <c r="O48" s="2" cm="1">
        <f t="array" ref="O48">_xlfn.LET(_xlpm.d,O$2:O$36,_xlpm.f,$A$2:$A$36,_xlpm.g,$B$2:$B$36,_xlpm.k,$C48,AVERAGE(_xlfn._xlws.FILTER(_xlpm.d,(_xlpm.f=_xlpm.k)*(_xlpm.g=0))))</f>
        <v>0.97139003302475257</v>
      </c>
      <c r="P48" s="2" cm="1">
        <f t="array" ref="P48">_xlfn.LET(_xlpm.d,P$2:P$36,_xlpm.f,$A$2:$A$36,_xlpm.g,$B$2:$B$36,_xlpm.k,$C48,AVERAGE(_xlfn._xlws.FILTER(_xlpm.d,(_xlpm.f=_xlpm.k)*(_xlpm.g=0))))</f>
        <v>0.97454845022358139</v>
      </c>
      <c r="Q48" s="2" cm="1">
        <f t="array" ref="Q48">_xlfn.LET(_xlpm.d,Q$2:Q$36,_xlpm.f,$A$2:$A$36,_xlpm.g,$B$2:$B$36,_xlpm.k,$C48,AVERAGE(_xlfn._xlws.FILTER(_xlpm.d,(_xlpm.f=_xlpm.k)*(_xlpm.g=0))))</f>
        <v>0.99384553920366059</v>
      </c>
    </row>
    <row r="49" spans="3:17" ht="30" customHeight="1">
      <c r="C49" t="s">
        <v>56</v>
      </c>
      <c r="D49" s="2" cm="1">
        <f t="array" ref="D49">_xlfn.LET(_xlpm.d,D$2:D$36,_xlpm.f,$A$2:$A$36,_xlpm.g,$B$2:$B$36,_xlpm.k,$C49,AVERAGE(_xlfn._xlws.FILTER(_xlpm.d,(_xlpm.f=_xlpm.k)*(_xlpm.g=0))))</f>
        <v>0.7096614035490777</v>
      </c>
      <c r="E49" s="2" cm="1">
        <f t="array" ref="E49">_xlfn.LET(_xlpm.d,E$2:E$36,_xlpm.f,$A$2:$A$36,_xlpm.g,$B$2:$B$36,_xlpm.k,$C49,AVERAGE(_xlfn._xlws.FILTER(_xlpm.d,(_xlpm.f=_xlpm.k)*(_xlpm.g=0))))</f>
        <v>0.69514312311618187</v>
      </c>
      <c r="F49" s="2" cm="1">
        <f t="array" ref="F49">_xlfn.LET(_xlpm.d,F$2:F$36,_xlpm.f,$A$2:$A$36,_xlpm.g,$B$2:$B$36,_xlpm.k,$C49,AVERAGE(_xlfn._xlws.FILTER(_xlpm.d,(_xlpm.f=_xlpm.k)*(_xlpm.g=0))))</f>
        <v>0.63296364336016753</v>
      </c>
      <c r="G49" s="2" cm="1">
        <f t="array" ref="G49">_xlfn.LET(_xlpm.d,G$2:G$36,_xlpm.f,$A$2:$A$36,_xlpm.g,$B$2:$B$36,_xlpm.k,$C49,AVERAGE(_xlfn._xlws.FILTER(_xlpm.d,(_xlpm.f=_xlpm.k)*(_xlpm.g=0))))</f>
        <v>0.61668117475195317</v>
      </c>
      <c r="H49" s="2" cm="1">
        <f t="array" ref="H49">_xlfn.LET(_xlpm.d,H$2:H$36,_xlpm.f,$A$2:$A$36,_xlpm.g,$B$2:$B$36,_xlpm.k,$C49,AVERAGE(_xlfn._xlws.FILTER(_xlpm.d,(_xlpm.f=_xlpm.k)*(_xlpm.g=0))))</f>
        <v>0.55659034396396045</v>
      </c>
      <c r="I49" s="2" cm="1">
        <f t="array" ref="I49">_xlfn.LET(_xlpm.d,I$2:I$36,_xlpm.f,$A$2:$A$36,_xlpm.g,$B$2:$B$36,_xlpm.k,$C49,AVERAGE(_xlfn._xlws.FILTER(_xlpm.d,(_xlpm.f=_xlpm.k)*(_xlpm.g=0))))</f>
        <v>0.49788873281429397</v>
      </c>
      <c r="J49" s="2" cm="1">
        <f t="array" ref="J49">_xlfn.LET(_xlpm.d,J$2:J$36,_xlpm.f,$A$2:$A$36,_xlpm.g,$B$2:$B$36,_xlpm.k,$C49,AVERAGE(_xlfn._xlws.FILTER(_xlpm.d,(_xlpm.f=_xlpm.k)*(_xlpm.g=0))))</f>
        <v>0.58289071528975422</v>
      </c>
      <c r="K49" s="2" cm="1">
        <f t="array" ref="K49">_xlfn.LET(_xlpm.d,K$2:K$36,_xlpm.f,$A$2:$A$36,_xlpm.g,$B$2:$B$36,_xlpm.k,$C49,AVERAGE(_xlfn._xlws.FILTER(_xlpm.d,(_xlpm.f=_xlpm.k)*(_xlpm.g=0))))</f>
        <v>0.48517049900459286</v>
      </c>
      <c r="L49" s="2" cm="1">
        <f t="array" ref="L49">_xlfn.LET(_xlpm.d,L$2:L$36,_xlpm.f,$A$2:$A$36,_xlpm.g,$B$2:$B$36,_xlpm.k,$C49,AVERAGE(_xlfn._xlws.FILTER(_xlpm.d,(_xlpm.f=_xlpm.k)*(_xlpm.g=0))))</f>
        <v>0.49252516086474518</v>
      </c>
      <c r="M49" s="2" cm="1">
        <f t="array" ref="M49">_xlfn.LET(_xlpm.d,M$2:M$36,_xlpm.f,$A$2:$A$36,_xlpm.g,$B$2:$B$36,_xlpm.k,$C49,AVERAGE(_xlfn._xlws.FILTER(_xlpm.d,(_xlpm.f=_xlpm.k)*(_xlpm.g=0))))</f>
        <v>0.48588040436891267</v>
      </c>
      <c r="N49" s="2" cm="1">
        <f t="array" ref="N49">_xlfn.LET(_xlpm.d,N$2:N$36,_xlpm.f,$A$2:$A$36,_xlpm.g,$B$2:$B$36,_xlpm.k,$C49,AVERAGE(_xlfn._xlws.FILTER(_xlpm.d,(_xlpm.f=_xlpm.k)*(_xlpm.g=0))))</f>
        <v>0.39450087418700436</v>
      </c>
      <c r="O49" s="2" cm="1">
        <f t="array" ref="O49">_xlfn.LET(_xlpm.d,O$2:O$36,_xlpm.f,$A$2:$A$36,_xlpm.g,$B$2:$B$36,_xlpm.k,$C49,AVERAGE(_xlfn._xlws.FILTER(_xlpm.d,(_xlpm.f=_xlpm.k)*(_xlpm.g=0))))</f>
        <v>0.48393668668940398</v>
      </c>
      <c r="P49" s="2" cm="1">
        <f t="array" ref="P49">_xlfn.LET(_xlpm.d,P$2:P$36,_xlpm.f,$A$2:$A$36,_xlpm.g,$B$2:$B$36,_xlpm.k,$C49,AVERAGE(_xlfn._xlws.FILTER(_xlpm.d,(_xlpm.f=_xlpm.k)*(_xlpm.g=0))))</f>
        <v>0.40298927411158919</v>
      </c>
      <c r="Q49" s="2" cm="1">
        <f t="array" ref="Q49">_xlfn.LET(_xlpm.d,Q$2:Q$36,_xlpm.f,$A$2:$A$36,_xlpm.g,$B$2:$B$36,_xlpm.k,$C49,AVERAGE(_xlfn._xlws.FILTER(_xlpm.d,(_xlpm.f=_xlpm.k)*(_xlpm.g=0))))</f>
        <v>0.54129400277474138</v>
      </c>
    </row>
    <row r="50" spans="3:17" ht="30" customHeight="1">
      <c r="C50" t="s">
        <v>57</v>
      </c>
      <c r="D50" s="2" cm="1">
        <f t="array" ref="D50">_xlfn.LET(_xlpm.d,D$2:D$36,_xlpm.f,$A$2:$A$36,_xlpm.g,$B$2:$B$36,_xlpm.k,$C50,AVERAGE(_xlfn._xlws.FILTER(_xlpm.d,(_xlpm.f=_xlpm.k)*(_xlpm.g=0))))</f>
        <v>0.72890674167874714</v>
      </c>
      <c r="E50" s="2" cm="1">
        <f t="array" ref="E50">_xlfn.LET(_xlpm.d,E$2:E$36,_xlpm.f,$A$2:$A$36,_xlpm.g,$B$2:$B$36,_xlpm.k,$C50,AVERAGE(_xlfn._xlws.FILTER(_xlpm.d,(_xlpm.f=_xlpm.k)*(_xlpm.g=0))))</f>
        <v>0.65443674968147536</v>
      </c>
      <c r="F50" s="2" cm="1">
        <f t="array" ref="F50">_xlfn.LET(_xlpm.d,F$2:F$36,_xlpm.f,$A$2:$A$36,_xlpm.g,$B$2:$B$36,_xlpm.k,$C50,AVERAGE(_xlfn._xlws.FILTER(_xlpm.d,(_xlpm.f=_xlpm.k)*(_xlpm.g=0))))</f>
        <v>0.53336682012769809</v>
      </c>
      <c r="G50" s="2" cm="1">
        <f t="array" ref="G50">_xlfn.LET(_xlpm.d,G$2:G$36,_xlpm.f,$A$2:$A$36,_xlpm.g,$B$2:$B$36,_xlpm.k,$C50,AVERAGE(_xlfn._xlws.FILTER(_xlpm.d,(_xlpm.f=_xlpm.k)*(_xlpm.g=0))))</f>
        <v>0.55988725391268379</v>
      </c>
      <c r="H50" s="2" cm="1">
        <f t="array" ref="H50">_xlfn.LET(_xlpm.d,H$2:H$36,_xlpm.f,$A$2:$A$36,_xlpm.g,$B$2:$B$36,_xlpm.k,$C50,AVERAGE(_xlfn._xlws.FILTER(_xlpm.d,(_xlpm.f=_xlpm.k)*(_xlpm.g=0))))</f>
        <v>0.55710838347370129</v>
      </c>
      <c r="I50" s="2" cm="1">
        <f t="array" ref="I50">_xlfn.LET(_xlpm.d,I$2:I$36,_xlpm.f,$A$2:$A$36,_xlpm.g,$B$2:$B$36,_xlpm.k,$C50,AVERAGE(_xlfn._xlws.FILTER(_xlpm.d,(_xlpm.f=_xlpm.k)*(_xlpm.g=0))))</f>
        <v>0.53497693697030047</v>
      </c>
      <c r="J50" s="2" cm="1">
        <f t="array" ref="J50">_xlfn.LET(_xlpm.d,J$2:J$36,_xlpm.f,$A$2:$A$36,_xlpm.g,$B$2:$B$36,_xlpm.k,$C50,AVERAGE(_xlfn._xlws.FILTER(_xlpm.d,(_xlpm.f=_xlpm.k)*(_xlpm.g=0))))</f>
        <v>0.47806577581535636</v>
      </c>
      <c r="K50" s="2" cm="1">
        <f t="array" ref="K50">_xlfn.LET(_xlpm.d,K$2:K$36,_xlpm.f,$A$2:$A$36,_xlpm.g,$B$2:$B$36,_xlpm.k,$C50,AVERAGE(_xlfn._xlws.FILTER(_xlpm.d,(_xlpm.f=_xlpm.k)*(_xlpm.g=0))))</f>
        <v>0.59249888004720908</v>
      </c>
      <c r="L50" s="2" cm="1">
        <f t="array" ref="L50">_xlfn.LET(_xlpm.d,L$2:L$36,_xlpm.f,$A$2:$A$36,_xlpm.g,$B$2:$B$36,_xlpm.k,$C50,AVERAGE(_xlfn._xlws.FILTER(_xlpm.d,(_xlpm.f=_xlpm.k)*(_xlpm.g=0))))</f>
        <v>0.41902119497808732</v>
      </c>
      <c r="M50" s="2" cm="1">
        <f t="array" ref="M50">_xlfn.LET(_xlpm.d,M$2:M$36,_xlpm.f,$A$2:$A$36,_xlpm.g,$B$2:$B$36,_xlpm.k,$C50,AVERAGE(_xlfn._xlws.FILTER(_xlpm.d,(_xlpm.f=_xlpm.k)*(_xlpm.g=0))))</f>
        <v>0.47276812319696782</v>
      </c>
      <c r="N50" s="2" cm="1">
        <f t="array" ref="N50">_xlfn.LET(_xlpm.d,N$2:N$36,_xlpm.f,$A$2:$A$36,_xlpm.g,$B$2:$B$36,_xlpm.k,$C50,AVERAGE(_xlfn._xlws.FILTER(_xlpm.d,(_xlpm.f=_xlpm.k)*(_xlpm.g=0))))</f>
        <v>0.41125341803820437</v>
      </c>
      <c r="O50" s="2" cm="1">
        <f t="array" ref="O50">_xlfn.LET(_xlpm.d,O$2:O$36,_xlpm.f,$A$2:$A$36,_xlpm.g,$B$2:$B$36,_xlpm.k,$C50,AVERAGE(_xlfn._xlws.FILTER(_xlpm.d,(_xlpm.f=_xlpm.k)*(_xlpm.g=0))))</f>
        <v>0.49386575221297746</v>
      </c>
      <c r="P50" s="2" cm="1">
        <f t="array" ref="P50">_xlfn.LET(_xlpm.d,P$2:P$36,_xlpm.f,$A$2:$A$36,_xlpm.g,$B$2:$B$36,_xlpm.k,$C50,AVERAGE(_xlfn._xlws.FILTER(_xlpm.d,(_xlpm.f=_xlpm.k)*(_xlpm.g=0))))</f>
        <v>0.34100755720092502</v>
      </c>
      <c r="Q50" s="2" cm="1">
        <f t="array" ref="Q50">_xlfn.LET(_xlpm.d,Q$2:Q$36,_xlpm.f,$A$2:$A$36,_xlpm.g,$B$2:$B$36,_xlpm.k,$C50,AVERAGE(_xlfn._xlws.FILTER(_xlpm.d,(_xlpm.f=_xlpm.k)*(_xlpm.g=0))))</f>
        <v>0.52132027594879493</v>
      </c>
    </row>
    <row r="51" spans="3:17" ht="30" customHeight="1">
      <c r="C51" t="s">
        <v>55</v>
      </c>
      <c r="D51" s="2" cm="1">
        <f t="array" ref="D51">_xlfn.LET(_xlpm.d,D$2:D$36,_xlpm.f,$A$2:$A$36,_xlpm.g,$B$2:$B$36,_xlpm.k,$C51,AVERAGE(_xlfn._xlws.FILTER(_xlpm.d,(_xlpm.f=_xlpm.k)*(_xlpm.g=0))))</f>
        <v>0.78195879844899441</v>
      </c>
      <c r="E51" s="2" cm="1">
        <f t="array" ref="E51">_xlfn.LET(_xlpm.d,E$2:E$36,_xlpm.f,$A$2:$A$36,_xlpm.g,$B$2:$B$36,_xlpm.k,$C51,AVERAGE(_xlfn._xlws.FILTER(_xlpm.d,(_xlpm.f=_xlpm.k)*(_xlpm.g=0))))</f>
        <v>0.76088853456686723</v>
      </c>
      <c r="F51" s="2" cm="1">
        <f t="array" ref="F51">_xlfn.LET(_xlpm.d,F$2:F$36,_xlpm.f,$A$2:$A$36,_xlpm.g,$B$2:$B$36,_xlpm.k,$C51,AVERAGE(_xlfn._xlws.FILTER(_xlpm.d,(_xlpm.f=_xlpm.k)*(_xlpm.g=0))))</f>
        <v>0.72580022911400377</v>
      </c>
      <c r="G51" s="2" cm="1">
        <f t="array" ref="G51">_xlfn.LET(_xlpm.d,G$2:G$36,_xlpm.f,$A$2:$A$36,_xlpm.g,$B$2:$B$36,_xlpm.k,$C51,AVERAGE(_xlfn._xlws.FILTER(_xlpm.d,(_xlpm.f=_xlpm.k)*(_xlpm.g=0))))</f>
        <v>0.63782360858451781</v>
      </c>
      <c r="H51" s="2" cm="1">
        <f t="array" ref="H51">_xlfn.LET(_xlpm.d,H$2:H$36,_xlpm.f,$A$2:$A$36,_xlpm.g,$B$2:$B$36,_xlpm.k,$C51,AVERAGE(_xlfn._xlws.FILTER(_xlpm.d,(_xlpm.f=_xlpm.k)*(_xlpm.g=0))))</f>
        <v>0.653726331697566</v>
      </c>
      <c r="I51" s="2" cm="1">
        <f t="array" ref="I51">_xlfn.LET(_xlpm.d,I$2:I$36,_xlpm.f,$A$2:$A$36,_xlpm.g,$B$2:$B$36,_xlpm.k,$C51,AVERAGE(_xlfn._xlws.FILTER(_xlpm.d,(_xlpm.f=_xlpm.k)*(_xlpm.g=0))))</f>
        <v>0.56689188656952405</v>
      </c>
      <c r="J51" s="2" cm="1">
        <f t="array" ref="J51">_xlfn.LET(_xlpm.d,J$2:J$36,_xlpm.f,$A$2:$A$36,_xlpm.g,$B$2:$B$36,_xlpm.k,$C51,AVERAGE(_xlfn._xlws.FILTER(_xlpm.d,(_xlpm.f=_xlpm.k)*(_xlpm.g=0))))</f>
        <v>0.62140385165485479</v>
      </c>
      <c r="K51" s="2" cm="1">
        <f t="array" ref="K51">_xlfn.LET(_xlpm.d,K$2:K$36,_xlpm.f,$A$2:$A$36,_xlpm.g,$B$2:$B$36,_xlpm.k,$C51,AVERAGE(_xlfn._xlws.FILTER(_xlpm.d,(_xlpm.f=_xlpm.k)*(_xlpm.g=0))))</f>
        <v>0.55529775281219118</v>
      </c>
      <c r="L51" s="2" cm="1">
        <f t="array" ref="L51">_xlfn.LET(_xlpm.d,L$2:L$36,_xlpm.f,$A$2:$A$36,_xlpm.g,$B$2:$B$36,_xlpm.k,$C51,AVERAGE(_xlfn._xlws.FILTER(_xlpm.d,(_xlpm.f=_xlpm.k)*(_xlpm.g=0))))</f>
        <v>0.49067663337318335</v>
      </c>
      <c r="M51" s="2" cm="1">
        <f t="array" ref="M51">_xlfn.LET(_xlpm.d,M$2:M$36,_xlpm.f,$A$2:$A$36,_xlpm.g,$B$2:$B$36,_xlpm.k,$C51,AVERAGE(_xlfn._xlws.FILTER(_xlpm.d,(_xlpm.f=_xlpm.k)*(_xlpm.g=0))))</f>
        <v>0.5253512110141022</v>
      </c>
      <c r="N51" s="2" cm="1">
        <f t="array" ref="N51">_xlfn.LET(_xlpm.d,N$2:N$36,_xlpm.f,$A$2:$A$36,_xlpm.g,$B$2:$B$36,_xlpm.k,$C51,AVERAGE(_xlfn._xlws.FILTER(_xlpm.d,(_xlpm.f=_xlpm.k)*(_xlpm.g=0))))</f>
        <v>0.50809895591000453</v>
      </c>
      <c r="O51" s="2" cm="1">
        <f t="array" ref="O51">_xlfn.LET(_xlpm.d,O$2:O$36,_xlpm.f,$A$2:$A$36,_xlpm.g,$B$2:$B$36,_xlpm.k,$C51,AVERAGE(_xlfn._xlws.FILTER(_xlpm.d,(_xlpm.f=_xlpm.k)*(_xlpm.g=0))))</f>
        <v>0.53213016465427021</v>
      </c>
      <c r="P51" s="2" cm="1">
        <f t="array" ref="P51">_xlfn.LET(_xlpm.d,P$2:P$36,_xlpm.f,$A$2:$A$36,_xlpm.g,$B$2:$B$36,_xlpm.k,$C51,AVERAGE(_xlfn._xlws.FILTER(_xlpm.d,(_xlpm.f=_xlpm.k)*(_xlpm.g=0))))</f>
        <v>0.47397579023228659</v>
      </c>
      <c r="Q51" s="2" cm="1">
        <f t="array" ref="Q51">_xlfn.LET(_xlpm.d,Q$2:Q$36,_xlpm.f,$A$2:$A$36,_xlpm.g,$B$2:$B$36,_xlpm.k,$C51,AVERAGE(_xlfn._xlws.FILTER(_xlpm.d,(_xlpm.f=_xlpm.k)*(_xlpm.g=0))))</f>
        <v>0.60261721143325886</v>
      </c>
    </row>
    <row r="52" spans="3:17" ht="30" customHeight="1">
      <c r="C52" t="s">
        <v>58</v>
      </c>
      <c r="D52" s="2" cm="1">
        <f t="array" ref="D52">_xlfn.LET(_xlpm.d,D$2:D$36,_xlpm.f,$A$2:$A$36,_xlpm.g,$B$2:$B$36,_xlpm.k,$C52,AVERAGE(_xlfn._xlws.FILTER(_xlpm.d,(_xlpm.f=_xlpm.k)*(_xlpm.g=0))))</f>
        <v>0.99675655912355332</v>
      </c>
      <c r="E52" s="2" cm="1">
        <f t="array" ref="E52">_xlfn.LET(_xlpm.d,E$2:E$36,_xlpm.f,$A$2:$A$36,_xlpm.g,$B$2:$B$36,_xlpm.k,$C52,AVERAGE(_xlfn._xlws.FILTER(_xlpm.d,(_xlpm.f=_xlpm.k)*(_xlpm.g=0))))</f>
        <v>0.99792678407227464</v>
      </c>
      <c r="F52" s="2" cm="1">
        <f t="array" ref="F52">_xlfn.LET(_xlpm.d,F$2:F$36,_xlpm.f,$A$2:$A$36,_xlpm.g,$B$2:$B$36,_xlpm.k,$C52,AVERAGE(_xlfn._xlws.FILTER(_xlpm.d,(_xlpm.f=_xlpm.k)*(_xlpm.g=0))))</f>
        <v>0.98091584406809018</v>
      </c>
      <c r="G52" s="2" cm="1">
        <f t="array" ref="G52">_xlfn.LET(_xlpm.d,G$2:G$36,_xlpm.f,$A$2:$A$36,_xlpm.g,$B$2:$B$36,_xlpm.k,$C52,AVERAGE(_xlfn._xlws.FILTER(_xlpm.d,(_xlpm.f=_xlpm.k)*(_xlpm.g=0))))</f>
        <v>0.99415206915134924</v>
      </c>
      <c r="H52" s="2" cm="1">
        <f t="array" ref="H52">_xlfn.LET(_xlpm.d,H$2:H$36,_xlpm.f,$A$2:$A$36,_xlpm.g,$B$2:$B$36,_xlpm.k,$C52,AVERAGE(_xlfn._xlws.FILTER(_xlpm.d,(_xlpm.f=_xlpm.k)*(_xlpm.g=0))))</f>
        <v>0.99916513426730047</v>
      </c>
      <c r="I52" s="2" cm="1">
        <f t="array" ref="I52">_xlfn.LET(_xlpm.d,I$2:I$36,_xlpm.f,$A$2:$A$36,_xlpm.g,$B$2:$B$36,_xlpm.k,$C52,AVERAGE(_xlfn._xlws.FILTER(_xlpm.d,(_xlpm.f=_xlpm.k)*(_xlpm.g=0))))</f>
        <v>0.95576910258435988</v>
      </c>
      <c r="J52" s="2" cm="1">
        <f t="array" ref="J52">_xlfn.LET(_xlpm.d,J$2:J$36,_xlpm.f,$A$2:$A$36,_xlpm.g,$B$2:$B$36,_xlpm.k,$C52,AVERAGE(_xlfn._xlws.FILTER(_xlpm.d,(_xlpm.f=_xlpm.k)*(_xlpm.g=0))))</f>
        <v>0.9945576394082325</v>
      </c>
      <c r="K52" s="2" cm="1">
        <f t="array" ref="K52">_xlfn.LET(_xlpm.d,K$2:K$36,_xlpm.f,$A$2:$A$36,_xlpm.g,$B$2:$B$36,_xlpm.k,$C52,AVERAGE(_xlfn._xlws.FILTER(_xlpm.d,(_xlpm.f=_xlpm.k)*(_xlpm.g=0))))</f>
        <v>0.98738786378815868</v>
      </c>
      <c r="L52" s="2" cm="1">
        <f t="array" ref="L52">_xlfn.LET(_xlpm.d,L$2:L$36,_xlpm.f,$A$2:$A$36,_xlpm.g,$B$2:$B$36,_xlpm.k,$C52,AVERAGE(_xlfn._xlws.FILTER(_xlpm.d,(_xlpm.f=_xlpm.k)*(_xlpm.g=0))))</f>
        <v>0.99628361082906947</v>
      </c>
      <c r="M52" s="2" cm="1">
        <f t="array" ref="M52">_xlfn.LET(_xlpm.d,M$2:M$36,_xlpm.f,$A$2:$A$36,_xlpm.g,$B$2:$B$36,_xlpm.k,$C52,AVERAGE(_xlfn._xlws.FILTER(_xlpm.d,(_xlpm.f=_xlpm.k)*(_xlpm.g=0))))</f>
        <v>0.96432582129051181</v>
      </c>
      <c r="N52" s="2" cm="1">
        <f t="array" ref="N52">_xlfn.LET(_xlpm.d,N$2:N$36,_xlpm.f,$A$2:$A$36,_xlpm.g,$B$2:$B$36,_xlpm.k,$C52,AVERAGE(_xlfn._xlws.FILTER(_xlpm.d,(_xlpm.f=_xlpm.k)*(_xlpm.g=0))))</f>
        <v>0.98904702264123756</v>
      </c>
      <c r="O52" s="2" cm="1">
        <f t="array" ref="O52">_xlfn.LET(_xlpm.d,O$2:O$36,_xlpm.f,$A$2:$A$36,_xlpm.g,$B$2:$B$36,_xlpm.k,$C52,AVERAGE(_xlfn._xlws.FILTER(_xlpm.d,(_xlpm.f=_xlpm.k)*(_xlpm.g=0))))</f>
        <v>0.93016102116677457</v>
      </c>
      <c r="P52" s="2" cm="1">
        <f t="array" ref="P52">_xlfn.LET(_xlpm.d,P$2:P$36,_xlpm.f,$A$2:$A$36,_xlpm.g,$B$2:$B$36,_xlpm.k,$C52,AVERAGE(_xlfn._xlws.FILTER(_xlpm.d,(_xlpm.f=_xlpm.k)*(_xlpm.g=0))))</f>
        <v>0.93284249411791009</v>
      </c>
      <c r="Q52" s="2" cm="1">
        <f t="array" ref="Q52">_xlfn.LET(_xlpm.d,Q$2:Q$36,_xlpm.f,$A$2:$A$36,_xlpm.g,$B$2:$B$36,_xlpm.k,$C52,AVERAGE(_xlfn._xlws.FILTER(_xlpm.d,(_xlpm.f=_xlpm.k)*(_xlpm.g=0))))</f>
        <v>0.97840699742375559</v>
      </c>
    </row>
  </sheetData>
  <conditionalFormatting sqref="D2:P36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9:Q44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47:Q52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Q2:Q36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S2:S36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V49"/>
  <sheetViews>
    <sheetView workbookViewId="0">
      <pane xSplit="9080" ySplit="3520" topLeftCell="B35" activePane="bottomRight"/>
      <selection activeCell="B1" sqref="B1:B1048576"/>
      <selection pane="topRight" activeCell="G2" sqref="G2:S36"/>
      <selection pane="bottomLeft" activeCell="C31" sqref="C31"/>
      <selection pane="bottomRight" activeCell="G42" sqref="G42"/>
    </sheetView>
  </sheetViews>
  <sheetFormatPr baseColWidth="10" defaultRowHeight="30" customHeight="1"/>
  <cols>
    <col min="1" max="1" width="16.625" customWidth="1"/>
    <col min="2" max="2" width="9" customWidth="1"/>
    <col min="3" max="5" width="7.875" customWidth="1"/>
    <col min="6" max="6" width="9.5" customWidth="1"/>
    <col min="7" max="19" width="7.375" customWidth="1"/>
    <col min="20" max="20" width="8.75" customWidth="1"/>
    <col min="21" max="21" width="9.125" customWidth="1"/>
    <col min="22" max="22" width="8.75" customWidth="1"/>
  </cols>
  <sheetData>
    <row r="1" spans="1:22" ht="30" customHeight="1">
      <c r="A1" t="s">
        <v>0</v>
      </c>
      <c r="B1" t="s">
        <v>59</v>
      </c>
      <c r="C1" t="s">
        <v>50</v>
      </c>
      <c r="D1" t="s">
        <v>51</v>
      </c>
      <c r="E1" t="s">
        <v>60</v>
      </c>
      <c r="F1" t="s">
        <v>52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47</v>
      </c>
      <c r="P1" t="s">
        <v>9</v>
      </c>
      <c r="Q1" t="s">
        <v>48</v>
      </c>
      <c r="R1" t="s">
        <v>49</v>
      </c>
      <c r="S1" t="s">
        <v>10</v>
      </c>
      <c r="T1" t="s">
        <v>36</v>
      </c>
      <c r="U1" t="s">
        <v>61</v>
      </c>
      <c r="V1" t="s">
        <v>62</v>
      </c>
    </row>
    <row r="2" spans="1:22" ht="30" customHeight="1">
      <c r="A2" t="s">
        <v>11</v>
      </c>
      <c r="B2" t="str">
        <f>_xlfn.TEXTBEFORE(Table1[[#This Row],[condition]],"-")</f>
        <v>arabic</v>
      </c>
      <c r="C2" t="b">
        <f>LEFT(Table1[[#This Row],[encoding]],3)=C$1</f>
        <v>0</v>
      </c>
      <c r="D2" t="b">
        <f>LEFT(Table1[[#This Row],[encoding]],2)=D$1</f>
        <v>0</v>
      </c>
      <c r="E2" t="b">
        <f>NOT(OR(C2,D2))</f>
        <v>1</v>
      </c>
      <c r="F2" t="str">
        <f>_xlfn.TEXTAFTER(Table1[[#This Row],[condition]],"-")</f>
        <v>1g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>_xlfn.LET(_xlpm.d,$G2:$S2,AVERAGE(_xlpm.d))</f>
        <v>1</v>
      </c>
      <c r="U2" s="3">
        <f>_xlfn.LET(_xlpm.d,$G2:$S2,STDEV(_xlpm.d))</f>
        <v>0</v>
      </c>
      <c r="V2" s="1">
        <f>Table1[[#This Row],[average]]-SQRT(Table1[[#This Row],[stdev]])</f>
        <v>1</v>
      </c>
    </row>
    <row r="3" spans="1:22" ht="30" customHeight="1">
      <c r="A3" t="s">
        <v>12</v>
      </c>
      <c r="B3" t="str">
        <f>_xlfn.TEXTBEFORE(Table1[[#This Row],[condition]],"-")</f>
        <v>arabic</v>
      </c>
      <c r="C3" t="b">
        <f>LEFT(Table1[[#This Row],[encoding]],3)=C$1</f>
        <v>0</v>
      </c>
      <c r="D3" t="b">
        <f>LEFT(Table1[[#This Row],[encoding]],2)=D$1</f>
        <v>0</v>
      </c>
      <c r="E3" t="b">
        <f t="shared" ref="E3:E36" si="0">NOT(OR(C3,D3))</f>
        <v>1</v>
      </c>
      <c r="F3" t="str">
        <f>_xlfn.TEXTAFTER(Table1[[#This Row],[condition]],"-")</f>
        <v>2g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36" si="1">_xlfn.LET(_xlpm.d,$G3:$S3,AVERAGE(_xlpm.d))</f>
        <v>1</v>
      </c>
      <c r="U3" s="3">
        <f t="shared" ref="U3:U36" si="2">_xlfn.LET(_xlpm.d,$G3:$S3,STDEV(_xlpm.d))</f>
        <v>0</v>
      </c>
      <c r="V3" s="1">
        <f>Table1[[#This Row],[average]]-SQRT(Table1[[#This Row],[stdev]])</f>
        <v>1</v>
      </c>
    </row>
    <row r="4" spans="1:22" ht="30" customHeight="1">
      <c r="A4" t="s">
        <v>13</v>
      </c>
      <c r="B4" t="str">
        <f>_xlfn.TEXTBEFORE(Table1[[#This Row],[condition]],"-")</f>
        <v>arabic</v>
      </c>
      <c r="C4" t="b">
        <f>LEFT(Table1[[#This Row],[encoding]],3)=C$1</f>
        <v>0</v>
      </c>
      <c r="D4" t="b">
        <f>LEFT(Table1[[#This Row],[encoding]],2)=D$1</f>
        <v>0</v>
      </c>
      <c r="E4" t="b">
        <f t="shared" si="0"/>
        <v>1</v>
      </c>
      <c r="F4" t="str">
        <f>_xlfn.TEXTAFTER(Table1[[#This Row],[condition]],"-")</f>
        <v>3g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0.99931127919426099</v>
      </c>
      <c r="P4" s="1">
        <v>1</v>
      </c>
      <c r="Q4" s="1">
        <v>1</v>
      </c>
      <c r="R4" s="1">
        <v>1</v>
      </c>
      <c r="S4" s="1">
        <v>1</v>
      </c>
      <c r="T4" s="1">
        <f t="shared" si="1"/>
        <v>0.99994702147648162</v>
      </c>
      <c r="U4" s="3">
        <f t="shared" si="2"/>
        <v>1.9101678304391258E-4</v>
      </c>
      <c r="V4" s="1">
        <f>Table1[[#This Row],[average]]-SQRT(Table1[[#This Row],[stdev]])</f>
        <v>0.98612613933951543</v>
      </c>
    </row>
    <row r="5" spans="1:22" ht="30" customHeight="1">
      <c r="A5" t="s">
        <v>14</v>
      </c>
      <c r="B5" t="str">
        <f>_xlfn.TEXTBEFORE(Table1[[#This Row],[condition]],"-")</f>
        <v>arabic</v>
      </c>
      <c r="C5" t="b">
        <f>LEFT(Table1[[#This Row],[encoding]],3)=C$1</f>
        <v>0</v>
      </c>
      <c r="D5" t="b">
        <f>LEFT(Table1[[#This Row],[encoding]],2)=D$1</f>
        <v>1</v>
      </c>
      <c r="E5" t="b">
        <f t="shared" si="0"/>
        <v>0</v>
      </c>
      <c r="F5" t="str">
        <f>_xlfn.TEXTAFTER(Table1[[#This Row],[condition]],"-")</f>
        <v>sk2g</v>
      </c>
      <c r="G5" s="1">
        <v>0.99870122641009995</v>
      </c>
      <c r="H5" s="1">
        <v>1</v>
      </c>
      <c r="I5" s="1">
        <v>0.99880948837677597</v>
      </c>
      <c r="J5" s="1">
        <v>1</v>
      </c>
      <c r="K5" s="1">
        <v>0.99518280291962202</v>
      </c>
      <c r="L5" s="1">
        <v>1</v>
      </c>
      <c r="M5" s="1">
        <v>1</v>
      </c>
      <c r="N5" s="1">
        <v>0.98898968210386295</v>
      </c>
      <c r="O5" s="1">
        <v>1</v>
      </c>
      <c r="P5" s="1">
        <v>1</v>
      </c>
      <c r="Q5" s="1">
        <v>1</v>
      </c>
      <c r="R5" s="1">
        <v>0.99583248907967703</v>
      </c>
      <c r="S5" s="1">
        <v>0.99459333055661703</v>
      </c>
      <c r="T5" s="1">
        <f t="shared" si="1"/>
        <v>0.997854539957435</v>
      </c>
      <c r="U5" s="3">
        <f t="shared" si="2"/>
        <v>3.3453681419727457E-3</v>
      </c>
      <c r="V5" s="1">
        <f>Table1[[#This Row],[average]]-SQRT(Table1[[#This Row],[stdev]])</f>
        <v>0.94001538244305949</v>
      </c>
    </row>
    <row r="6" spans="1:22" ht="30" customHeight="1">
      <c r="A6" t="s">
        <v>15</v>
      </c>
      <c r="B6" t="str">
        <f>_xlfn.TEXTBEFORE(Table1[[#This Row],[condition]],"-")</f>
        <v>arabic</v>
      </c>
      <c r="C6" t="b">
        <f>LEFT(Table1[[#This Row],[encoding]],3)=C$1</f>
        <v>0</v>
      </c>
      <c r="D6" t="b">
        <f>LEFT(Table1[[#This Row],[encoding]],2)=D$1</f>
        <v>1</v>
      </c>
      <c r="E6" t="b">
        <f t="shared" si="0"/>
        <v>0</v>
      </c>
      <c r="F6" t="str">
        <f>_xlfn.TEXTAFTER(Table1[[#This Row],[condition]],"-")</f>
        <v>sk3g</v>
      </c>
      <c r="G6" s="1">
        <v>1</v>
      </c>
      <c r="H6" s="1">
        <v>0.99937185409177098</v>
      </c>
      <c r="I6" s="1">
        <v>0.99974025916198594</v>
      </c>
      <c r="J6" s="1">
        <v>1</v>
      </c>
      <c r="K6" s="1">
        <v>0.98130927491440401</v>
      </c>
      <c r="L6" s="1">
        <v>1</v>
      </c>
      <c r="M6" s="1">
        <v>0.99378498166682305</v>
      </c>
      <c r="N6" s="1">
        <v>0.97689492372965903</v>
      </c>
      <c r="O6" s="1">
        <v>0.98372437486200603</v>
      </c>
      <c r="P6" s="1">
        <v>1</v>
      </c>
      <c r="Q6" s="1">
        <v>1</v>
      </c>
      <c r="R6" s="1">
        <v>1</v>
      </c>
      <c r="S6" s="1">
        <v>1</v>
      </c>
      <c r="T6" s="1">
        <f t="shared" si="1"/>
        <v>0.99498658987897304</v>
      </c>
      <c r="U6" s="3">
        <f t="shared" si="2"/>
        <v>8.4677159417488792E-3</v>
      </c>
      <c r="V6" s="1">
        <f>Table1[[#This Row],[average]]-SQRT(Table1[[#This Row],[stdev]])</f>
        <v>0.90296639675947954</v>
      </c>
    </row>
    <row r="7" spans="1:22" ht="30" customHeight="1">
      <c r="A7" t="s">
        <v>37</v>
      </c>
      <c r="B7" t="str">
        <f>_xlfn.TEXTBEFORE(Table1[[#This Row],[condition]],"-")</f>
        <v>arabic</v>
      </c>
      <c r="C7" t="b">
        <f>LEFT(Table1[[#This Row],[encoding]],3)=C$1</f>
        <v>1</v>
      </c>
      <c r="D7" t="b">
        <f>LEFT(Table1[[#This Row],[encoding]],2)=D$1</f>
        <v>0</v>
      </c>
      <c r="E7" t="b">
        <f t="shared" si="0"/>
        <v>0</v>
      </c>
      <c r="F7" t="str">
        <f>_xlfn.TEXTAFTER(Table1[[#This Row],[condition]],"-")</f>
        <v>xsk2g</v>
      </c>
      <c r="G7" s="1">
        <v>1</v>
      </c>
      <c r="H7" s="1">
        <v>0.98895744075047198</v>
      </c>
      <c r="I7" s="1">
        <v>1</v>
      </c>
      <c r="J7" s="1">
        <v>1</v>
      </c>
      <c r="K7" s="1">
        <v>1</v>
      </c>
      <c r="L7" s="1">
        <v>0.97491123952657699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f t="shared" si="1"/>
        <v>0.99722066771361917</v>
      </c>
      <c r="U7" s="3">
        <f t="shared" si="2"/>
        <v>7.3652510333806842E-3</v>
      </c>
      <c r="V7" s="1">
        <f>Table1[[#This Row],[average]]-SQRT(Table1[[#This Row],[stdev]])</f>
        <v>0.91139962697546051</v>
      </c>
    </row>
    <row r="8" spans="1:22" ht="30" customHeight="1">
      <c r="A8" t="s">
        <v>38</v>
      </c>
      <c r="B8" t="str">
        <f>_xlfn.TEXTBEFORE(Table1[[#This Row],[condition]],"-")</f>
        <v>arabic</v>
      </c>
      <c r="C8" t="b">
        <f>LEFT(Table1[[#This Row],[encoding]],3)=C$1</f>
        <v>1</v>
      </c>
      <c r="D8" t="b">
        <f>LEFT(Table1[[#This Row],[encoding]],2)=D$1</f>
        <v>0</v>
      </c>
      <c r="E8" t="b">
        <f t="shared" si="0"/>
        <v>0</v>
      </c>
      <c r="F8" t="str">
        <f>_xlfn.TEXTAFTER(Table1[[#This Row],[condition]],"-")</f>
        <v>xsk3g</v>
      </c>
      <c r="G8" s="1">
        <v>0.99846141828072399</v>
      </c>
      <c r="H8" s="1">
        <v>1</v>
      </c>
      <c r="I8" s="1">
        <v>0.99787202249109996</v>
      </c>
      <c r="J8" s="1">
        <v>0.99969343773491104</v>
      </c>
      <c r="K8" s="1">
        <v>0.96907493695581803</v>
      </c>
      <c r="L8" s="1">
        <v>1</v>
      </c>
      <c r="M8" s="1">
        <v>1</v>
      </c>
      <c r="N8" s="1">
        <v>1</v>
      </c>
      <c r="O8" s="1">
        <v>0.99953051522463898</v>
      </c>
      <c r="P8" s="1">
        <v>1</v>
      </c>
      <c r="Q8" s="1">
        <v>1</v>
      </c>
      <c r="R8" s="1">
        <v>0.83250770906883798</v>
      </c>
      <c r="S8" s="1">
        <v>0.85269737078487096</v>
      </c>
      <c r="T8" s="1">
        <f t="shared" si="1"/>
        <v>0.97306441619545392</v>
      </c>
      <c r="U8" s="3">
        <f t="shared" si="2"/>
        <v>5.8653976679701035E-2</v>
      </c>
      <c r="V8" s="1">
        <f>Table1[[#This Row],[average]]-SQRT(Table1[[#This Row],[stdev]])</f>
        <v>0.7308785853140809</v>
      </c>
    </row>
    <row r="9" spans="1:22" ht="30" customHeight="1">
      <c r="A9" t="s">
        <v>16</v>
      </c>
      <c r="B9" t="str">
        <f>_xlfn.TEXTBEFORE(Table1[[#This Row],[condition]],"-")</f>
        <v>english</v>
      </c>
      <c r="C9" t="b">
        <f>LEFT(Table1[[#This Row],[encoding]],3)=C$1</f>
        <v>0</v>
      </c>
      <c r="D9" t="b">
        <f>LEFT(Table1[[#This Row],[encoding]],2)=D$1</f>
        <v>0</v>
      </c>
      <c r="E9" t="b">
        <f t="shared" si="0"/>
        <v>1</v>
      </c>
      <c r="F9" t="str">
        <f>_xlfn.TEXTAFTER(Table1[[#This Row],[condition]],"-")</f>
        <v>1g</v>
      </c>
      <c r="G9" s="1">
        <v>0.88468197605629295</v>
      </c>
      <c r="H9" s="1">
        <v>0.82481186598828904</v>
      </c>
      <c r="I9" s="1">
        <v>0.81776734067839696</v>
      </c>
      <c r="J9" s="1">
        <v>0.69323989483108395</v>
      </c>
      <c r="K9" s="1">
        <v>0.69315922414310405</v>
      </c>
      <c r="L9" s="1">
        <v>0.52049226294198903</v>
      </c>
      <c r="M9" s="1">
        <v>0.62383341238100998</v>
      </c>
      <c r="N9" s="1">
        <v>0.45429511364692199</v>
      </c>
      <c r="O9" s="1">
        <v>0.39839981930273499</v>
      </c>
      <c r="P9" s="1">
        <v>0.32656467464570499</v>
      </c>
      <c r="Q9" s="1">
        <v>0.40894747124105402</v>
      </c>
      <c r="R9" s="1">
        <v>0</v>
      </c>
      <c r="S9" s="1">
        <v>0.24074918584295699</v>
      </c>
      <c r="T9" s="1">
        <f t="shared" si="1"/>
        <v>0.52976478782304148</v>
      </c>
      <c r="U9" s="3">
        <f t="shared" si="2"/>
        <v>0.25841527993152108</v>
      </c>
      <c r="V9" s="1">
        <f>Table1[[#This Row],[average]]-SQRT(Table1[[#This Row],[stdev]])</f>
        <v>2.1419157438043457E-2</v>
      </c>
    </row>
    <row r="10" spans="1:22" ht="30" customHeight="1">
      <c r="A10" t="s">
        <v>17</v>
      </c>
      <c r="B10" t="str">
        <f>_xlfn.TEXTBEFORE(Table1[[#This Row],[condition]],"-")</f>
        <v>english</v>
      </c>
      <c r="C10" t="b">
        <f>LEFT(Table1[[#This Row],[encoding]],3)=C$1</f>
        <v>0</v>
      </c>
      <c r="D10" t="b">
        <f>LEFT(Table1[[#This Row],[encoding]],2)=D$1</f>
        <v>0</v>
      </c>
      <c r="E10" t="b">
        <f t="shared" si="0"/>
        <v>1</v>
      </c>
      <c r="F10" t="str">
        <f>_xlfn.TEXTAFTER(Table1[[#This Row],[condition]],"-")</f>
        <v>2g</v>
      </c>
      <c r="G10" s="1">
        <v>0.55513644220719005</v>
      </c>
      <c r="H10" s="1">
        <v>0.662508345994818</v>
      </c>
      <c r="I10" s="1">
        <v>0.57856372850198001</v>
      </c>
      <c r="J10" s="1">
        <v>0.52940028397021599</v>
      </c>
      <c r="K10" s="1">
        <v>0.467325424335791</v>
      </c>
      <c r="L10" s="1">
        <v>0.28111012313163902</v>
      </c>
      <c r="M10" s="1">
        <v>0.54244293932188004</v>
      </c>
      <c r="N10" s="1">
        <v>0.63329833128157598</v>
      </c>
      <c r="O10" s="1">
        <v>0.298819636571516</v>
      </c>
      <c r="P10" s="1">
        <v>0.54583062611162703</v>
      </c>
      <c r="Q10" s="1">
        <v>0.53190420082677103</v>
      </c>
      <c r="R10" s="1">
        <v>0.49527996019079801</v>
      </c>
      <c r="S10" s="1">
        <v>0.26833948116858197</v>
      </c>
      <c r="T10" s="1">
        <f t="shared" si="1"/>
        <v>0.49153534797033732</v>
      </c>
      <c r="U10" s="3">
        <f t="shared" si="2"/>
        <v>0.12954573310565237</v>
      </c>
      <c r="V10" s="1">
        <f>Table1[[#This Row],[average]]-SQRT(Table1[[#This Row],[stdev]])</f>
        <v>0.13161072654850076</v>
      </c>
    </row>
    <row r="11" spans="1:22" ht="30" customHeight="1">
      <c r="A11" t="s">
        <v>18</v>
      </c>
      <c r="B11" t="str">
        <f>_xlfn.TEXTBEFORE(Table1[[#This Row],[condition]],"-")</f>
        <v>english</v>
      </c>
      <c r="C11" t="b">
        <f>LEFT(Table1[[#This Row],[encoding]],3)=C$1</f>
        <v>0</v>
      </c>
      <c r="D11" t="b">
        <f>LEFT(Table1[[#This Row],[encoding]],2)=D$1</f>
        <v>0</v>
      </c>
      <c r="E11" t="b">
        <f t="shared" si="0"/>
        <v>1</v>
      </c>
      <c r="F11" t="str">
        <f>_xlfn.TEXTAFTER(Table1[[#This Row],[condition]],"-")</f>
        <v>3g</v>
      </c>
      <c r="G11" s="1">
        <v>0.66357631011378604</v>
      </c>
      <c r="H11" s="1">
        <v>0.637511221321995</v>
      </c>
      <c r="I11" s="1">
        <v>0.46487322444887003</v>
      </c>
      <c r="J11" s="1">
        <v>0.58397587631591596</v>
      </c>
      <c r="K11" s="1">
        <v>0.52486587242173099</v>
      </c>
      <c r="L11" s="1">
        <v>0.52828038616862905</v>
      </c>
      <c r="M11" s="1">
        <v>0.34776986809417598</v>
      </c>
      <c r="N11" s="1">
        <v>0.244731886469887</v>
      </c>
      <c r="O11" s="1">
        <v>0.51390921275030099</v>
      </c>
      <c r="P11" s="1">
        <v>0.67063552575536201</v>
      </c>
      <c r="Q11" s="1">
        <v>0.58998231619916897</v>
      </c>
      <c r="R11" s="1">
        <v>0.28566821302480799</v>
      </c>
      <c r="S11" s="1">
        <v>0.22125697411659601</v>
      </c>
      <c r="T11" s="1">
        <f t="shared" si="1"/>
        <v>0.48284899132317122</v>
      </c>
      <c r="U11" s="3">
        <f t="shared" si="2"/>
        <v>0.15835740464323139</v>
      </c>
      <c r="V11" s="1">
        <f>Table1[[#This Row],[average]]-SQRT(Table1[[#This Row],[stdev]])</f>
        <v>8.4907532508898653E-2</v>
      </c>
    </row>
    <row r="12" spans="1:22" ht="30" customHeight="1">
      <c r="A12" t="s">
        <v>19</v>
      </c>
      <c r="B12" t="str">
        <f>_xlfn.TEXTBEFORE(Table1[[#This Row],[condition]],"-")</f>
        <v>english</v>
      </c>
      <c r="C12" t="b">
        <f>LEFT(Table1[[#This Row],[encoding]],3)=C$1</f>
        <v>0</v>
      </c>
      <c r="D12" t="b">
        <f>LEFT(Table1[[#This Row],[encoding]],2)=D$1</f>
        <v>1</v>
      </c>
      <c r="E12" t="b">
        <f t="shared" si="0"/>
        <v>0</v>
      </c>
      <c r="F12" t="str">
        <f>_xlfn.TEXTAFTER(Table1[[#This Row],[condition]],"-")</f>
        <v>sk2g</v>
      </c>
      <c r="G12" s="1">
        <v>0.87298284708875096</v>
      </c>
      <c r="H12" s="1">
        <v>0.69922632006692498</v>
      </c>
      <c r="I12" s="1">
        <v>0.71566662970132799</v>
      </c>
      <c r="J12" s="1">
        <v>0.52043646947213595</v>
      </c>
      <c r="K12" s="1">
        <v>0.63057253317880102</v>
      </c>
      <c r="L12" s="1">
        <v>0.55676578387245401</v>
      </c>
      <c r="M12" s="1">
        <v>0.60350491519612603</v>
      </c>
      <c r="N12" s="1">
        <v>0.59018621544136696</v>
      </c>
      <c r="O12" s="1">
        <v>0.59282916246987505</v>
      </c>
      <c r="P12" s="1">
        <v>0.51618076599654295</v>
      </c>
      <c r="Q12" s="1">
        <v>0.38877618663791702</v>
      </c>
      <c r="R12" s="1">
        <v>0.47500560027953997</v>
      </c>
      <c r="S12" s="1">
        <v>0.55966372418075505</v>
      </c>
      <c r="T12" s="1">
        <f t="shared" si="1"/>
        <v>0.59398439642942447</v>
      </c>
      <c r="U12" s="3">
        <f t="shared" si="2"/>
        <v>0.12092003420290837</v>
      </c>
      <c r="V12" s="1">
        <f>Table1[[#This Row],[average]]-SQRT(Table1[[#This Row],[stdev]])</f>
        <v>0.24624881555955092</v>
      </c>
    </row>
    <row r="13" spans="1:22" ht="30" customHeight="1">
      <c r="A13" t="s">
        <v>20</v>
      </c>
      <c r="B13" t="str">
        <f>_xlfn.TEXTBEFORE(Table1[[#This Row],[condition]],"-")</f>
        <v>english</v>
      </c>
      <c r="C13" t="b">
        <f>LEFT(Table1[[#This Row],[encoding]],3)=C$1</f>
        <v>0</v>
      </c>
      <c r="D13" t="b">
        <f>LEFT(Table1[[#This Row],[encoding]],2)=D$1</f>
        <v>1</v>
      </c>
      <c r="E13" t="b">
        <f t="shared" si="0"/>
        <v>0</v>
      </c>
      <c r="F13" t="str">
        <f>_xlfn.TEXTAFTER(Table1[[#This Row],[condition]],"-")</f>
        <v>sk3g</v>
      </c>
      <c r="G13" s="1">
        <v>0.68372801863254895</v>
      </c>
      <c r="H13" s="1">
        <v>0.54007154077497199</v>
      </c>
      <c r="I13" s="1">
        <v>0.57739065480228902</v>
      </c>
      <c r="J13" s="1">
        <v>0.658878382914733</v>
      </c>
      <c r="K13" s="1">
        <v>0.61539954386690998</v>
      </c>
      <c r="L13" s="1">
        <v>0.61087804717043104</v>
      </c>
      <c r="M13" s="1">
        <v>0.85135378813381102</v>
      </c>
      <c r="N13" s="1">
        <v>0.41597184130991899</v>
      </c>
      <c r="O13" s="1">
        <v>0.67709132323482302</v>
      </c>
      <c r="P13" s="1">
        <v>0.35041756285728698</v>
      </c>
      <c r="Q13" s="1">
        <v>0.40104987503946599</v>
      </c>
      <c r="R13" s="1">
        <v>0.59724260457363898</v>
      </c>
      <c r="S13" s="1">
        <v>0.53585066189221897</v>
      </c>
      <c r="T13" s="1">
        <f t="shared" si="1"/>
        <v>0.57810183424638839</v>
      </c>
      <c r="U13" s="3">
        <f t="shared" si="2"/>
        <v>0.13468626758481284</v>
      </c>
      <c r="V13" s="1">
        <f>Table1[[#This Row],[average]]-SQRT(Table1[[#This Row],[stdev]])</f>
        <v>0.21110555690176347</v>
      </c>
    </row>
    <row r="14" spans="1:22" ht="30" customHeight="1">
      <c r="A14" t="s">
        <v>39</v>
      </c>
      <c r="B14" t="str">
        <f>_xlfn.TEXTBEFORE(Table1[[#This Row],[condition]],"-")</f>
        <v>english</v>
      </c>
      <c r="C14" t="b">
        <f>LEFT(Table1[[#This Row],[encoding]],3)=C$1</f>
        <v>1</v>
      </c>
      <c r="D14" t="b">
        <f>LEFT(Table1[[#This Row],[encoding]],2)=D$1</f>
        <v>0</v>
      </c>
      <c r="E14" t="b">
        <f t="shared" si="0"/>
        <v>0</v>
      </c>
      <c r="F14" t="str">
        <f>_xlfn.TEXTAFTER(Table1[[#This Row],[condition]],"-")</f>
        <v>xsk2g</v>
      </c>
      <c r="G14" s="1">
        <v>0.76362964890752905</v>
      </c>
      <c r="H14" s="1">
        <v>0.78794199168895995</v>
      </c>
      <c r="I14" s="1">
        <v>0.65815395408323996</v>
      </c>
      <c r="J14" s="1">
        <v>0.712778204752336</v>
      </c>
      <c r="K14" s="1">
        <v>0.54806431807942102</v>
      </c>
      <c r="L14" s="1">
        <v>0.67516536262067595</v>
      </c>
      <c r="M14" s="1">
        <v>0.52767608102503405</v>
      </c>
      <c r="N14" s="1">
        <v>0.45042538028803297</v>
      </c>
      <c r="O14" s="1">
        <v>0.55350109481008303</v>
      </c>
      <c r="P14" s="1">
        <v>0.59215658992612497</v>
      </c>
      <c r="Q14" s="1">
        <v>0.45529266641870297</v>
      </c>
      <c r="R14" s="1">
        <v>0.33569451373324799</v>
      </c>
      <c r="S14" s="1">
        <v>0.41027265495047699</v>
      </c>
      <c r="T14" s="1">
        <f t="shared" si="1"/>
        <v>0.57467326625260506</v>
      </c>
      <c r="U14" s="3">
        <f t="shared" si="2"/>
        <v>0.13988897187724503</v>
      </c>
      <c r="V14" s="1">
        <f>Table1[[#This Row],[average]]-SQRT(Table1[[#This Row],[stdev]])</f>
        <v>0.20065592457277731</v>
      </c>
    </row>
    <row r="15" spans="1:22" ht="30" customHeight="1">
      <c r="A15" t="s">
        <v>40</v>
      </c>
      <c r="B15" t="str">
        <f>_xlfn.TEXTBEFORE(Table1[[#This Row],[condition]],"-")</f>
        <v>english</v>
      </c>
      <c r="C15" t="b">
        <f>LEFT(Table1[[#This Row],[encoding]],3)=C$1</f>
        <v>1</v>
      </c>
      <c r="D15" t="b">
        <f>LEFT(Table1[[#This Row],[encoding]],2)=D$1</f>
        <v>0</v>
      </c>
      <c r="E15" t="b">
        <f t="shared" si="0"/>
        <v>0</v>
      </c>
      <c r="F15" t="str">
        <f>_xlfn.TEXTAFTER(Table1[[#This Row],[condition]],"-")</f>
        <v>xsk3g</v>
      </c>
      <c r="G15" s="1">
        <v>0.71891515434466102</v>
      </c>
      <c r="H15" s="1">
        <v>0.84359931884942096</v>
      </c>
      <c r="I15" s="1">
        <v>0.80313366862329805</v>
      </c>
      <c r="J15" s="1">
        <v>0.69461783108638198</v>
      </c>
      <c r="K15" s="1">
        <v>0.55331437190110899</v>
      </c>
      <c r="L15" s="1">
        <v>0.33513269392193501</v>
      </c>
      <c r="M15" s="1">
        <v>0.624596699967498</v>
      </c>
      <c r="N15" s="1">
        <v>0.57640933923677495</v>
      </c>
      <c r="O15" s="1">
        <v>0.319000535351873</v>
      </c>
      <c r="P15" s="1">
        <v>0.24006135556653199</v>
      </c>
      <c r="Q15" s="1">
        <v>0</v>
      </c>
      <c r="R15" s="1">
        <v>0.71472922833439101</v>
      </c>
      <c r="S15" s="1">
        <v>0.42255214836090599</v>
      </c>
      <c r="T15" s="1">
        <f t="shared" si="1"/>
        <v>0.52662018042652148</v>
      </c>
      <c r="U15" s="3">
        <f t="shared" si="2"/>
        <v>0.24838818876165472</v>
      </c>
      <c r="V15" s="1">
        <f>Table1[[#This Row],[average]]-SQRT(Table1[[#This Row],[stdev]])</f>
        <v>2.8234598008997358E-2</v>
      </c>
    </row>
    <row r="16" spans="1:22" ht="30" customHeight="1">
      <c r="A16" t="s">
        <v>21</v>
      </c>
      <c r="B16" t="str">
        <f>_xlfn.TEXTBEFORE(Table1[[#This Row],[condition]],"-")</f>
        <v>french</v>
      </c>
      <c r="C16" t="b">
        <f>LEFT(Table1[[#This Row],[encoding]],3)=C$1</f>
        <v>0</v>
      </c>
      <c r="D16" t="b">
        <f>LEFT(Table1[[#This Row],[encoding]],2)=D$1</f>
        <v>0</v>
      </c>
      <c r="E16" t="b">
        <f t="shared" si="0"/>
        <v>1</v>
      </c>
      <c r="F16" t="str">
        <f>_xlfn.TEXTAFTER(Table1[[#This Row],[condition]],"-")</f>
        <v>1g</v>
      </c>
      <c r="G16" s="1">
        <v>0.90548333828083705</v>
      </c>
      <c r="H16" s="1">
        <v>1</v>
      </c>
      <c r="I16" s="1">
        <v>0.88213870001333805</v>
      </c>
      <c r="J16" s="1">
        <v>0.86590458436816498</v>
      </c>
      <c r="K16" s="1">
        <v>0.729673633177926</v>
      </c>
      <c r="L16" s="1">
        <v>0.72506064787889102</v>
      </c>
      <c r="M16" s="1">
        <v>0.47747993780241699</v>
      </c>
      <c r="N16" s="1">
        <v>0.61761696341678896</v>
      </c>
      <c r="O16" s="1">
        <v>0.76196216620392498</v>
      </c>
      <c r="P16" s="1">
        <v>0.26228746605568298</v>
      </c>
      <c r="Q16" s="1">
        <v>0.51205406629532002</v>
      </c>
      <c r="R16" s="1">
        <v>0.45997537645416797</v>
      </c>
      <c r="S16" s="1">
        <v>0.53084529694726901</v>
      </c>
      <c r="T16" s="1">
        <f t="shared" si="1"/>
        <v>0.67157555206882524</v>
      </c>
      <c r="U16" s="3">
        <f t="shared" si="2"/>
        <v>0.21548588171126484</v>
      </c>
      <c r="V16" s="1">
        <f>Table1[[#This Row],[average]]-SQRT(Table1[[#This Row],[stdev]])</f>
        <v>0.20737098325108422</v>
      </c>
    </row>
    <row r="17" spans="1:22" ht="30" customHeight="1">
      <c r="A17" t="s">
        <v>22</v>
      </c>
      <c r="B17" t="str">
        <f>_xlfn.TEXTBEFORE(Table1[[#This Row],[condition]],"-")</f>
        <v>french</v>
      </c>
      <c r="C17" t="b">
        <f>LEFT(Table1[[#This Row],[encoding]],3)=C$1</f>
        <v>0</v>
      </c>
      <c r="D17" t="b">
        <f>LEFT(Table1[[#This Row],[encoding]],2)=D$1</f>
        <v>0</v>
      </c>
      <c r="E17" t="b">
        <f t="shared" si="0"/>
        <v>1</v>
      </c>
      <c r="F17" t="str">
        <f>_xlfn.TEXTAFTER(Table1[[#This Row],[condition]],"-")</f>
        <v>2g</v>
      </c>
      <c r="G17" s="1">
        <v>0.62908175473849204</v>
      </c>
      <c r="H17" s="1">
        <v>0.752207757211242</v>
      </c>
      <c r="I17" s="1">
        <v>0.53291460620884301</v>
      </c>
      <c r="J17" s="1">
        <v>0.55801745453178597</v>
      </c>
      <c r="K17" s="1">
        <v>0.502756724337871</v>
      </c>
      <c r="L17" s="1">
        <v>0.61232574279591101</v>
      </c>
      <c r="M17" s="1">
        <v>0.44270523475583701</v>
      </c>
      <c r="N17" s="1">
        <v>0.55645493392105105</v>
      </c>
      <c r="O17" s="1">
        <v>0.35723025355995303</v>
      </c>
      <c r="P17" s="1">
        <v>0.33873297410033099</v>
      </c>
      <c r="Q17" s="1">
        <v>0.44501918099411297</v>
      </c>
      <c r="R17" s="1">
        <v>0.27705819826119199</v>
      </c>
      <c r="S17" s="1">
        <v>0.25729469087955498</v>
      </c>
      <c r="T17" s="1">
        <f t="shared" si="1"/>
        <v>0.48167688509970602</v>
      </c>
      <c r="U17" s="3">
        <f t="shared" si="2"/>
        <v>0.14647873960358493</v>
      </c>
      <c r="V17" s="1">
        <f>Table1[[#This Row],[average]]-SQRT(Table1[[#This Row],[stdev]])</f>
        <v>9.8951474911690263E-2</v>
      </c>
    </row>
    <row r="18" spans="1:22" ht="30" customHeight="1">
      <c r="A18" t="s">
        <v>23</v>
      </c>
      <c r="B18" t="str">
        <f>_xlfn.TEXTBEFORE(Table1[[#This Row],[condition]],"-")</f>
        <v>french</v>
      </c>
      <c r="C18" t="b">
        <f>LEFT(Table1[[#This Row],[encoding]],3)=C$1</f>
        <v>0</v>
      </c>
      <c r="D18" t="b">
        <f>LEFT(Table1[[#This Row],[encoding]],2)=D$1</f>
        <v>0</v>
      </c>
      <c r="E18" t="b">
        <f t="shared" si="0"/>
        <v>1</v>
      </c>
      <c r="F18" t="str">
        <f>_xlfn.TEXTAFTER(Table1[[#This Row],[condition]],"-")</f>
        <v>3g</v>
      </c>
      <c r="G18" s="1">
        <v>0.75327518554177497</v>
      </c>
      <c r="H18" s="1">
        <v>0.54287793147749097</v>
      </c>
      <c r="I18" s="1">
        <v>0.71789898469888902</v>
      </c>
      <c r="J18" s="1">
        <v>0.54455265560613997</v>
      </c>
      <c r="K18" s="1">
        <v>0.40283840832948098</v>
      </c>
      <c r="L18" s="1">
        <v>0.660743829273161</v>
      </c>
      <c r="M18" s="1">
        <v>0.534811063996528</v>
      </c>
      <c r="N18" s="1">
        <v>0.61536316652033896</v>
      </c>
      <c r="O18" s="1">
        <v>0.40260956272168902</v>
      </c>
      <c r="P18" s="1">
        <v>0.35696570770510799</v>
      </c>
      <c r="Q18" s="1">
        <v>0.52051808666827404</v>
      </c>
      <c r="R18" s="1">
        <v>0.57307129876837104</v>
      </c>
      <c r="S18" s="1">
        <v>0.41108035072110199</v>
      </c>
      <c r="T18" s="1">
        <f t="shared" si="1"/>
        <v>0.54127740246371903</v>
      </c>
      <c r="U18" s="3">
        <f t="shared" si="2"/>
        <v>0.12473714778103941</v>
      </c>
      <c r="V18" s="1">
        <f>Table1[[#This Row],[average]]-SQRT(Table1[[#This Row],[stdev]])</f>
        <v>0.18809593666881153</v>
      </c>
    </row>
    <row r="19" spans="1:22" ht="30" customHeight="1">
      <c r="A19" t="s">
        <v>24</v>
      </c>
      <c r="B19" t="str">
        <f>_xlfn.TEXTBEFORE(Table1[[#This Row],[condition]],"-")</f>
        <v>french</v>
      </c>
      <c r="C19" t="b">
        <f>LEFT(Table1[[#This Row],[encoding]],3)=C$1</f>
        <v>0</v>
      </c>
      <c r="D19" t="b">
        <f>LEFT(Table1[[#This Row],[encoding]],2)=D$1</f>
        <v>1</v>
      </c>
      <c r="E19" t="b">
        <f t="shared" si="0"/>
        <v>0</v>
      </c>
      <c r="F19" t="str">
        <f>_xlfn.TEXTAFTER(Table1[[#This Row],[condition]],"-")</f>
        <v>sk2g</v>
      </c>
      <c r="G19" s="1">
        <v>0.71592329178376302</v>
      </c>
      <c r="H19" s="1">
        <v>0.67014037989329001</v>
      </c>
      <c r="I19" s="1">
        <v>0</v>
      </c>
      <c r="J19" s="1">
        <v>0.64183545233691996</v>
      </c>
      <c r="K19" s="1">
        <v>0.69439961725667698</v>
      </c>
      <c r="L19" s="1">
        <v>0.65331398139269004</v>
      </c>
      <c r="M19" s="1">
        <v>0.60415490403351402</v>
      </c>
      <c r="N19" s="1">
        <v>0.68365486021795396</v>
      </c>
      <c r="O19" s="1">
        <v>0.24495222402401601</v>
      </c>
      <c r="P19" s="1">
        <v>0.71881956652341295</v>
      </c>
      <c r="Q19" s="1">
        <v>0.33095051660089098</v>
      </c>
      <c r="R19" s="1">
        <v>0.62053786605390404</v>
      </c>
      <c r="S19" s="1">
        <v>0.54015577777259904</v>
      </c>
      <c r="T19" s="1">
        <f t="shared" si="1"/>
        <v>0.54760295676074078</v>
      </c>
      <c r="U19" s="3">
        <f t="shared" si="2"/>
        <v>0.21980181886994227</v>
      </c>
      <c r="V19" s="1">
        <f>Table1[[#This Row],[average]]-SQRT(Table1[[#This Row],[stdev]])</f>
        <v>7.8772690171709348E-2</v>
      </c>
    </row>
    <row r="20" spans="1:22" ht="30" customHeight="1">
      <c r="A20" t="s">
        <v>25</v>
      </c>
      <c r="B20" t="str">
        <f>_xlfn.TEXTBEFORE(Table1[[#This Row],[condition]],"-")</f>
        <v>french</v>
      </c>
      <c r="C20" t="b">
        <f>LEFT(Table1[[#This Row],[encoding]],3)=C$1</f>
        <v>0</v>
      </c>
      <c r="D20" t="b">
        <f>LEFT(Table1[[#This Row],[encoding]],2)=D$1</f>
        <v>1</v>
      </c>
      <c r="E20" t="b">
        <f t="shared" si="0"/>
        <v>0</v>
      </c>
      <c r="F20" t="str">
        <f>_xlfn.TEXTAFTER(Table1[[#This Row],[condition]],"-")</f>
        <v>sk3g</v>
      </c>
      <c r="G20" s="1">
        <v>0.90643345442063405</v>
      </c>
      <c r="H20" s="1">
        <v>0.61340488233780899</v>
      </c>
      <c r="I20" s="1">
        <v>0.64512960662881103</v>
      </c>
      <c r="J20" s="1">
        <v>0.45824590710720697</v>
      </c>
      <c r="K20" s="1">
        <v>0.31662854285773401</v>
      </c>
      <c r="L20" s="1">
        <v>0.425170143636253</v>
      </c>
      <c r="M20" s="1">
        <v>0.505836916492863</v>
      </c>
      <c r="N20" s="1">
        <v>0.42562758722180999</v>
      </c>
      <c r="O20" s="1">
        <v>0.64106675158626403</v>
      </c>
      <c r="P20" s="1">
        <v>0.28297502281195303</v>
      </c>
      <c r="Q20" s="1">
        <v>0.28975499610377098</v>
      </c>
      <c r="R20" s="1">
        <v>0.53194740442358102</v>
      </c>
      <c r="S20" s="1">
        <v>0</v>
      </c>
      <c r="T20" s="1">
        <f t="shared" si="1"/>
        <v>0.46478624735605306</v>
      </c>
      <c r="U20" s="3">
        <f t="shared" si="2"/>
        <v>0.22206378772760521</v>
      </c>
      <c r="V20" s="1">
        <f>Table1[[#This Row],[average]]-SQRT(Table1[[#This Row],[stdev]])</f>
        <v>-6.450198313851796E-3</v>
      </c>
    </row>
    <row r="21" spans="1:22" ht="30" customHeight="1">
      <c r="A21" t="s">
        <v>41</v>
      </c>
      <c r="B21" t="str">
        <f>_xlfn.TEXTBEFORE(Table1[[#This Row],[condition]],"-")</f>
        <v>french</v>
      </c>
      <c r="C21" t="b">
        <f>LEFT(Table1[[#This Row],[encoding]],3)=C$1</f>
        <v>1</v>
      </c>
      <c r="D21" t="b">
        <f>LEFT(Table1[[#This Row],[encoding]],2)=D$1</f>
        <v>0</v>
      </c>
      <c r="E21" t="b">
        <f t="shared" si="0"/>
        <v>0</v>
      </c>
      <c r="F21" t="str">
        <f>_xlfn.TEXTAFTER(Table1[[#This Row],[condition]],"-")</f>
        <v>xsk2g</v>
      </c>
      <c r="G21" s="1">
        <v>0.72733933861032496</v>
      </c>
      <c r="H21" s="1">
        <v>0.64265747555719199</v>
      </c>
      <c r="I21" s="1">
        <v>0.64756398484532995</v>
      </c>
      <c r="J21" s="1">
        <v>0.52549724288744004</v>
      </c>
      <c r="K21" s="1">
        <v>0.86140525135966695</v>
      </c>
      <c r="L21" s="1">
        <v>0.57316571862961896</v>
      </c>
      <c r="M21" s="1">
        <v>0.53900767135672001</v>
      </c>
      <c r="N21" s="1">
        <v>0.68936869379840904</v>
      </c>
      <c r="O21" s="1">
        <v>0.50260122984045696</v>
      </c>
      <c r="P21" s="1">
        <v>0.71624144934515299</v>
      </c>
      <c r="Q21" s="1">
        <v>0.540634390470073</v>
      </c>
      <c r="R21" s="1">
        <v>0.52459032455745203</v>
      </c>
      <c r="S21" s="1">
        <v>0.459688159555805</v>
      </c>
      <c r="T21" s="1">
        <f t="shared" si="1"/>
        <v>0.61152007160104938</v>
      </c>
      <c r="U21" s="3">
        <f t="shared" si="2"/>
        <v>0.11430194594891081</v>
      </c>
      <c r="V21" s="1">
        <f>Table1[[#This Row],[average]]-SQRT(Table1[[#This Row],[stdev]])</f>
        <v>0.27343436360837065</v>
      </c>
    </row>
    <row r="22" spans="1:22" ht="30" customHeight="1">
      <c r="A22" t="s">
        <v>42</v>
      </c>
      <c r="B22" t="str">
        <f>_xlfn.TEXTBEFORE(Table1[[#This Row],[condition]],"-")</f>
        <v>french</v>
      </c>
      <c r="C22" t="b">
        <f>LEFT(Table1[[#This Row],[encoding]],3)=C$1</f>
        <v>1</v>
      </c>
      <c r="D22" t="b">
        <f>LEFT(Table1[[#This Row],[encoding]],2)=D$1</f>
        <v>0</v>
      </c>
      <c r="E22" t="b">
        <f t="shared" si="0"/>
        <v>0</v>
      </c>
      <c r="F22" t="str">
        <f>_xlfn.TEXTAFTER(Table1[[#This Row],[condition]],"-")</f>
        <v>xsk3g</v>
      </c>
      <c r="G22" s="1">
        <v>0.64138742497749401</v>
      </c>
      <c r="H22" s="1">
        <v>0.70533207161182798</v>
      </c>
      <c r="I22" s="1">
        <v>0.656693738384315</v>
      </c>
      <c r="J22" s="1">
        <v>0.63117481100660999</v>
      </c>
      <c r="K22" s="1">
        <v>0.56462175670077797</v>
      </c>
      <c r="L22" s="1">
        <v>0.28514220609416902</v>
      </c>
      <c r="M22" s="1">
        <v>0.24187886425667601</v>
      </c>
      <c r="N22" s="1">
        <v>0.58452403860369195</v>
      </c>
      <c r="O22" s="1">
        <v>0.36566714813614498</v>
      </c>
      <c r="P22" s="1">
        <v>0.42287401869584901</v>
      </c>
      <c r="Q22" s="1">
        <v>0.34064333739210401</v>
      </c>
      <c r="R22" s="1">
        <v>0.43598942121336498</v>
      </c>
      <c r="S22" s="1">
        <v>0.37782636427648902</v>
      </c>
      <c r="T22" s="1">
        <f t="shared" si="1"/>
        <v>0.48105809241150099</v>
      </c>
      <c r="U22" s="3">
        <f t="shared" si="2"/>
        <v>0.15592994751061764</v>
      </c>
      <c r="V22" s="1">
        <f>Table1[[#This Row],[average]]-SQRT(Table1[[#This Row],[stdev]])</f>
        <v>8.6178430348971324E-2</v>
      </c>
    </row>
    <row r="23" spans="1:22" ht="30" customHeight="1">
      <c r="A23" t="s">
        <v>26</v>
      </c>
      <c r="B23" t="str">
        <f>_xlfn.TEXTBEFORE(Table1[[#This Row],[condition]],"-")</f>
        <v>german</v>
      </c>
      <c r="C23" t="b">
        <f>LEFT(Table1[[#This Row],[encoding]],3)=C$1</f>
        <v>0</v>
      </c>
      <c r="D23" t="b">
        <f>LEFT(Table1[[#This Row],[encoding]],2)=D$1</f>
        <v>0</v>
      </c>
      <c r="E23" t="b">
        <f t="shared" si="0"/>
        <v>1</v>
      </c>
      <c r="F23" t="str">
        <f>_xlfn.TEXTAFTER(Table1[[#This Row],[condition]],"-")</f>
        <v>1g</v>
      </c>
      <c r="G23" s="1">
        <v>1</v>
      </c>
      <c r="H23" s="1">
        <v>0.96896772623869698</v>
      </c>
      <c r="I23" s="1">
        <v>0.81567833510479903</v>
      </c>
      <c r="J23" s="1">
        <v>0.92377102761874796</v>
      </c>
      <c r="K23" s="1">
        <v>0.63169026761500002</v>
      </c>
      <c r="L23" s="1">
        <v>0.63885527928717201</v>
      </c>
      <c r="M23" s="1">
        <v>0.65297587024920201</v>
      </c>
      <c r="N23" s="1">
        <v>0.597217387077562</v>
      </c>
      <c r="O23" s="1">
        <v>0.56318949175815602</v>
      </c>
      <c r="P23" s="1">
        <v>0.51591938520353198</v>
      </c>
      <c r="Q23" s="1">
        <v>0.58109083275510998</v>
      </c>
      <c r="R23" s="1">
        <v>0.389786929792385</v>
      </c>
      <c r="S23" s="1">
        <v>0.35401390498837498</v>
      </c>
      <c r="T23" s="1">
        <f t="shared" si="1"/>
        <v>0.66408895674528756</v>
      </c>
      <c r="U23" s="3">
        <f t="shared" si="2"/>
        <v>0.20673954708632836</v>
      </c>
      <c r="V23" s="1">
        <f>Table1[[#This Row],[average]]-SQRT(Table1[[#This Row],[stdev]])</f>
        <v>0.20940274947006315</v>
      </c>
    </row>
    <row r="24" spans="1:22" ht="30" customHeight="1">
      <c r="A24" t="s">
        <v>27</v>
      </c>
      <c r="B24" t="str">
        <f>_xlfn.TEXTBEFORE(Table1[[#This Row],[condition]],"-")</f>
        <v>german</v>
      </c>
      <c r="C24" t="b">
        <f>LEFT(Table1[[#This Row],[encoding]],3)=C$1</f>
        <v>0</v>
      </c>
      <c r="D24" t="b">
        <f>LEFT(Table1[[#This Row],[encoding]],2)=D$1</f>
        <v>0</v>
      </c>
      <c r="E24" t="b">
        <f t="shared" si="0"/>
        <v>1</v>
      </c>
      <c r="F24" t="str">
        <f>_xlfn.TEXTAFTER(Table1[[#This Row],[condition]],"-")</f>
        <v>2g</v>
      </c>
      <c r="G24" s="1">
        <v>0.95050832449934097</v>
      </c>
      <c r="H24" s="1">
        <v>0.62838180307701796</v>
      </c>
      <c r="I24" s="1">
        <v>0.46002815434577499</v>
      </c>
      <c r="J24" s="1">
        <v>0.69380538907674505</v>
      </c>
      <c r="K24" s="1">
        <v>0.61433910046150497</v>
      </c>
      <c r="L24" s="1">
        <v>0.54997434279784496</v>
      </c>
      <c r="M24" s="1">
        <v>0.58721382559595403</v>
      </c>
      <c r="N24" s="1">
        <v>0.56932972192695597</v>
      </c>
      <c r="O24" s="1">
        <v>0.26532925780873701</v>
      </c>
      <c r="P24" s="1">
        <v>0.35626375111616898</v>
      </c>
      <c r="Q24" s="1">
        <v>0.570972182944256</v>
      </c>
      <c r="R24" s="1">
        <v>0.47362778004297001</v>
      </c>
      <c r="S24" s="1">
        <v>0.53028050852917097</v>
      </c>
      <c r="T24" s="1">
        <f t="shared" si="1"/>
        <v>0.5576964724786494</v>
      </c>
      <c r="U24" s="3">
        <f t="shared" si="2"/>
        <v>0.16474376161136722</v>
      </c>
      <c r="V24" s="1">
        <f>Table1[[#This Row],[average]]-SQRT(Table1[[#This Row],[stdev]])</f>
        <v>0.15181008244891803</v>
      </c>
    </row>
    <row r="25" spans="1:22" ht="30" customHeight="1">
      <c r="A25" t="s">
        <v>28</v>
      </c>
      <c r="B25" t="str">
        <f>_xlfn.TEXTBEFORE(Table1[[#This Row],[condition]],"-")</f>
        <v>german</v>
      </c>
      <c r="C25" t="b">
        <f>LEFT(Table1[[#This Row],[encoding]],3)=C$1</f>
        <v>0</v>
      </c>
      <c r="D25" t="b">
        <f>LEFT(Table1[[#This Row],[encoding]],2)=D$1</f>
        <v>0</v>
      </c>
      <c r="E25" t="b">
        <f t="shared" si="0"/>
        <v>1</v>
      </c>
      <c r="F25" t="str">
        <f>_xlfn.TEXTAFTER(Table1[[#This Row],[condition]],"-")</f>
        <v>3g</v>
      </c>
      <c r="G25" s="1">
        <v>0.74676343061433903</v>
      </c>
      <c r="H25" s="1">
        <v>0.69444456453738101</v>
      </c>
      <c r="I25" s="1">
        <v>0.744773732816015</v>
      </c>
      <c r="J25" s="1">
        <v>0.53017529977009403</v>
      </c>
      <c r="K25" s="1">
        <v>0.78797062973554799</v>
      </c>
      <c r="L25" s="1">
        <v>0.55235887439606601</v>
      </c>
      <c r="M25" s="1">
        <v>0.732615560524285</v>
      </c>
      <c r="N25" s="1">
        <v>0.376496445000222</v>
      </c>
      <c r="O25" s="1">
        <v>0.47709434403935802</v>
      </c>
      <c r="P25" s="1">
        <v>0.61541967287606802</v>
      </c>
      <c r="Q25" s="1">
        <v>0.498792274607818</v>
      </c>
      <c r="R25" s="1">
        <v>0.52409481855945905</v>
      </c>
      <c r="S25" s="1">
        <v>0.44512360874464602</v>
      </c>
      <c r="T25" s="1">
        <f t="shared" si="1"/>
        <v>0.59431717355548452</v>
      </c>
      <c r="U25" s="3">
        <f t="shared" si="2"/>
        <v>0.13427353858731944</v>
      </c>
      <c r="V25" s="1">
        <f>Table1[[#This Row],[average]]-SQRT(Table1[[#This Row],[stdev]])</f>
        <v>0.22788363444188287</v>
      </c>
    </row>
    <row r="26" spans="1:22" ht="30" customHeight="1">
      <c r="A26" t="s">
        <v>29</v>
      </c>
      <c r="B26" t="str">
        <f>_xlfn.TEXTBEFORE(Table1[[#This Row],[condition]],"-")</f>
        <v>german</v>
      </c>
      <c r="C26" t="b">
        <f>LEFT(Table1[[#This Row],[encoding]],3)=C$1</f>
        <v>0</v>
      </c>
      <c r="D26" t="b">
        <f>LEFT(Table1[[#This Row],[encoding]],2)=D$1</f>
        <v>1</v>
      </c>
      <c r="E26" t="b">
        <f t="shared" si="0"/>
        <v>0</v>
      </c>
      <c r="F26" t="str">
        <f>_xlfn.TEXTAFTER(Table1[[#This Row],[condition]],"-")</f>
        <v>sk2g</v>
      </c>
      <c r="G26" s="1">
        <v>0.75103127688177895</v>
      </c>
      <c r="H26" s="1">
        <v>0.72492593360772195</v>
      </c>
      <c r="I26" s="1">
        <v>0.79198859100254304</v>
      </c>
      <c r="J26" s="1">
        <v>0.72419003555814798</v>
      </c>
      <c r="K26" s="1">
        <v>0.68127627552614001</v>
      </c>
      <c r="L26" s="1">
        <v>0.367435599975594</v>
      </c>
      <c r="M26" s="1">
        <v>0.68072326410611395</v>
      </c>
      <c r="N26" s="1">
        <v>0.481135203189894</v>
      </c>
      <c r="O26" s="1">
        <v>0.53668775222644205</v>
      </c>
      <c r="P26" s="1">
        <v>0.47467392034608102</v>
      </c>
      <c r="Q26" s="1">
        <v>0.39814618721438</v>
      </c>
      <c r="R26" s="1">
        <v>0.51328802824629705</v>
      </c>
      <c r="S26" s="1">
        <v>0.37201990632738602</v>
      </c>
      <c r="T26" s="1">
        <f t="shared" si="1"/>
        <v>0.57673245955450159</v>
      </c>
      <c r="U26" s="3">
        <f t="shared" si="2"/>
        <v>0.1540975978763694</v>
      </c>
      <c r="V26" s="1">
        <f>Table1[[#This Row],[average]]-SQRT(Table1[[#This Row],[stdev]])</f>
        <v>0.18417979063430512</v>
      </c>
    </row>
    <row r="27" spans="1:22" ht="30" customHeight="1">
      <c r="A27" t="s">
        <v>30</v>
      </c>
      <c r="B27" t="str">
        <f>_xlfn.TEXTBEFORE(Table1[[#This Row],[condition]],"-")</f>
        <v>german</v>
      </c>
      <c r="C27" t="b">
        <f>LEFT(Table1[[#This Row],[encoding]],3)=C$1</f>
        <v>0</v>
      </c>
      <c r="D27" t="b">
        <f>LEFT(Table1[[#This Row],[encoding]],2)=D$1</f>
        <v>1</v>
      </c>
      <c r="E27" t="b">
        <f t="shared" si="0"/>
        <v>0</v>
      </c>
      <c r="F27" t="str">
        <f>_xlfn.TEXTAFTER(Table1[[#This Row],[condition]],"-")</f>
        <v>sk3g</v>
      </c>
      <c r="G27" s="1">
        <v>0.79946912325420205</v>
      </c>
      <c r="H27" s="1">
        <v>0.82222507396623701</v>
      </c>
      <c r="I27" s="1">
        <v>0.76693375093307004</v>
      </c>
      <c r="J27" s="1">
        <v>0.64114444069496401</v>
      </c>
      <c r="K27" s="1">
        <v>0.62417343480040399</v>
      </c>
      <c r="L27" s="1">
        <v>0.43714473010922</v>
      </c>
      <c r="M27" s="1">
        <v>0.58997839862000201</v>
      </c>
      <c r="N27" s="1">
        <v>0.56433154194413004</v>
      </c>
      <c r="O27" s="1">
        <v>0.42870441520515401</v>
      </c>
      <c r="P27" s="1">
        <v>0.53596532686866105</v>
      </c>
      <c r="Q27" s="1">
        <v>0.64864517722043502</v>
      </c>
      <c r="R27" s="1">
        <v>0.40289988420551198</v>
      </c>
      <c r="S27" s="1">
        <v>0.352374700165972</v>
      </c>
      <c r="T27" s="1">
        <f t="shared" si="1"/>
        <v>0.58569153830676635</v>
      </c>
      <c r="U27" s="3">
        <f t="shared" si="2"/>
        <v>0.15289558525432073</v>
      </c>
      <c r="V27" s="1">
        <f>Table1[[#This Row],[average]]-SQRT(Table1[[#This Row],[stdev]])</f>
        <v>0.19467288753123013</v>
      </c>
    </row>
    <row r="28" spans="1:22" ht="30" customHeight="1">
      <c r="A28" t="s">
        <v>43</v>
      </c>
      <c r="B28" t="str">
        <f>_xlfn.TEXTBEFORE(Table1[[#This Row],[condition]],"-")</f>
        <v>german</v>
      </c>
      <c r="C28" t="b">
        <f>LEFT(Table1[[#This Row],[encoding]],3)=C$1</f>
        <v>1</v>
      </c>
      <c r="D28" t="b">
        <f>LEFT(Table1[[#This Row],[encoding]],2)=D$1</f>
        <v>0</v>
      </c>
      <c r="E28" t="b">
        <f t="shared" si="0"/>
        <v>0</v>
      </c>
      <c r="F28" t="str">
        <f>_xlfn.TEXTAFTER(Table1[[#This Row],[condition]],"-")</f>
        <v>xsk2g</v>
      </c>
      <c r="G28" s="1">
        <v>0.71541611203143896</v>
      </c>
      <c r="H28" s="1">
        <v>0.83532056312886205</v>
      </c>
      <c r="I28" s="1">
        <v>0.76525474652708203</v>
      </c>
      <c r="J28" s="1">
        <v>0.53174672647329102</v>
      </c>
      <c r="K28" s="1">
        <v>0.60050985561651904</v>
      </c>
      <c r="L28" s="1">
        <v>0.56794374593831498</v>
      </c>
      <c r="M28" s="1">
        <v>0.69290885839962002</v>
      </c>
      <c r="N28" s="1">
        <v>0.58721008259410501</v>
      </c>
      <c r="O28" s="1">
        <v>0.68155485044860198</v>
      </c>
      <c r="P28" s="1">
        <v>0.64874847497650501</v>
      </c>
      <c r="Q28" s="1">
        <v>0.590167886776923</v>
      </c>
      <c r="R28" s="1">
        <v>0.78757372688604499</v>
      </c>
      <c r="S28" s="1">
        <v>0.74539063171626796</v>
      </c>
      <c r="T28" s="1">
        <f t="shared" si="1"/>
        <v>0.67305740473181352</v>
      </c>
      <c r="U28" s="3">
        <f t="shared" si="2"/>
        <v>9.4228626206725438E-2</v>
      </c>
      <c r="V28" s="1">
        <f>Table1[[#This Row],[average]]-SQRT(Table1[[#This Row],[stdev]])</f>
        <v>0.36609058859898552</v>
      </c>
    </row>
    <row r="29" spans="1:22" ht="30" customHeight="1">
      <c r="A29" t="s">
        <v>44</v>
      </c>
      <c r="B29" t="str">
        <f>_xlfn.TEXTBEFORE(Table1[[#This Row],[condition]],"-")</f>
        <v>german</v>
      </c>
      <c r="C29" t="b">
        <f>LEFT(Table1[[#This Row],[encoding]],3)=C$1</f>
        <v>1</v>
      </c>
      <c r="D29" t="b">
        <f>LEFT(Table1[[#This Row],[encoding]],2)=D$1</f>
        <v>0</v>
      </c>
      <c r="E29" t="b">
        <f t="shared" si="0"/>
        <v>0</v>
      </c>
      <c r="F29" t="str">
        <f>_xlfn.TEXTAFTER(Table1[[#This Row],[condition]],"-")</f>
        <v>xsk3g</v>
      </c>
      <c r="G29" s="1">
        <v>0.72856452341286604</v>
      </c>
      <c r="H29" s="1">
        <v>0.86003326908398303</v>
      </c>
      <c r="I29" s="1">
        <v>0.82582239905953703</v>
      </c>
      <c r="J29" s="1">
        <v>0.70587975993386398</v>
      </c>
      <c r="K29" s="1">
        <v>0.61408869404527999</v>
      </c>
      <c r="L29" s="1">
        <v>0.92649402620010401</v>
      </c>
      <c r="M29" s="1">
        <v>0.444983202683154</v>
      </c>
      <c r="N29" s="1">
        <v>0.75328352221784001</v>
      </c>
      <c r="O29" s="1">
        <v>0.55468918051080696</v>
      </c>
      <c r="P29" s="1">
        <v>0.52103611990112897</v>
      </c>
      <c r="Q29" s="1">
        <v>0.34187002669621502</v>
      </c>
      <c r="R29" s="1">
        <v>0.49129674998533801</v>
      </c>
      <c r="S29" s="1">
        <v>0.398665385910277</v>
      </c>
      <c r="T29" s="1">
        <f t="shared" si="1"/>
        <v>0.628208219972338</v>
      </c>
      <c r="U29" s="3">
        <f t="shared" si="2"/>
        <v>0.18654816776167238</v>
      </c>
      <c r="V29" s="1">
        <f>Table1[[#This Row],[average]]-SQRT(Table1[[#This Row],[stdev]])</f>
        <v>0.19629599768443795</v>
      </c>
    </row>
    <row r="30" spans="1:22" ht="30" customHeight="1">
      <c r="A30" t="s">
        <v>31</v>
      </c>
      <c r="B30" t="str">
        <f>_xlfn.TEXTBEFORE(Table1[[#This Row],[condition]],"-")</f>
        <v>russian</v>
      </c>
      <c r="C30" t="b">
        <f>LEFT(Table1[[#This Row],[encoding]],3)=C$1</f>
        <v>0</v>
      </c>
      <c r="D30" t="b">
        <f>LEFT(Table1[[#This Row],[encoding]],2)=D$1</f>
        <v>0</v>
      </c>
      <c r="E30" t="b">
        <f t="shared" si="0"/>
        <v>1</v>
      </c>
      <c r="F30" t="str">
        <f>_xlfn.TEXTAFTER(Table1[[#This Row],[condition]],"-")</f>
        <v>1g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f t="shared" si="1"/>
        <v>1</v>
      </c>
      <c r="U30" s="3">
        <f t="shared" si="2"/>
        <v>0</v>
      </c>
      <c r="V30" s="1">
        <f>Table1[[#This Row],[average]]-SQRT(Table1[[#This Row],[stdev]])</f>
        <v>1</v>
      </c>
    </row>
    <row r="31" spans="1:22" ht="30" customHeight="1">
      <c r="A31" t="s">
        <v>32</v>
      </c>
      <c r="B31" t="str">
        <f>_xlfn.TEXTBEFORE(Table1[[#This Row],[condition]],"-")</f>
        <v>russian</v>
      </c>
      <c r="C31" t="b">
        <f>LEFT(Table1[[#This Row],[encoding]],3)=C$1</f>
        <v>0</v>
      </c>
      <c r="D31" t="b">
        <f>LEFT(Table1[[#This Row],[encoding]],2)=D$1</f>
        <v>0</v>
      </c>
      <c r="E31" t="b">
        <f t="shared" si="0"/>
        <v>1</v>
      </c>
      <c r="F31" t="str">
        <f>_xlfn.TEXTAFTER(Table1[[#This Row],[condition]],"-")</f>
        <v>2g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f t="shared" si="1"/>
        <v>1</v>
      </c>
      <c r="U31" s="3">
        <f t="shared" si="2"/>
        <v>0</v>
      </c>
      <c r="V31" s="1">
        <f>Table1[[#This Row],[average]]-SQRT(Table1[[#This Row],[stdev]])</f>
        <v>1</v>
      </c>
    </row>
    <row r="32" spans="1:22" ht="30" customHeight="1">
      <c r="A32" t="s">
        <v>33</v>
      </c>
      <c r="B32" t="str">
        <f>_xlfn.TEXTBEFORE(Table1[[#This Row],[condition]],"-")</f>
        <v>russian</v>
      </c>
      <c r="C32" t="b">
        <f>LEFT(Table1[[#This Row],[encoding]],3)=C$1</f>
        <v>0</v>
      </c>
      <c r="D32" t="b">
        <f>LEFT(Table1[[#This Row],[encoding]],2)=D$1</f>
        <v>0</v>
      </c>
      <c r="E32" t="b">
        <f t="shared" si="0"/>
        <v>1</v>
      </c>
      <c r="F32" t="str">
        <f>_xlfn.TEXTAFTER(Table1[[#This Row],[condition]],"-")</f>
        <v>3g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f t="shared" si="1"/>
        <v>1</v>
      </c>
      <c r="U32" s="3">
        <f t="shared" si="2"/>
        <v>0</v>
      </c>
      <c r="V32" s="1">
        <f>Table1[[#This Row],[average]]-SQRT(Table1[[#This Row],[stdev]])</f>
        <v>1</v>
      </c>
    </row>
    <row r="33" spans="1:22" ht="30" customHeight="1">
      <c r="A33" t="s">
        <v>34</v>
      </c>
      <c r="B33" t="str">
        <f>_xlfn.TEXTBEFORE(Table1[[#This Row],[condition]],"-")</f>
        <v>russian</v>
      </c>
      <c r="C33" t="b">
        <f>LEFT(Table1[[#This Row],[encoding]],3)=C$1</f>
        <v>0</v>
      </c>
      <c r="D33" t="b">
        <f>LEFT(Table1[[#This Row],[encoding]],2)=D$1</f>
        <v>1</v>
      </c>
      <c r="E33" t="b">
        <f t="shared" si="0"/>
        <v>0</v>
      </c>
      <c r="F33" t="str">
        <f>_xlfn.TEXTAFTER(Table1[[#This Row],[condition]],"-")</f>
        <v>sk2g</v>
      </c>
      <c r="G33" s="1">
        <v>0.98205467208862196</v>
      </c>
      <c r="H33" s="1">
        <v>0.993283949854179</v>
      </c>
      <c r="I33" s="1">
        <v>0.97466385409424505</v>
      </c>
      <c r="J33" s="1">
        <v>1</v>
      </c>
      <c r="K33" s="1">
        <v>0.99875774863915401</v>
      </c>
      <c r="L33" s="1">
        <v>0.99873733146369303</v>
      </c>
      <c r="M33" s="1">
        <v>1</v>
      </c>
      <c r="N33" s="1">
        <v>1</v>
      </c>
      <c r="O33" s="1">
        <v>1</v>
      </c>
      <c r="P33" s="1">
        <v>0.99046233260439398</v>
      </c>
      <c r="Q33" s="1">
        <v>1</v>
      </c>
      <c r="R33" s="1">
        <v>1</v>
      </c>
      <c r="S33" s="1">
        <v>1</v>
      </c>
      <c r="T33" s="1">
        <f t="shared" si="1"/>
        <v>0.99522768374956061</v>
      </c>
      <c r="U33" s="3">
        <f t="shared" si="2"/>
        <v>8.2010670101841411E-3</v>
      </c>
      <c r="V33" s="1">
        <f>Table1[[#This Row],[average]]-SQRT(Table1[[#This Row],[stdev]])</f>
        <v>0.90466794098168313</v>
      </c>
    </row>
    <row r="34" spans="1:22" ht="30" customHeight="1">
      <c r="A34" t="s">
        <v>35</v>
      </c>
      <c r="B34" t="str">
        <f>_xlfn.TEXTBEFORE(Table1[[#This Row],[condition]],"-")</f>
        <v>russian</v>
      </c>
      <c r="C34" t="b">
        <f>LEFT(Table1[[#This Row],[encoding]],3)=C$1</f>
        <v>0</v>
      </c>
      <c r="D34" t="b">
        <f>LEFT(Table1[[#This Row],[encoding]],2)=D$1</f>
        <v>1</v>
      </c>
      <c r="E34" t="b">
        <f t="shared" si="0"/>
        <v>0</v>
      </c>
      <c r="F34" t="str">
        <f>_xlfn.TEXTAFTER(Table1[[#This Row],[condition]],"-")</f>
        <v>sk3g</v>
      </c>
      <c r="G34" s="1">
        <v>1</v>
      </c>
      <c r="H34" s="1">
        <v>1</v>
      </c>
      <c r="I34" s="1">
        <v>1</v>
      </c>
      <c r="J34" s="1">
        <v>1</v>
      </c>
      <c r="K34" s="1">
        <v>0.99935938080315201</v>
      </c>
      <c r="L34" s="1">
        <v>0.91688233804913599</v>
      </c>
      <c r="M34" s="1">
        <v>1</v>
      </c>
      <c r="N34" s="1">
        <v>1</v>
      </c>
      <c r="O34" s="1">
        <v>1</v>
      </c>
      <c r="P34" s="1">
        <v>0.95887985344470195</v>
      </c>
      <c r="Q34" s="1">
        <v>0.99588458780222799</v>
      </c>
      <c r="R34" s="1">
        <v>0.58578643762690497</v>
      </c>
      <c r="S34" s="1">
        <v>0.666663039030291</v>
      </c>
      <c r="T34" s="1">
        <f t="shared" si="1"/>
        <v>0.93257351051972404</v>
      </c>
      <c r="U34" s="3">
        <f t="shared" si="2"/>
        <v>0.13910453344712745</v>
      </c>
      <c r="V34" s="1">
        <f>Table1[[#This Row],[average]]-SQRT(Table1[[#This Row],[stdev]])</f>
        <v>0.55960630894949559</v>
      </c>
    </row>
    <row r="35" spans="1:22" ht="30" customHeight="1">
      <c r="A35" t="s">
        <v>45</v>
      </c>
      <c r="B35" t="str">
        <f>_xlfn.TEXTBEFORE(Table1[[#This Row],[condition]],"-")</f>
        <v>russian</v>
      </c>
      <c r="C35" t="b">
        <f>LEFT(Table1[[#This Row],[encoding]],3)=C$1</f>
        <v>1</v>
      </c>
      <c r="D35" t="b">
        <f>LEFT(Table1[[#This Row],[encoding]],2)=D$1</f>
        <v>0</v>
      </c>
      <c r="E35" t="b">
        <f t="shared" si="0"/>
        <v>0</v>
      </c>
      <c r="F35" t="str">
        <f>_xlfn.TEXTAFTER(Table1[[#This Row],[condition]],"-")</f>
        <v>xsk2g</v>
      </c>
      <c r="G35" s="1">
        <v>1</v>
      </c>
      <c r="H35" s="1">
        <v>0.99582988006636697</v>
      </c>
      <c r="I35" s="1">
        <v>0.99577520184041202</v>
      </c>
      <c r="J35" s="1">
        <v>0.98545824262596804</v>
      </c>
      <c r="K35" s="1">
        <v>0.99723930726551502</v>
      </c>
      <c r="L35" s="1">
        <v>0.99785214490059804</v>
      </c>
      <c r="M35" s="1">
        <v>0.98668006274969899</v>
      </c>
      <c r="N35" s="1">
        <v>0.94211612286842095</v>
      </c>
      <c r="O35" s="1">
        <v>0.99418966256888897</v>
      </c>
      <c r="P35" s="1">
        <v>1</v>
      </c>
      <c r="Q35" s="1">
        <v>0.99579936073401998</v>
      </c>
      <c r="R35" s="1">
        <v>0.99749987498859205</v>
      </c>
      <c r="S35" s="1">
        <v>0.93101304392921203</v>
      </c>
      <c r="T35" s="1">
        <f t="shared" si="1"/>
        <v>0.98611176188751481</v>
      </c>
      <c r="U35" s="3">
        <f t="shared" si="2"/>
        <v>2.2539364205220628E-2</v>
      </c>
      <c r="V35" s="1">
        <f>Table1[[#This Row],[average]]-SQRT(Table1[[#This Row],[stdev]])</f>
        <v>0.83598060521035933</v>
      </c>
    </row>
    <row r="36" spans="1:22" ht="30" customHeight="1">
      <c r="A36" t="s">
        <v>46</v>
      </c>
      <c r="B36" t="str">
        <f>_xlfn.TEXTBEFORE(Table1[[#This Row],[condition]],"-")</f>
        <v>russian</v>
      </c>
      <c r="C36" t="b">
        <f>LEFT(Table1[[#This Row],[encoding]],3)=C$1</f>
        <v>1</v>
      </c>
      <c r="D36" t="b">
        <f>LEFT(Table1[[#This Row],[encoding]],2)=D$1</f>
        <v>0</v>
      </c>
      <c r="E36" t="b">
        <f t="shared" si="0"/>
        <v>0</v>
      </c>
      <c r="F36" t="str">
        <f>_xlfn.TEXTAFTER(Table1[[#This Row],[condition]],"-")</f>
        <v>xsk3g</v>
      </c>
      <c r="G36" s="1">
        <v>0.99848468265269796</v>
      </c>
      <c r="H36" s="1">
        <v>0.99844687451310099</v>
      </c>
      <c r="I36" s="1">
        <v>0.91505600847388502</v>
      </c>
      <c r="J36" s="1">
        <v>0.97945417228212805</v>
      </c>
      <c r="K36" s="1">
        <v>0.99963436889598201</v>
      </c>
      <c r="L36" s="1">
        <v>0.82114280109273297</v>
      </c>
      <c r="M36" s="1">
        <v>0.98066577369969599</v>
      </c>
      <c r="N36" s="1">
        <v>0.98221105986053103</v>
      </c>
      <c r="O36" s="1">
        <v>0.98351200240552705</v>
      </c>
      <c r="P36" s="1">
        <v>0.83661274169397504</v>
      </c>
      <c r="Q36" s="1">
        <v>0.94259818731117795</v>
      </c>
      <c r="R36" s="1">
        <v>0.99767981438514997</v>
      </c>
      <c r="S36" s="1">
        <v>0.99937888174795697</v>
      </c>
      <c r="T36" s="1">
        <f t="shared" si="1"/>
        <v>0.95652902838573373</v>
      </c>
      <c r="U36" s="3">
        <f t="shared" si="2"/>
        <v>6.1930181551376168E-2</v>
      </c>
      <c r="V36" s="1">
        <f>Table1[[#This Row],[average]]-SQRT(Table1[[#This Row],[stdev]])</f>
        <v>0.70767127473643276</v>
      </c>
    </row>
    <row r="39" spans="1:22" ht="30" customHeight="1">
      <c r="F39" t="s">
        <v>53</v>
      </c>
      <c r="G39" s="2">
        <f>_xlfn.LET(_xlpm.d,G$2:G$36,AVERAGE(_xlpm.d))</f>
        <v>0.85974368502371967</v>
      </c>
      <c r="H39" s="2">
        <f t="shared" ref="H39:T39" si="3">_xlfn.LET(_xlpm.d,H$2:H$36,AVERAGE(_xlpm.d))</f>
        <v>0.84092800101971488</v>
      </c>
      <c r="I39" s="2">
        <f t="shared" si="3"/>
        <v>0.79286529616703283</v>
      </c>
      <c r="J39" s="2">
        <f t="shared" si="3"/>
        <v>0.78096781665588377</v>
      </c>
      <c r="K39" s="2">
        <f t="shared" si="3"/>
        <v>0.7599894657183156</v>
      </c>
      <c r="L39" s="2">
        <f t="shared" si="3"/>
        <v>0.71978512523615712</v>
      </c>
      <c r="M39" s="2">
        <f t="shared" si="3"/>
        <v>0.73741663128881818</v>
      </c>
      <c r="N39" s="2">
        <f t="shared" si="3"/>
        <v>0.72448982982536303</v>
      </c>
      <c r="O39" s="2">
        <f t="shared" si="3"/>
        <v>0.68849020705189234</v>
      </c>
      <c r="P39" s="2">
        <f t="shared" si="3"/>
        <v>0.67984928243222542</v>
      </c>
      <c r="Q39" s="2">
        <f t="shared" si="3"/>
        <v>0.66627125699857659</v>
      </c>
      <c r="R39" s="2">
        <f t="shared" si="3"/>
        <v>0.66624755007816072</v>
      </c>
      <c r="S39" s="2">
        <f t="shared" si="3"/>
        <v>0.62507970808846725</v>
      </c>
      <c r="T39" s="2">
        <f t="shared" si="3"/>
        <v>0.73400952735264069</v>
      </c>
      <c r="U39">
        <f>_xlfn.LET(_xlpm.d,$G39:$S39,STDEV(_xlpm.d))</f>
        <v>7.0675579053744872E-2</v>
      </c>
    </row>
    <row r="40" spans="1:22" ht="30" customHeight="1">
      <c r="F40" t="s">
        <v>60</v>
      </c>
      <c r="G40" s="2">
        <f>_xlfn.LET(_xlpm.d,G$2:G$36,_xlpm.f,$E$2:$E$36,AVERAGE(_xlfn._xlws.FILTER(_xlpm.d,_xlpm.f)))</f>
        <v>0.87256711747013682</v>
      </c>
      <c r="H40" s="2">
        <f t="shared" ref="H40:T40" si="4">_xlfn.LET(_xlpm.d,H$2:H$36,_xlpm.f,$E$2:$E$36,AVERAGE(_xlfn._xlws.FILTER(_xlpm.d,_xlpm.f)))</f>
        <v>0.84744741438979543</v>
      </c>
      <c r="I40" s="2">
        <f t="shared" si="4"/>
        <v>0.80097578712112705</v>
      </c>
      <c r="J40" s="2">
        <f t="shared" si="4"/>
        <v>0.79485616440592621</v>
      </c>
      <c r="K40" s="2">
        <f t="shared" si="4"/>
        <v>0.75697461897053053</v>
      </c>
      <c r="L40" s="2">
        <f t="shared" si="4"/>
        <v>0.73794676591142028</v>
      </c>
      <c r="M40" s="2">
        <f t="shared" si="4"/>
        <v>0.72945651418141921</v>
      </c>
      <c r="N40" s="2">
        <f t="shared" si="4"/>
        <v>0.71098692995075363</v>
      </c>
      <c r="O40" s="2">
        <f t="shared" si="4"/>
        <v>0.66919033492737534</v>
      </c>
      <c r="P40" s="2">
        <f t="shared" si="4"/>
        <v>0.66590798557130548</v>
      </c>
      <c r="Q40" s="2">
        <f t="shared" si="4"/>
        <v>0.71061870750212586</v>
      </c>
      <c r="R40" s="2">
        <f t="shared" si="4"/>
        <v>0.63190417167294344</v>
      </c>
      <c r="S40" s="2">
        <f t="shared" si="4"/>
        <v>0.61726560012921694</v>
      </c>
      <c r="T40" s="2">
        <f t="shared" si="4"/>
        <v>0.73431523940031351</v>
      </c>
      <c r="U40">
        <f t="shared" ref="U40:U42" si="5">_xlfn.LET(_xlpm.d,$G40:$S40,STDEV(_xlpm.d))</f>
        <v>7.8944459252526536E-2</v>
      </c>
    </row>
    <row r="41" spans="1:22" ht="30" customHeight="1">
      <c r="F41" t="s">
        <v>51</v>
      </c>
      <c r="G41" s="2">
        <f>_xlfn.LET(_xlpm.d,G$2:G$36,_xlpm.f,$D$2:$D$36,AVERAGE(_xlfn._xlws.FILTER(_xlpm.d,_xlpm.f)))</f>
        <v>0.87103239105604013</v>
      </c>
      <c r="H41" s="2">
        <f t="shared" ref="H41:T41" si="6">_xlfn.LET(_xlpm.d,H$2:H$36,_xlpm.f,$D$2:$D$36,AVERAGE(_xlfn._xlws.FILTER(_xlpm.d,_xlpm.f)))</f>
        <v>0.80626499345929048</v>
      </c>
      <c r="I41" s="2">
        <f t="shared" si="6"/>
        <v>0.74703228347010486</v>
      </c>
      <c r="J41" s="2">
        <f t="shared" si="6"/>
        <v>0.76447306880841071</v>
      </c>
      <c r="K41" s="2">
        <f t="shared" si="6"/>
        <v>0.75370591547629973</v>
      </c>
      <c r="L41" s="2">
        <f t="shared" si="6"/>
        <v>0.69663279556694724</v>
      </c>
      <c r="M41" s="2">
        <f t="shared" si="6"/>
        <v>0.78293371682492541</v>
      </c>
      <c r="N41" s="2">
        <f t="shared" si="6"/>
        <v>0.71267918551585963</v>
      </c>
      <c r="O41" s="2">
        <f t="shared" si="6"/>
        <v>0.71050560036085797</v>
      </c>
      <c r="P41" s="2">
        <f t="shared" si="6"/>
        <v>0.68283743514530337</v>
      </c>
      <c r="Q41" s="2">
        <f t="shared" si="6"/>
        <v>0.64532075266190891</v>
      </c>
      <c r="R41" s="2">
        <f t="shared" si="6"/>
        <v>0.6722540314489055</v>
      </c>
      <c r="S41" s="2">
        <f t="shared" si="6"/>
        <v>0.60213211399258382</v>
      </c>
      <c r="T41" s="2">
        <f t="shared" si="6"/>
        <v>0.72675417567595679</v>
      </c>
      <c r="U41">
        <f t="shared" si="5"/>
        <v>7.1463891117421977E-2</v>
      </c>
    </row>
    <row r="42" spans="1:22" ht="30" customHeight="1">
      <c r="F42" t="s">
        <v>50</v>
      </c>
      <c r="G42" s="2">
        <f>_xlfn.LET(_xlpm.d,G$2:G$36,_xlpm.f,$C$2:$C$36,AVERAGE(_xlfn._xlws.FILTER(_xlpm.d,_xlpm.f)))</f>
        <v>0.8292198303217736</v>
      </c>
      <c r="H42" s="2">
        <f t="shared" ref="H42:T42" si="7">_xlfn.LET(_xlpm.d,H$2:H$36,_xlpm.f,$C$2:$C$36,AVERAGE(_xlfn._xlws.FILTER(_xlpm.d,_xlpm.f)))</f>
        <v>0.86581188852501856</v>
      </c>
      <c r="I42" s="2">
        <f t="shared" si="7"/>
        <v>0.82653257243281986</v>
      </c>
      <c r="J42" s="2">
        <f t="shared" si="7"/>
        <v>0.77663004287829307</v>
      </c>
      <c r="K42" s="2">
        <f t="shared" si="7"/>
        <v>0.77079528608200876</v>
      </c>
      <c r="L42" s="2">
        <f t="shared" si="7"/>
        <v>0.7156949938924726</v>
      </c>
      <c r="M42" s="2">
        <f t="shared" si="7"/>
        <v>0.70383972141380968</v>
      </c>
      <c r="N42" s="2">
        <f t="shared" si="7"/>
        <v>0.75655482394678064</v>
      </c>
      <c r="O42" s="2">
        <f t="shared" si="7"/>
        <v>0.69542462192970222</v>
      </c>
      <c r="P42" s="2">
        <f t="shared" si="7"/>
        <v>0.69777307501052677</v>
      </c>
      <c r="Q42" s="2">
        <f t="shared" si="7"/>
        <v>0.62070058557992169</v>
      </c>
      <c r="R42" s="2">
        <f t="shared" si="7"/>
        <v>0.71175613631524193</v>
      </c>
      <c r="S42" s="2">
        <f t="shared" si="7"/>
        <v>0.65974846412322619</v>
      </c>
      <c r="T42" s="2">
        <f t="shared" si="7"/>
        <v>0.74080631095781491</v>
      </c>
      <c r="U42">
        <f t="shared" si="5"/>
        <v>7.1280646815930784E-2</v>
      </c>
    </row>
    <row r="44" spans="1:22" ht="30" customHeight="1">
      <c r="F44" t="s">
        <v>53</v>
      </c>
      <c r="G44" s="2">
        <f>_xlfn.LET(_xlpm.d,G$2:G$36,AVERAGE(_xlpm.d))</f>
        <v>0.85974368502371967</v>
      </c>
      <c r="H44" s="2">
        <f t="shared" ref="H44:T44" si="8">_xlfn.LET(_xlpm.d,H$2:H$36,AVERAGE(_xlpm.d))</f>
        <v>0.84092800101971488</v>
      </c>
      <c r="I44" s="2">
        <f t="shared" si="8"/>
        <v>0.79286529616703283</v>
      </c>
      <c r="J44" s="2">
        <f t="shared" si="8"/>
        <v>0.78096781665588377</v>
      </c>
      <c r="K44" s="2">
        <f t="shared" si="8"/>
        <v>0.7599894657183156</v>
      </c>
      <c r="L44" s="2">
        <f t="shared" si="8"/>
        <v>0.71978512523615712</v>
      </c>
      <c r="M44" s="2">
        <f t="shared" si="8"/>
        <v>0.73741663128881818</v>
      </c>
      <c r="N44" s="2">
        <f t="shared" si="8"/>
        <v>0.72448982982536303</v>
      </c>
      <c r="O44" s="2">
        <f t="shared" si="8"/>
        <v>0.68849020705189234</v>
      </c>
      <c r="P44" s="2">
        <f t="shared" si="8"/>
        <v>0.67984928243222542</v>
      </c>
      <c r="Q44" s="2">
        <f t="shared" si="8"/>
        <v>0.66627125699857659</v>
      </c>
      <c r="R44" s="2">
        <f t="shared" si="8"/>
        <v>0.66624755007816072</v>
      </c>
      <c r="S44" s="2">
        <f t="shared" si="8"/>
        <v>0.62507970808846725</v>
      </c>
      <c r="T44" s="2">
        <f t="shared" si="8"/>
        <v>0.73400952735264069</v>
      </c>
    </row>
    <row r="45" spans="1:22" ht="30" customHeight="1">
      <c r="F45" t="s">
        <v>54</v>
      </c>
      <c r="G45" s="2" cm="1">
        <f t="array" ref="G45">_xlfn.LET(_xlpm.d,G$2:G$36,_xlpm.f,$B$2:$B$36,AVERAGE(_xlfn._xlws.FILTER(_xlpm.d,_xlpm.f=$F45)))</f>
        <v>0.99959466352726056</v>
      </c>
      <c r="H45" s="2" cm="1">
        <f t="array" ref="H45">_xlfn.LET(_xlpm.d,H$2:H$36,_xlpm.f,$B$2:$B$36,AVERAGE(_xlfn._xlws.FILTER(_xlpm.d,_xlpm.f=$F45)))</f>
        <v>0.99833275640603458</v>
      </c>
      <c r="I45" s="2" cm="1">
        <f t="array" ref="I45">_xlfn.LET(_xlpm.d,I$2:I$36,_xlpm.f,$B$2:$B$36,AVERAGE(_xlfn._xlws.FILTER(_xlpm.d,_xlpm.f=$F45)))</f>
        <v>0.99948882428998032</v>
      </c>
      <c r="J45" s="2" cm="1">
        <f t="array" ref="J45">_xlfn.LET(_xlpm.d,J$2:J$36,_xlpm.f,$B$2:$B$36,AVERAGE(_xlfn._xlws.FILTER(_xlpm.d,_xlpm.f=$F45)))</f>
        <v>0.99995620539070162</v>
      </c>
      <c r="K45" s="2" cm="1">
        <f t="array" ref="K45">_xlfn.LET(_xlpm.d,K$2:K$36,_xlpm.f,$B$2:$B$36,AVERAGE(_xlfn._xlws.FILTER(_xlpm.d,_xlpm.f=$F45)))</f>
        <v>0.9922238592556919</v>
      </c>
      <c r="L45" s="2" cm="1">
        <f t="array" ref="L45">_xlfn.LET(_xlpm.d,L$2:L$36,_xlpm.f,$B$2:$B$36,AVERAGE(_xlfn._xlws.FILTER(_xlpm.d,_xlpm.f=$F45)))</f>
        <v>0.99641589136093955</v>
      </c>
      <c r="M45" s="2" cm="1">
        <f t="array" ref="M45">_xlfn.LET(_xlpm.d,M$2:M$36,_xlpm.f,$B$2:$B$36,AVERAGE(_xlfn._xlws.FILTER(_xlpm.d,_xlpm.f=$F45)))</f>
        <v>0.99911214023811756</v>
      </c>
      <c r="N45" s="2" cm="1">
        <f t="array" ref="N45">_xlfn.LET(_xlpm.d,N$2:N$36,_xlpm.f,$B$2:$B$36,AVERAGE(_xlfn._xlws.FILTER(_xlpm.d,_xlpm.f=$F45)))</f>
        <v>0.99512637226193168</v>
      </c>
      <c r="O45" s="2" cm="1">
        <f t="array" ref="O45">_xlfn.LET(_xlpm.d,O$2:O$36,_xlpm.f,$B$2:$B$36,AVERAGE(_xlfn._xlws.FILTER(_xlpm.d,_xlpm.f=$F45)))</f>
        <v>0.99750945275441516</v>
      </c>
      <c r="P45" s="2" cm="1">
        <f t="array" ref="P45">_xlfn.LET(_xlpm.d,P$2:P$36,_xlpm.f,$B$2:$B$36,AVERAGE(_xlfn._xlws.FILTER(_xlpm.d,_xlpm.f=$F45)))</f>
        <v>1</v>
      </c>
      <c r="Q45" s="2" cm="1">
        <f t="array" ref="Q45">_xlfn.LET(_xlpm.d,Q$2:Q$36,_xlpm.f,$B$2:$B$36,AVERAGE(_xlfn._xlws.FILTER(_xlpm.d,_xlpm.f=$F45)))</f>
        <v>1</v>
      </c>
      <c r="R45" s="2" cm="1">
        <f t="array" ref="R45">_xlfn.LET(_xlpm.d,R$2:R$36,_xlpm.f,$B$2:$B$36,AVERAGE(_xlfn._xlws.FILTER(_xlpm.d,_xlpm.f=$F45)))</f>
        <v>0.97547717116407362</v>
      </c>
      <c r="S45" s="2" cm="1">
        <f t="array" ref="S45">_xlfn.LET(_xlpm.d,S$2:S$36,_xlpm.f,$B$2:$B$36,AVERAGE(_xlfn._xlws.FILTER(_xlpm.d,_xlpm.f=$F45)))</f>
        <v>0.97818438590592682</v>
      </c>
      <c r="T45" s="2" cm="1">
        <f t="array" ref="T45">_xlfn.LET(_xlpm.d,T$2:T$36,_xlpm.f,$B$2:$B$36,AVERAGE(_xlfn._xlws.FILTER(_xlpm.d,_xlpm.f=$F45)))</f>
        <v>0.99472474788885179</v>
      </c>
    </row>
    <row r="46" spans="1:22" ht="30" customHeight="1">
      <c r="F46" t="s">
        <v>55</v>
      </c>
      <c r="G46" s="2" cm="1">
        <f t="array" ref="G46">_xlfn.LET(_xlpm.d,G$2:G$36,_xlpm.f,$B$2:$B$36,AVERAGE(_xlfn._xlws.FILTER(_xlpm.d,_xlpm.f=$F46)))</f>
        <v>0.81310754152770937</v>
      </c>
      <c r="H46" s="2" cm="1">
        <f t="array" ref="H46">_xlfn.LET(_xlpm.d,H$2:H$36,_xlpm.f,$B$2:$B$36,AVERAGE(_xlfn._xlws.FILTER(_xlpm.d,_xlpm.f=$F46)))</f>
        <v>0.7906141333771286</v>
      </c>
      <c r="I46" s="2" cm="1">
        <f t="array" ref="I46">_xlfn.LET(_xlpm.d,I$2:I$36,_xlpm.f,$B$2:$B$36,AVERAGE(_xlfn._xlws.FILTER(_xlpm.d,_xlpm.f=$F46)))</f>
        <v>0.73863995854126008</v>
      </c>
      <c r="J46" s="2" cm="1">
        <f t="array" ref="J46">_xlfn.LET(_xlpm.d,J$2:J$36,_xlpm.f,$B$2:$B$36,AVERAGE(_xlfn._xlws.FILTER(_xlpm.d,_xlpm.f=$F46)))</f>
        <v>0.67867323987512207</v>
      </c>
      <c r="K46" s="2" cm="1">
        <f t="array" ref="K46">_xlfn.LET(_xlpm.d,K$2:K$36,_xlpm.f,$B$2:$B$36,AVERAGE(_xlfn._xlws.FILTER(_xlpm.d,_xlpm.f=$F46)))</f>
        <v>0.6505783225429137</v>
      </c>
      <c r="L46" s="2" cm="1">
        <f t="array" ref="L46">_xlfn.LET(_xlpm.d,L$2:L$36,_xlpm.f,$B$2:$B$36,AVERAGE(_xlfn._xlws.FILTER(_xlpm.d,_xlpm.f=$F46)))</f>
        <v>0.57717237124347387</v>
      </c>
      <c r="M46" s="2" cm="1">
        <f t="array" ref="M46">_xlfn.LET(_xlpm.d,M$2:M$36,_xlpm.f,$B$2:$B$36,AVERAGE(_xlfn._xlws.FILTER(_xlpm.d,_xlpm.f=$F46)))</f>
        <v>0.62591414002547585</v>
      </c>
      <c r="N46" s="2" cm="1">
        <f t="array" ref="N46">_xlfn.LET(_xlpm.d,N$2:N$36,_xlpm.f,$B$2:$B$36,AVERAGE(_xlfn._xlws.FILTER(_xlpm.d,_xlpm.f=$F46)))</f>
        <v>0.56128627199295844</v>
      </c>
      <c r="O46" s="2" cm="1">
        <f t="array" ref="O46">_xlfn.LET(_xlpm.d,O$2:O$36,_xlpm.f,$B$2:$B$36,AVERAGE(_xlfn._xlws.FILTER(_xlpm.d,_xlpm.f=$F46)))</f>
        <v>0.50103561314246514</v>
      </c>
      <c r="P46" s="2" cm="1">
        <f t="array" ref="P46">_xlfn.LET(_xlpm.d,P$2:P$36,_xlpm.f,$B$2:$B$36,AVERAGE(_xlfn._xlws.FILTER(_xlpm.d,_xlpm.f=$F46)))</f>
        <v>0.5240038073268779</v>
      </c>
      <c r="Q46" s="2" cm="1">
        <f t="array" ref="Q46">_xlfn.LET(_xlpm.d,Q$2:Q$36,_xlpm.f,$B$2:$B$36,AVERAGE(_xlfn._xlws.FILTER(_xlpm.d,_xlpm.f=$F46)))</f>
        <v>0.51852636688787668</v>
      </c>
      <c r="R46" s="2" cm="1">
        <f t="array" ref="R46">_xlfn.LET(_xlpm.d,R$2:R$36,_xlpm.f,$B$2:$B$36,AVERAGE(_xlfn._xlws.FILTER(_xlpm.d,_xlpm.f=$F46)))</f>
        <v>0.51179541681685803</v>
      </c>
      <c r="S46" s="2" cm="1">
        <f t="array" ref="S46">_xlfn.LET(_xlpm.d,S$2:S$36,_xlpm.f,$B$2:$B$36,AVERAGE(_xlfn._xlws.FILTER(_xlpm.d,_xlpm.f=$F46)))</f>
        <v>0.45683837805458494</v>
      </c>
      <c r="T46" s="2" cm="1">
        <f t="array" ref="T46">_xlfn.LET(_xlpm.d,T$2:T$36,_xlpm.f,$B$2:$B$36,AVERAGE(_xlfn._xlws.FILTER(_xlpm.d,_xlpm.f=$F46)))</f>
        <v>0.61139888933497721</v>
      </c>
    </row>
    <row r="47" spans="1:22" ht="30" customHeight="1">
      <c r="F47" t="s">
        <v>56</v>
      </c>
      <c r="G47" s="2" cm="1">
        <f t="array" ref="G47">_xlfn.LET(_xlpm.d,G$2:G$36,_xlpm.f,$B$2:$B$36,AVERAGE(_xlfn._xlws.FILTER(_xlpm.d,_xlpm.f=$F47)))</f>
        <v>0.73466434247867995</v>
      </c>
      <c r="H47" s="2" cm="1">
        <f t="array" ref="H47">_xlfn.LET(_xlpm.d,H$2:H$36,_xlpm.f,$B$2:$B$36,AVERAGE(_xlfn._xlws.FILTER(_xlpm.d,_xlpm.f=$F47)))</f>
        <v>0.71366722924076853</v>
      </c>
      <c r="I47" s="2" cm="1">
        <f t="array" ref="I47">_xlfn.LET(_xlpm.d,I$2:I$36,_xlpm.f,$B$2:$B$36,AVERAGE(_xlfn._xlws.FILTER(_xlpm.d,_xlpm.f=$F47)))</f>
        <v>0.65936417154848603</v>
      </c>
      <c r="J47" s="2" cm="1">
        <f t="array" ref="J47">_xlfn.LET(_xlpm.d,J$2:J$36,_xlpm.f,$B$2:$B$36,AVERAGE(_xlfn._xlws.FILTER(_xlpm.d,_xlpm.f=$F47)))</f>
        <v>0.62761813476325756</v>
      </c>
      <c r="K47" s="2" cm="1">
        <f t="array" ref="K47">_xlfn.LET(_xlpm.d,K$2:K$36,_xlpm.f,$B$2:$B$36,AVERAGE(_xlfn._xlws.FILTER(_xlpm.d,_xlpm.f=$F47)))</f>
        <v>0.57610018398955243</v>
      </c>
      <c r="L47" s="2" cm="1">
        <f t="array" ref="L47">_xlfn.LET(_xlpm.d,L$2:L$36,_xlpm.f,$B$2:$B$36,AVERAGE(_xlfn._xlws.FILTER(_xlpm.d,_xlpm.f=$F47)))</f>
        <v>0.50111780854682197</v>
      </c>
      <c r="M47" s="2" cm="1">
        <f t="array" ref="M47">_xlfn.LET(_xlpm.d,M$2:M$36,_xlpm.f,$B$2:$B$36,AVERAGE(_xlfn._xlws.FILTER(_xlpm.d,_xlpm.f=$F47)))</f>
        <v>0.58873967201707633</v>
      </c>
      <c r="N47" s="2" cm="1">
        <f t="array" ref="N47">_xlfn.LET(_xlpm.d,N$2:N$36,_xlpm.f,$B$2:$B$36,AVERAGE(_xlfn._xlws.FILTER(_xlpm.d,_xlpm.f=$F47)))</f>
        <v>0.48075972966778274</v>
      </c>
      <c r="O47" s="2" cm="1">
        <f t="array" ref="O47">_xlfn.LET(_xlpm.d,O$2:O$36,_xlpm.f,$B$2:$B$36,AVERAGE(_xlfn._xlws.FILTER(_xlpm.d,_xlpm.f=$F47)))</f>
        <v>0.47907868349874377</v>
      </c>
      <c r="P47" s="2" cm="1">
        <f t="array" ref="P47">_xlfn.LET(_xlpm.d,P$2:P$36,_xlpm.f,$B$2:$B$36,AVERAGE(_xlfn._xlws.FILTER(_xlpm.d,_xlpm.f=$F47)))</f>
        <v>0.46312101440845443</v>
      </c>
      <c r="Q47" s="2" cm="1">
        <f t="array" ref="Q47">_xlfn.LET(_xlpm.d,Q$2:Q$36,_xlpm.f,$B$2:$B$36,AVERAGE(_xlfn._xlws.FILTER(_xlpm.d,_xlpm.f=$F47)))</f>
        <v>0.39656467376615423</v>
      </c>
      <c r="R47" s="2" cm="1">
        <f t="array" ref="R47">_xlfn.LET(_xlpm.d,R$2:R$36,_xlpm.f,$B$2:$B$36,AVERAGE(_xlfn._xlws.FILTER(_xlpm.d,_xlpm.f=$F47)))</f>
        <v>0.41480287430520341</v>
      </c>
      <c r="S47" s="2" cm="1">
        <f t="array" ref="S47">_xlfn.LET(_xlpm.d,S$2:S$36,_xlpm.f,$B$2:$B$36,AVERAGE(_xlfn._xlws.FILTER(_xlpm.d,_xlpm.f=$F47)))</f>
        <v>0.37981211864464176</v>
      </c>
      <c r="T47" s="2" cm="1">
        <f t="array" ref="T47">_xlfn.LET(_xlpm.d,T$2:T$36,_xlpm.f,$B$2:$B$36,AVERAGE(_xlfn._xlws.FILTER(_xlpm.d,_xlpm.f=$F47)))</f>
        <v>0.53964697206735568</v>
      </c>
    </row>
    <row r="48" spans="1:22" ht="30" customHeight="1">
      <c r="F48" t="s">
        <v>57</v>
      </c>
      <c r="G48" s="2" cm="1">
        <f t="array" ref="G48">_xlfn.LET(_xlpm.d,G$2:G$36,_xlpm.f,$B$2:$B$36,AVERAGE(_xlfn._xlws.FILTER(_xlpm.d,_xlpm.f=$F48)))</f>
        <v>0.75413196976476005</v>
      </c>
      <c r="H48" s="2" cm="1">
        <f t="array" ref="H48">_xlfn.LET(_xlpm.d,H$2:H$36,_xlpm.f,$B$2:$B$36,AVERAGE(_xlfn._xlws.FILTER(_xlpm.d,_xlpm.f=$F48)))</f>
        <v>0.7038029282984074</v>
      </c>
      <c r="I48" s="2" cm="1">
        <f t="array" ref="I48">_xlfn.LET(_xlpm.d,I$2:I$36,_xlpm.f,$B$2:$B$36,AVERAGE(_xlfn._xlws.FILTER(_xlpm.d,_xlpm.f=$F48)))</f>
        <v>0.58319137439707514</v>
      </c>
      <c r="J48" s="2" cm="1">
        <f t="array" ref="J48">_xlfn.LET(_xlpm.d,J$2:J$36,_xlpm.f,$B$2:$B$36,AVERAGE(_xlfn._xlws.FILTER(_xlpm.d,_xlpm.f=$F48)))</f>
        <v>0.60360401540632402</v>
      </c>
      <c r="K48" s="2" cm="1">
        <f t="array" ref="K48">_xlfn.LET(_xlpm.d,K$2:K$36,_xlpm.f,$B$2:$B$36,AVERAGE(_xlfn._xlws.FILTER(_xlpm.d,_xlpm.f=$F48)))</f>
        <v>0.58176056200287629</v>
      </c>
      <c r="L48" s="2" cm="1">
        <f t="array" ref="L48">_xlfn.LET(_xlpm.d,L$2:L$36,_xlpm.f,$B$2:$B$36,AVERAGE(_xlfn._xlws.FILTER(_xlpm.d,_xlpm.f=$F48)))</f>
        <v>0.56213175281438488</v>
      </c>
      <c r="M48" s="2" cm="1">
        <f t="array" ref="M48">_xlfn.LET(_xlpm.d,M$2:M$36,_xlpm.f,$B$2:$B$36,AVERAGE(_xlfn._xlws.FILTER(_xlpm.d,_xlpm.f=$F48)))</f>
        <v>0.47798208467065073</v>
      </c>
      <c r="N48" s="2" cm="1">
        <f t="array" ref="N48">_xlfn.LET(_xlpm.d,N$2:N$36,_xlpm.f,$B$2:$B$36,AVERAGE(_xlfn._xlws.FILTER(_xlpm.d,_xlpm.f=$F48)))</f>
        <v>0.59608717767143482</v>
      </c>
      <c r="O48" s="2" cm="1">
        <f t="array" ref="O48">_xlfn.LET(_xlpm.d,O$2:O$36,_xlpm.f,$B$2:$B$36,AVERAGE(_xlfn._xlws.FILTER(_xlpm.d,_xlpm.f=$F48)))</f>
        <v>0.4680127622960642</v>
      </c>
      <c r="P48" s="2" cm="1">
        <f t="array" ref="P48">_xlfn.LET(_xlpm.d,P$2:P$36,_xlpm.f,$B$2:$B$36,AVERAGE(_xlfn._xlws.FILTER(_xlpm.d,_xlpm.f=$F48)))</f>
        <v>0.44269945789107001</v>
      </c>
      <c r="Q48" s="2" cm="1">
        <f t="array" ref="Q48">_xlfn.LET(_xlpm.d,Q$2:Q$36,_xlpm.f,$B$2:$B$36,AVERAGE(_xlfn._xlws.FILTER(_xlpm.d,_xlpm.f=$F48)))</f>
        <v>0.42565351064636375</v>
      </c>
      <c r="R48" s="2" cm="1">
        <f t="array" ref="R48">_xlfn.LET(_xlpm.d,R$2:R$36,_xlpm.f,$B$2:$B$36,AVERAGE(_xlfn._xlws.FILTER(_xlpm.d,_xlpm.f=$F48)))</f>
        <v>0.48902426996171894</v>
      </c>
      <c r="S48" s="2" cm="1">
        <f t="array" ref="S48">_xlfn.LET(_xlpm.d,S$2:S$36,_xlpm.f,$B$2:$B$36,AVERAGE(_xlfn._xlws.FILTER(_xlpm.d,_xlpm.f=$F48)))</f>
        <v>0.36812723430754563</v>
      </c>
      <c r="T48" s="2" cm="1">
        <f t="array" ref="T48">_xlfn.LET(_xlpm.d,T$2:T$36,_xlpm.f,$B$2:$B$36,AVERAGE(_xlfn._xlws.FILTER(_xlpm.d,_xlpm.f=$F48)))</f>
        <v>0.54278531539451358</v>
      </c>
    </row>
    <row r="49" spans="6:20" ht="30" customHeight="1">
      <c r="F49" t="s">
        <v>58</v>
      </c>
      <c r="G49" s="2" cm="1">
        <f t="array" ref="G49">_xlfn.LET(_xlpm.d,G$2:G$36,_xlpm.f,$B$2:$B$36,AVERAGE(_xlfn._xlws.FILTER(_xlpm.d,_xlpm.f=$F49)))</f>
        <v>0.99721990782018854</v>
      </c>
      <c r="H49" s="2" cm="1">
        <f t="array" ref="H49">_xlfn.LET(_xlpm.d,H$2:H$36,_xlpm.f,$B$2:$B$36,AVERAGE(_xlfn._xlws.FILTER(_xlpm.d,_xlpm.f=$F49)))</f>
        <v>0.99822295777623538</v>
      </c>
      <c r="I49" s="2" cm="1">
        <f t="array" ref="I49">_xlfn.LET(_xlpm.d,I$2:I$36,_xlpm.f,$B$2:$B$36,AVERAGE(_xlfn._xlws.FILTER(_xlpm.d,_xlpm.f=$F49)))</f>
        <v>0.98364215205836325</v>
      </c>
      <c r="J49" s="2" cm="1">
        <f t="array" ref="J49">_xlfn.LET(_xlpm.d,J$2:J$36,_xlpm.f,$B$2:$B$36,AVERAGE(_xlfn._xlws.FILTER(_xlpm.d,_xlpm.f=$F49)))</f>
        <v>0.99498748784401359</v>
      </c>
      <c r="K49" s="2" cm="1">
        <f t="array" ref="K49">_xlfn.LET(_xlpm.d,K$2:K$36,_xlpm.f,$B$2:$B$36,AVERAGE(_xlfn._xlws.FILTER(_xlpm.d,_xlpm.f=$F49)))</f>
        <v>0.99928440080054326</v>
      </c>
      <c r="L49" s="2" cm="1">
        <f t="array" ref="L49">_xlfn.LET(_xlpm.d,L$2:L$36,_xlpm.f,$B$2:$B$36,AVERAGE(_xlfn._xlws.FILTER(_xlpm.d,_xlpm.f=$F49)))</f>
        <v>0.96208780221516566</v>
      </c>
      <c r="M49" s="2" cm="1">
        <f t="array" ref="M49">_xlfn.LET(_xlpm.d,M$2:M$36,_xlpm.f,$B$2:$B$36,AVERAGE(_xlfn._xlws.FILTER(_xlpm.d,_xlpm.f=$F49)))</f>
        <v>0.99533511949277076</v>
      </c>
      <c r="N49" s="2" cm="1">
        <f t="array" ref="N49">_xlfn.LET(_xlpm.d,N$2:N$36,_xlpm.f,$B$2:$B$36,AVERAGE(_xlfn._xlws.FILTER(_xlpm.d,_xlpm.f=$F49)))</f>
        <v>0.98918959753270741</v>
      </c>
      <c r="O49" s="2" cm="1">
        <f t="array" ref="O49">_xlfn.LET(_xlpm.d,O$2:O$36,_xlpm.f,$B$2:$B$36,AVERAGE(_xlfn._xlws.FILTER(_xlpm.d,_xlpm.f=$F49)))</f>
        <v>0.99681452356777378</v>
      </c>
      <c r="P49" s="2" cm="1">
        <f t="array" ref="P49">_xlfn.LET(_xlpm.d,P$2:P$36,_xlpm.f,$B$2:$B$36,AVERAGE(_xlfn._xlws.FILTER(_xlpm.d,_xlpm.f=$F49)))</f>
        <v>0.96942213253472442</v>
      </c>
      <c r="Q49" s="2" cm="1">
        <f t="array" ref="Q49">_xlfn.LET(_xlpm.d,Q$2:Q$36,_xlpm.f,$B$2:$B$36,AVERAGE(_xlfn._xlws.FILTER(_xlpm.d,_xlpm.f=$F49)))</f>
        <v>0.99061173369248956</v>
      </c>
      <c r="R49" s="2" cm="1">
        <f t="array" ref="R49">_xlfn.LET(_xlpm.d,R$2:R$36,_xlpm.f,$B$2:$B$36,AVERAGE(_xlfn._xlws.FILTER(_xlpm.d,_xlpm.f=$F49)))</f>
        <v>0.94013801814294962</v>
      </c>
      <c r="S49" s="2" cm="1">
        <f t="array" ref="S49">_xlfn.LET(_xlpm.d,S$2:S$36,_xlpm.f,$B$2:$B$36,AVERAGE(_xlfn._xlws.FILTER(_xlpm.d,_xlpm.f=$F49)))</f>
        <v>0.94243642352963719</v>
      </c>
      <c r="T49" s="2" cm="1">
        <f t="array" ref="T49">_xlfn.LET(_xlpm.d,T$2:T$36,_xlpm.f,$B$2:$B$36,AVERAGE(_xlfn._xlws.FILTER(_xlpm.d,_xlpm.f=$F49)))</f>
        <v>0.98149171207750474</v>
      </c>
    </row>
  </sheetData>
  <phoneticPr fontId="1" type="noConversion"/>
  <conditionalFormatting sqref="G2:S36">
    <cfRule type="colorScale" priority="8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9:T42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4:T49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V2:V3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aNA.simple.xsk-free</vt:lpstr>
      <vt:lpstr>aNA.simple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2025-09-10T05:42:40Z</dcterms:modified>
  <cp:category/>
</cp:coreProperties>
</file>