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owk/Dropbox (Personal)/GitHub/self-supervised-word-classification/results/spell/AEFGR/comparisons/lda(labeled)/"/>
    </mc:Choice>
  </mc:AlternateContent>
  <xr:revisionPtr revIDLastSave="0" documentId="13_ncr:1_{EE87103D-3CE7-9745-BE2D-3FDDFC8D05B4}" xr6:coauthVersionLast="47" xr6:coauthVersionMax="47" xr10:uidLastSave="{00000000-0000-0000-0000-000000000000}"/>
  <bookViews>
    <workbookView xWindow="6580" yWindow="2280" windowWidth="30680" windowHeight="18240" xr2:uid="{AAB55906-58C7-F940-B4CF-E7AFA13CA4FF}"/>
  </bookViews>
  <sheets>
    <sheet name="aNA.xsk-free" sheetId="2" r:id="rId1"/>
    <sheet name="aNA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0" i="2" l="1"/>
  <c r="B10" i="2"/>
  <c r="Q10" i="2"/>
  <c r="A11" i="2"/>
  <c r="B11" i="2"/>
  <c r="Q11" i="2"/>
  <c r="P29" i="2"/>
  <c r="O29" i="2"/>
  <c r="N29" i="2"/>
  <c r="M29" i="2"/>
  <c r="L29" i="2"/>
  <c r="K29" i="2"/>
  <c r="J29" i="2"/>
  <c r="I29" i="2"/>
  <c r="H29" i="2"/>
  <c r="G29" i="2"/>
  <c r="F29" i="2"/>
  <c r="E29" i="2"/>
  <c r="D29" i="2"/>
  <c r="Q26" i="2"/>
  <c r="B26" i="2"/>
  <c r="A26" i="2"/>
  <c r="Q25" i="2"/>
  <c r="B25" i="2"/>
  <c r="A25" i="2"/>
  <c r="Q24" i="2"/>
  <c r="B24" i="2"/>
  <c r="A24" i="2"/>
  <c r="Q23" i="2"/>
  <c r="B23" i="2"/>
  <c r="A23" i="2"/>
  <c r="Q22" i="2"/>
  <c r="B22" i="2"/>
  <c r="A22" i="2"/>
  <c r="Q21" i="2"/>
  <c r="B21" i="2"/>
  <c r="A21" i="2"/>
  <c r="Q20" i="2"/>
  <c r="B20" i="2"/>
  <c r="A20" i="2"/>
  <c r="Q19" i="2"/>
  <c r="B19" i="2"/>
  <c r="A19" i="2"/>
  <c r="Q18" i="2"/>
  <c r="B18" i="2"/>
  <c r="A18" i="2"/>
  <c r="Q17" i="2"/>
  <c r="B17" i="2"/>
  <c r="A17" i="2"/>
  <c r="Q16" i="2"/>
  <c r="B16" i="2"/>
  <c r="A16" i="2"/>
  <c r="Q15" i="2"/>
  <c r="B15" i="2"/>
  <c r="A15" i="2"/>
  <c r="Q14" i="2"/>
  <c r="B14" i="2"/>
  <c r="A14" i="2"/>
  <c r="Q13" i="2"/>
  <c r="B13" i="2"/>
  <c r="A13" i="2"/>
  <c r="Q12" i="2"/>
  <c r="B12" i="2"/>
  <c r="A12" i="2"/>
  <c r="Q9" i="2"/>
  <c r="B9" i="2"/>
  <c r="A9" i="2"/>
  <c r="Q8" i="2"/>
  <c r="B8" i="2"/>
  <c r="A8" i="2"/>
  <c r="Q7" i="2"/>
  <c r="B7" i="2"/>
  <c r="A7" i="2"/>
  <c r="Q6" i="2"/>
  <c r="B6" i="2"/>
  <c r="A6" i="2"/>
  <c r="Q5" i="2"/>
  <c r="B5" i="2"/>
  <c r="A5" i="2"/>
  <c r="Q4" i="2"/>
  <c r="B4" i="2"/>
  <c r="A4" i="2"/>
  <c r="Q3" i="2"/>
  <c r="B3" i="2"/>
  <c r="A3" i="2"/>
  <c r="Q2" i="2"/>
  <c r="B2" i="2"/>
  <c r="A2" i="2"/>
  <c r="L47" i="1" a="1"/>
  <c r="L47" i="1" s="1"/>
  <c r="M47" i="1" a="1"/>
  <c r="M47" i="1" s="1"/>
  <c r="N47" i="1" a="1"/>
  <c r="N47" i="1" s="1"/>
  <c r="O47" i="1" a="1"/>
  <c r="O47" i="1"/>
  <c r="P47" i="1" a="1"/>
  <c r="P47" i="1" s="1"/>
  <c r="L48" i="1" a="1"/>
  <c r="L48" i="1" s="1"/>
  <c r="M48" i="1" a="1"/>
  <c r="M48" i="1" s="1"/>
  <c r="N48" i="1" a="1"/>
  <c r="N48" i="1" s="1"/>
  <c r="O48" i="1" a="1"/>
  <c r="O48" i="1" s="1"/>
  <c r="P48" i="1" a="1"/>
  <c r="P48" i="1" s="1"/>
  <c r="L49" i="1" a="1"/>
  <c r="L49" i="1" s="1"/>
  <c r="M49" i="1" a="1"/>
  <c r="M49" i="1" s="1"/>
  <c r="N49" i="1" a="1"/>
  <c r="N49" i="1" s="1"/>
  <c r="O49" i="1" a="1"/>
  <c r="O49" i="1" s="1"/>
  <c r="P49" i="1" a="1"/>
  <c r="P49" i="1" s="1"/>
  <c r="L50" i="1" a="1"/>
  <c r="L50" i="1" s="1"/>
  <c r="M50" i="1" a="1"/>
  <c r="M50" i="1" s="1"/>
  <c r="N50" i="1" a="1"/>
  <c r="N50" i="1" s="1"/>
  <c r="O50" i="1" a="1"/>
  <c r="O50" i="1" s="1"/>
  <c r="P50" i="1" a="1"/>
  <c r="P50" i="1" s="1"/>
  <c r="L51" i="1" a="1"/>
  <c r="L51" i="1" s="1"/>
  <c r="M51" i="1" a="1"/>
  <c r="M51" i="1" s="1"/>
  <c r="N51" i="1" a="1"/>
  <c r="N51" i="1" s="1"/>
  <c r="O51" i="1" a="1"/>
  <c r="O51" i="1" s="1"/>
  <c r="P51" i="1" a="1"/>
  <c r="P51" i="1" s="1"/>
  <c r="L52" i="1" a="1"/>
  <c r="L52" i="1" s="1"/>
  <c r="M52" i="1" a="1"/>
  <c r="M52" i="1" s="1"/>
  <c r="N52" i="1" a="1"/>
  <c r="N52" i="1" s="1"/>
  <c r="O52" i="1" a="1"/>
  <c r="O52" i="1" s="1"/>
  <c r="P52" i="1" a="1"/>
  <c r="P52" i="1" s="1"/>
  <c r="L39" i="1"/>
  <c r="M39" i="1"/>
  <c r="N39" i="1"/>
  <c r="O39" i="1"/>
  <c r="P39" i="1"/>
  <c r="L40" i="1" a="1"/>
  <c r="L40" i="1" s="1"/>
  <c r="M40" i="1" a="1"/>
  <c r="M40" i="1" s="1"/>
  <c r="N40" i="1" a="1"/>
  <c r="N40" i="1" s="1"/>
  <c r="O40" i="1" a="1"/>
  <c r="O40" i="1" s="1"/>
  <c r="P40" i="1" a="1"/>
  <c r="P40" i="1" s="1"/>
  <c r="L41" i="1" a="1"/>
  <c r="L41" i="1" s="1"/>
  <c r="M41" i="1" a="1"/>
  <c r="M41" i="1" s="1"/>
  <c r="N41" i="1" a="1"/>
  <c r="N41" i="1" s="1"/>
  <c r="O41" i="1" a="1"/>
  <c r="O41" i="1" s="1"/>
  <c r="P41" i="1" a="1"/>
  <c r="P41" i="1" s="1"/>
  <c r="L42" i="1" a="1"/>
  <c r="L42" i="1" s="1"/>
  <c r="M42" i="1" a="1"/>
  <c r="M42" i="1" s="1"/>
  <c r="N42" i="1" a="1"/>
  <c r="N42" i="1" s="1"/>
  <c r="O42" i="1" a="1"/>
  <c r="O42" i="1" s="1"/>
  <c r="P42" i="1" a="1"/>
  <c r="P42" i="1" s="1"/>
  <c r="L43" i="1" a="1"/>
  <c r="L43" i="1" s="1"/>
  <c r="M43" i="1" a="1"/>
  <c r="M43" i="1" s="1"/>
  <c r="N43" i="1" a="1"/>
  <c r="N43" i="1" s="1"/>
  <c r="O43" i="1" a="1"/>
  <c r="O43" i="1" s="1"/>
  <c r="P43" i="1" a="1"/>
  <c r="P43" i="1" s="1"/>
  <c r="L44" i="1" a="1"/>
  <c r="L44" i="1" s="1"/>
  <c r="M44" i="1" a="1"/>
  <c r="M44" i="1" s="1"/>
  <c r="N44" i="1" a="1"/>
  <c r="N44" i="1" s="1"/>
  <c r="O44" i="1" a="1"/>
  <c r="O44" i="1" s="1"/>
  <c r="P44" i="1" a="1"/>
  <c r="P44" i="1" s="1"/>
  <c r="A16" i="1"/>
  <c r="A17" i="1"/>
  <c r="A18" i="1"/>
  <c r="A19" i="1"/>
  <c r="A20" i="1"/>
  <c r="A21" i="1"/>
  <c r="A22" i="1"/>
  <c r="A23" i="1"/>
  <c r="A24" i="1"/>
  <c r="A25" i="1"/>
  <c r="B16" i="1"/>
  <c r="B17" i="1"/>
  <c r="B18" i="1"/>
  <c r="B19" i="1"/>
  <c r="B20" i="1"/>
  <c r="B21" i="1"/>
  <c r="B22" i="1"/>
  <c r="B23" i="1"/>
  <c r="B24" i="1"/>
  <c r="B25" i="1"/>
  <c r="Q16" i="1"/>
  <c r="Q17" i="1"/>
  <c r="Q18" i="1"/>
  <c r="Q19" i="1"/>
  <c r="Q20" i="1"/>
  <c r="Q21" i="1"/>
  <c r="Q22" i="1"/>
  <c r="Q23" i="1"/>
  <c r="Q24" i="1"/>
  <c r="Q25" i="1"/>
  <c r="Q2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26" i="1"/>
  <c r="Q27" i="1"/>
  <c r="Q28" i="1"/>
  <c r="Q29" i="1"/>
  <c r="Q30" i="1"/>
  <c r="Q31" i="1"/>
  <c r="Q32" i="1"/>
  <c r="Q33" i="1"/>
  <c r="Q34" i="1"/>
  <c r="Q35" i="1"/>
  <c r="Q36" i="1"/>
  <c r="B2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26" i="1"/>
  <c r="B27" i="1"/>
  <c r="B28" i="1"/>
  <c r="B29" i="1"/>
  <c r="B30" i="1"/>
  <c r="B31" i="1"/>
  <c r="B32" i="1"/>
  <c r="B33" i="1"/>
  <c r="B34" i="1"/>
  <c r="B35" i="1"/>
  <c r="B36" i="1"/>
  <c r="O37" i="2" l="1" a="1"/>
  <c r="O37" i="2" s="1"/>
  <c r="I37" i="2" a="1"/>
  <c r="I37" i="2" s="1"/>
  <c r="Q29" i="2"/>
  <c r="L37" i="2" a="1"/>
  <c r="L37" i="2" s="1"/>
  <c r="L41" i="2" a="1"/>
  <c r="L41" i="2" s="1"/>
  <c r="Q42" i="2" a="1"/>
  <c r="Q42" i="2" s="1"/>
  <c r="F30" i="2" a="1"/>
  <c r="F30" i="2" s="1"/>
  <c r="H33" i="2" a="1"/>
  <c r="H33" i="2" s="1"/>
  <c r="F38" i="2" a="1"/>
  <c r="F38" i="2" s="1"/>
  <c r="P39" i="2" a="1"/>
  <c r="P39" i="2" s="1"/>
  <c r="F42" i="2" a="1"/>
  <c r="F42" i="2" s="1"/>
  <c r="J42" i="2" a="1"/>
  <c r="J42" i="2" s="1"/>
  <c r="N42" i="2" a="1"/>
  <c r="N42" i="2" s="1"/>
  <c r="P31" i="2" a="1"/>
  <c r="P31" i="2" s="1"/>
  <c r="F34" i="2" a="1"/>
  <c r="F34" i="2" s="1"/>
  <c r="P37" i="2" a="1"/>
  <c r="P37" i="2" s="1"/>
  <c r="F40" i="2" a="1"/>
  <c r="F40" i="2" s="1"/>
  <c r="F32" i="2" a="1"/>
  <c r="F32" i="2" s="1"/>
  <c r="J38" i="2" a="1"/>
  <c r="J38" i="2" s="1"/>
  <c r="P41" i="2" a="1"/>
  <c r="P41" i="2" s="1"/>
  <c r="Q31" i="2" a="1"/>
  <c r="Q31" i="2" s="1"/>
  <c r="M41" i="2" a="1"/>
  <c r="M41" i="2" s="1"/>
  <c r="N30" i="2" a="1"/>
  <c r="N30" i="2" s="1"/>
  <c r="D33" i="2" a="1"/>
  <c r="D33" i="2" s="1"/>
  <c r="H37" i="2" a="1"/>
  <c r="H37" i="2" s="1"/>
  <c r="L39" i="2" a="1"/>
  <c r="L39" i="2" s="1"/>
  <c r="H41" i="2" a="1"/>
  <c r="H41" i="2" s="1"/>
  <c r="K30" i="2" a="1"/>
  <c r="K30" i="2" s="1"/>
  <c r="M31" i="2" a="1"/>
  <c r="M31" i="2" s="1"/>
  <c r="E33" i="2" a="1"/>
  <c r="E33" i="2" s="1"/>
  <c r="G34" i="2" a="1"/>
  <c r="G34" i="2" s="1"/>
  <c r="E37" i="2" a="1"/>
  <c r="E37" i="2" s="1"/>
  <c r="Q37" i="2" a="1"/>
  <c r="Q37" i="2" s="1"/>
  <c r="E39" i="2" a="1"/>
  <c r="E39" i="2" s="1"/>
  <c r="Q39" i="2" a="1"/>
  <c r="Q39" i="2" s="1"/>
  <c r="G40" i="2" a="1"/>
  <c r="G40" i="2" s="1"/>
  <c r="E41" i="2" a="1"/>
  <c r="E41" i="2" s="1"/>
  <c r="I41" i="2" a="1"/>
  <c r="I41" i="2" s="1"/>
  <c r="Q41" i="2" a="1"/>
  <c r="Q41" i="2" s="1"/>
  <c r="G42" i="2" a="1"/>
  <c r="G42" i="2" s="1"/>
  <c r="K42" i="2" a="1"/>
  <c r="K42" i="2" s="1"/>
  <c r="O42" i="2" a="1"/>
  <c r="O42" i="2" s="1"/>
  <c r="H31" i="2" a="1"/>
  <c r="H31" i="2" s="1"/>
  <c r="J32" i="2" a="1"/>
  <c r="J32" i="2" s="1"/>
  <c r="J34" i="2" a="1"/>
  <c r="J34" i="2" s="1"/>
  <c r="N38" i="2" a="1"/>
  <c r="N38" i="2" s="1"/>
  <c r="N40" i="2" a="1"/>
  <c r="N40" i="2" s="1"/>
  <c r="G30" i="2" a="1"/>
  <c r="G30" i="2" s="1"/>
  <c r="I31" i="2" a="1"/>
  <c r="I31" i="2" s="1"/>
  <c r="K32" i="2" a="1"/>
  <c r="K32" i="2" s="1"/>
  <c r="M33" i="2" a="1"/>
  <c r="M33" i="2" s="1"/>
  <c r="O34" i="2" a="1"/>
  <c r="O34" i="2" s="1"/>
  <c r="M37" i="2" a="1"/>
  <c r="M37" i="2" s="1"/>
  <c r="O38" i="2" a="1"/>
  <c r="O38" i="2" s="1"/>
  <c r="I39" i="2" a="1"/>
  <c r="I39" i="2" s="1"/>
  <c r="K40" i="2" a="1"/>
  <c r="K40" i="2" s="1"/>
  <c r="H30" i="2" a="1"/>
  <c r="H30" i="2" s="1"/>
  <c r="P30" i="2" a="1"/>
  <c r="P30" i="2" s="1"/>
  <c r="J31" i="2" a="1"/>
  <c r="J31" i="2" s="1"/>
  <c r="D32" i="2" a="1"/>
  <c r="D32" i="2" s="1"/>
  <c r="L32" i="2" a="1"/>
  <c r="L32" i="2" s="1"/>
  <c r="F33" i="2" a="1"/>
  <c r="F33" i="2" s="1"/>
  <c r="N33" i="2" a="1"/>
  <c r="N33" i="2" s="1"/>
  <c r="D34" i="2" a="1"/>
  <c r="D34" i="2" s="1"/>
  <c r="H34" i="2" a="1"/>
  <c r="H34" i="2" s="1"/>
  <c r="P34" i="2" a="1"/>
  <c r="P34" i="2" s="1"/>
  <c r="F37" i="2" a="1"/>
  <c r="F37" i="2" s="1"/>
  <c r="J37" i="2" a="1"/>
  <c r="J37" i="2" s="1"/>
  <c r="N37" i="2" a="1"/>
  <c r="N37" i="2" s="1"/>
  <c r="D38" i="2" a="1"/>
  <c r="D38" i="2" s="1"/>
  <c r="H38" i="2" a="1"/>
  <c r="H38" i="2" s="1"/>
  <c r="L38" i="2" a="1"/>
  <c r="L38" i="2" s="1"/>
  <c r="P38" i="2" a="1"/>
  <c r="P38" i="2" s="1"/>
  <c r="F39" i="2" a="1"/>
  <c r="F39" i="2" s="1"/>
  <c r="J39" i="2" a="1"/>
  <c r="J39" i="2" s="1"/>
  <c r="N39" i="2" a="1"/>
  <c r="N39" i="2" s="1"/>
  <c r="D40" i="2" a="1"/>
  <c r="D40" i="2" s="1"/>
  <c r="H40" i="2" a="1"/>
  <c r="H40" i="2" s="1"/>
  <c r="L40" i="2" a="1"/>
  <c r="L40" i="2" s="1"/>
  <c r="P40" i="2" a="1"/>
  <c r="P40" i="2" s="1"/>
  <c r="F41" i="2" a="1"/>
  <c r="F41" i="2" s="1"/>
  <c r="J41" i="2" a="1"/>
  <c r="J41" i="2" s="1"/>
  <c r="N41" i="2" a="1"/>
  <c r="N41" i="2" s="1"/>
  <c r="D42" i="2" a="1"/>
  <c r="D42" i="2" s="1"/>
  <c r="H42" i="2" a="1"/>
  <c r="H42" i="2" s="1"/>
  <c r="L42" i="2" a="1"/>
  <c r="L42" i="2" s="1"/>
  <c r="P42" i="2" a="1"/>
  <c r="P42" i="2" s="1"/>
  <c r="L31" i="2" a="1"/>
  <c r="L31" i="2" s="1"/>
  <c r="L33" i="2" a="1"/>
  <c r="L33" i="2" s="1"/>
  <c r="N34" i="2" a="1"/>
  <c r="N34" i="2" s="1"/>
  <c r="H39" i="2" a="1"/>
  <c r="H39" i="2" s="1"/>
  <c r="D41" i="2" a="1"/>
  <c r="D41" i="2" s="1"/>
  <c r="O30" i="2" a="1"/>
  <c r="O30" i="2" s="1"/>
  <c r="G32" i="2" a="1"/>
  <c r="G32" i="2" s="1"/>
  <c r="I33" i="2" a="1"/>
  <c r="I33" i="2" s="1"/>
  <c r="K34" i="2" a="1"/>
  <c r="K34" i="2" s="1"/>
  <c r="K38" i="2" a="1"/>
  <c r="K38" i="2" s="1"/>
  <c r="M39" i="2" a="1"/>
  <c r="M39" i="2" s="1"/>
  <c r="O40" i="2" a="1"/>
  <c r="O40" i="2" s="1"/>
  <c r="D30" i="2" a="1"/>
  <c r="D30" i="2" s="1"/>
  <c r="L30" i="2" a="1"/>
  <c r="L30" i="2" s="1"/>
  <c r="F31" i="2" a="1"/>
  <c r="F31" i="2" s="1"/>
  <c r="N31" i="2" a="1"/>
  <c r="N31" i="2" s="1"/>
  <c r="H32" i="2" a="1"/>
  <c r="H32" i="2" s="1"/>
  <c r="P32" i="2" a="1"/>
  <c r="P32" i="2" s="1"/>
  <c r="J33" i="2" a="1"/>
  <c r="J33" i="2" s="1"/>
  <c r="L34" i="2" a="1"/>
  <c r="L34" i="2" s="1"/>
  <c r="D31" i="2" a="1"/>
  <c r="D31" i="2" s="1"/>
  <c r="N32" i="2" a="1"/>
  <c r="N32" i="2" s="1"/>
  <c r="D37" i="2" a="1"/>
  <c r="D37" i="2" s="1"/>
  <c r="D39" i="2" a="1"/>
  <c r="D39" i="2" s="1"/>
  <c r="J40" i="2" a="1"/>
  <c r="J40" i="2" s="1"/>
  <c r="E31" i="2" a="1"/>
  <c r="E31" i="2" s="1"/>
  <c r="O32" i="2" a="1"/>
  <c r="O32" i="2" s="1"/>
  <c r="Q33" i="2" a="1"/>
  <c r="Q33" i="2" s="1"/>
  <c r="G38" i="2" a="1"/>
  <c r="G38" i="2" s="1"/>
  <c r="E30" i="2" a="1"/>
  <c r="E30" i="2" s="1"/>
  <c r="I30" i="2" a="1"/>
  <c r="I30" i="2" s="1"/>
  <c r="M30" i="2" a="1"/>
  <c r="M30" i="2" s="1"/>
  <c r="Q30" i="2" a="1"/>
  <c r="Q30" i="2" s="1"/>
  <c r="G31" i="2" a="1"/>
  <c r="G31" i="2" s="1"/>
  <c r="K31" i="2" a="1"/>
  <c r="K31" i="2" s="1"/>
  <c r="O31" i="2" a="1"/>
  <c r="O31" i="2" s="1"/>
  <c r="E32" i="2" a="1"/>
  <c r="E32" i="2" s="1"/>
  <c r="I32" i="2" a="1"/>
  <c r="I32" i="2" s="1"/>
  <c r="M32" i="2" a="1"/>
  <c r="M32" i="2" s="1"/>
  <c r="Q32" i="2" a="1"/>
  <c r="Q32" i="2" s="1"/>
  <c r="G33" i="2" a="1"/>
  <c r="G33" i="2" s="1"/>
  <c r="K33" i="2" a="1"/>
  <c r="K33" i="2" s="1"/>
  <c r="O33" i="2" a="1"/>
  <c r="O33" i="2" s="1"/>
  <c r="E34" i="2" a="1"/>
  <c r="E34" i="2" s="1"/>
  <c r="I34" i="2" a="1"/>
  <c r="I34" i="2" s="1"/>
  <c r="M34" i="2" a="1"/>
  <c r="M34" i="2" s="1"/>
  <c r="Q34" i="2" a="1"/>
  <c r="Q34" i="2" s="1"/>
  <c r="G37" i="2" a="1"/>
  <c r="G37" i="2" s="1"/>
  <c r="K37" i="2" a="1"/>
  <c r="K37" i="2" s="1"/>
  <c r="E38" i="2" a="1"/>
  <c r="E38" i="2" s="1"/>
  <c r="I38" i="2" a="1"/>
  <c r="I38" i="2" s="1"/>
  <c r="M38" i="2" a="1"/>
  <c r="M38" i="2" s="1"/>
  <c r="Q38" i="2" a="1"/>
  <c r="Q38" i="2" s="1"/>
  <c r="G39" i="2" a="1"/>
  <c r="G39" i="2" s="1"/>
  <c r="K39" i="2" a="1"/>
  <c r="K39" i="2" s="1"/>
  <c r="O39" i="2" a="1"/>
  <c r="O39" i="2" s="1"/>
  <c r="E40" i="2" a="1"/>
  <c r="E40" i="2" s="1"/>
  <c r="I40" i="2" a="1"/>
  <c r="I40" i="2" s="1"/>
  <c r="M40" i="2" a="1"/>
  <c r="M40" i="2" s="1"/>
  <c r="Q40" i="2" a="1"/>
  <c r="Q40" i="2" s="1"/>
  <c r="G41" i="2" a="1"/>
  <c r="G41" i="2" s="1"/>
  <c r="K41" i="2" a="1"/>
  <c r="K41" i="2" s="1"/>
  <c r="O41" i="2" a="1"/>
  <c r="O41" i="2" s="1"/>
  <c r="E42" i="2" a="1"/>
  <c r="E42" i="2" s="1"/>
  <c r="I42" i="2" a="1"/>
  <c r="I42" i="2" s="1"/>
  <c r="M42" i="2" a="1"/>
  <c r="M42" i="2" s="1"/>
  <c r="J30" i="2" a="1"/>
  <c r="J30" i="2" s="1"/>
  <c r="P33" i="2" a="1"/>
  <c r="P33" i="2" s="1"/>
  <c r="Q47" i="1" a="1"/>
  <c r="Q47" i="1" s="1"/>
  <c r="F47" i="1" a="1"/>
  <c r="F47" i="1" s="1"/>
  <c r="E47" i="1" a="1"/>
  <c r="E47" i="1" s="1"/>
  <c r="Q39" i="1"/>
  <c r="I47" i="1" a="1"/>
  <c r="I47" i="1" s="1"/>
  <c r="H47" i="1" a="1"/>
  <c r="H47" i="1" s="1"/>
  <c r="J47" i="1" a="1"/>
  <c r="J47" i="1" s="1"/>
  <c r="G47" i="1" a="1"/>
  <c r="G47" i="1" s="1"/>
  <c r="K47" i="1" a="1"/>
  <c r="K47" i="1" s="1"/>
  <c r="D47" i="1" a="1"/>
  <c r="D47" i="1" s="1"/>
  <c r="E39" i="1"/>
  <c r="F39" i="1"/>
  <c r="G39" i="1"/>
  <c r="H39" i="1"/>
  <c r="I39" i="1"/>
  <c r="J39" i="1"/>
  <c r="K39" i="1"/>
  <c r="D39" i="1"/>
  <c r="A36" i="1" l="1"/>
  <c r="A35" i="1"/>
  <c r="A34" i="1"/>
  <c r="A33" i="1"/>
  <c r="A32" i="1"/>
  <c r="A31" i="1"/>
  <c r="A30" i="1"/>
  <c r="A29" i="1"/>
  <c r="A28" i="1"/>
  <c r="A27" i="1"/>
  <c r="A26" i="1"/>
  <c r="A15" i="1"/>
  <c r="A14" i="1"/>
  <c r="A13" i="1"/>
  <c r="A12" i="1"/>
  <c r="A11" i="1"/>
  <c r="A10" i="1"/>
  <c r="A9" i="1"/>
  <c r="A8" i="1"/>
  <c r="A7" i="1"/>
  <c r="A6" i="1"/>
  <c r="A5" i="1"/>
  <c r="A4" i="1"/>
  <c r="A3" i="1"/>
  <c r="A2" i="1"/>
  <c r="Q52" i="1" l="1" a="1"/>
  <c r="Q52" i="1" s="1"/>
  <c r="Q41" i="1" a="1"/>
  <c r="Q41" i="1" s="1"/>
  <c r="Q42" i="1" a="1"/>
  <c r="Q42" i="1" s="1"/>
  <c r="Q49" i="1" a="1"/>
  <c r="Q49" i="1" s="1"/>
  <c r="Q44" i="1" a="1"/>
  <c r="Q44" i="1" s="1"/>
  <c r="Q40" i="1" a="1"/>
  <c r="Q40" i="1" s="1"/>
  <c r="Q51" i="1" a="1"/>
  <c r="Q51" i="1" s="1"/>
  <c r="Q50" i="1" a="1"/>
  <c r="Q50" i="1" s="1"/>
  <c r="Q48" i="1" a="1"/>
  <c r="Q48" i="1" s="1"/>
  <c r="Q43" i="1" a="1"/>
  <c r="Q43" i="1" s="1"/>
  <c r="K50" i="1" a="1"/>
  <c r="K50" i="1" s="1"/>
  <c r="I52" i="1" a="1"/>
  <c r="I52" i="1" s="1"/>
  <c r="D50" i="1" a="1"/>
  <c r="D50" i="1" s="1"/>
  <c r="F49" i="1" a="1"/>
  <c r="F49" i="1" s="1"/>
  <c r="H50" i="1" a="1"/>
  <c r="H50" i="1" s="1"/>
  <c r="I51" i="1" a="1"/>
  <c r="I51" i="1" s="1"/>
  <c r="K52" i="1" a="1"/>
  <c r="K52" i="1" s="1"/>
  <c r="D48" i="1" a="1"/>
  <c r="D48" i="1" s="1"/>
  <c r="F48" i="1" a="1"/>
  <c r="F48" i="1" s="1"/>
  <c r="I50" i="1" a="1"/>
  <c r="I50" i="1" s="1"/>
  <c r="J50" i="1" a="1"/>
  <c r="J50" i="1" s="1"/>
  <c r="H48" i="1" a="1"/>
  <c r="H48" i="1" s="1"/>
  <c r="E49" i="1" a="1"/>
  <c r="E49" i="1" s="1"/>
  <c r="J49" i="1" a="1"/>
  <c r="J49" i="1" s="1"/>
  <c r="F50" i="1" a="1"/>
  <c r="F50" i="1" s="1"/>
  <c r="H51" i="1" a="1"/>
  <c r="H51" i="1" s="1"/>
  <c r="J52" i="1" a="1"/>
  <c r="J52" i="1" s="1"/>
  <c r="D51" i="1" a="1"/>
  <c r="D51" i="1" s="1"/>
  <c r="G50" i="1" a="1"/>
  <c r="G50" i="1" s="1"/>
  <c r="E52" i="1" a="1"/>
  <c r="E52" i="1" s="1"/>
  <c r="D52" i="1" a="1"/>
  <c r="D52" i="1" s="1"/>
  <c r="J48" i="1" a="1"/>
  <c r="J48" i="1" s="1"/>
  <c r="K49" i="1" a="1"/>
  <c r="K49" i="1" s="1"/>
  <c r="F52" i="1" a="1"/>
  <c r="F52" i="1" s="1"/>
  <c r="K51" i="1" a="1"/>
  <c r="K51" i="1" s="1"/>
  <c r="G48" i="1" a="1"/>
  <c r="G48" i="1" s="1"/>
  <c r="E50" i="1" a="1"/>
  <c r="E50" i="1" s="1"/>
  <c r="H52" i="1" a="1"/>
  <c r="H52" i="1" s="1"/>
  <c r="I48" i="1" a="1"/>
  <c r="I48" i="1" s="1"/>
  <c r="K48" i="1" a="1"/>
  <c r="K48" i="1" s="1"/>
  <c r="G52" i="1" a="1"/>
  <c r="G52" i="1" s="1"/>
  <c r="H49" i="1" a="1"/>
  <c r="H49" i="1" s="1"/>
  <c r="D49" i="1" a="1"/>
  <c r="D49" i="1" s="1"/>
  <c r="E48" i="1" a="1"/>
  <c r="E48" i="1" s="1"/>
  <c r="J51" i="1" a="1"/>
  <c r="J51" i="1" s="1"/>
  <c r="G49" i="1" a="1"/>
  <c r="G49" i="1" s="1"/>
  <c r="F51" i="1" a="1"/>
  <c r="F51" i="1" s="1"/>
  <c r="E51" i="1" a="1"/>
  <c r="E51" i="1" s="1"/>
  <c r="I49" i="1" a="1"/>
  <c r="I49" i="1" s="1"/>
  <c r="G51" i="1" a="1"/>
  <c r="G51" i="1" s="1"/>
  <c r="G40" i="1" a="1"/>
  <c r="G40" i="1" s="1"/>
  <c r="H40" i="1" a="1"/>
  <c r="H40" i="1" s="1"/>
  <c r="G42" i="1" a="1"/>
  <c r="G42" i="1" s="1"/>
  <c r="K43" i="1" a="1"/>
  <c r="K43" i="1" s="1"/>
  <c r="H44" i="1" a="1"/>
  <c r="H44" i="1" s="1"/>
  <c r="K41" i="1" a="1"/>
  <c r="K41" i="1" s="1"/>
  <c r="H42" i="1" a="1"/>
  <c r="H42" i="1" s="1"/>
  <c r="D44" i="1" a="1"/>
  <c r="D44" i="1" s="1"/>
  <c r="I40" i="1" a="1"/>
  <c r="I40" i="1" s="1"/>
  <c r="E41" i="1" a="1"/>
  <c r="E41" i="1" s="1"/>
  <c r="E43" i="1" a="1"/>
  <c r="E43" i="1" s="1"/>
  <c r="I44" i="1" a="1"/>
  <c r="I44" i="1" s="1"/>
  <c r="J43" i="1" a="1"/>
  <c r="J43" i="1" s="1"/>
  <c r="F41" i="1" a="1"/>
  <c r="F41" i="1" s="1"/>
  <c r="I42" i="1" a="1"/>
  <c r="I42" i="1" s="1"/>
  <c r="F43" i="1" a="1"/>
  <c r="F43" i="1" s="1"/>
  <c r="J44" i="1" a="1"/>
  <c r="J44" i="1" s="1"/>
  <c r="D43" i="1" a="1"/>
  <c r="D43" i="1" s="1"/>
  <c r="E40" i="1" a="1"/>
  <c r="E40" i="1" s="1"/>
  <c r="J40" i="1" a="1"/>
  <c r="J40" i="1" s="1"/>
  <c r="G43" i="1" a="1"/>
  <c r="G43" i="1" s="1"/>
  <c r="D42" i="1" a="1"/>
  <c r="D42" i="1" s="1"/>
  <c r="E44" i="1" a="1"/>
  <c r="E44" i="1" s="1"/>
  <c r="F40" i="1" a="1"/>
  <c r="F40" i="1" s="1"/>
  <c r="E42" i="1" a="1"/>
  <c r="E42" i="1" s="1"/>
  <c r="F44" i="1" a="1"/>
  <c r="F44" i="1" s="1"/>
  <c r="I43" i="1" a="1"/>
  <c r="I43" i="1" s="1"/>
  <c r="K44" i="1" a="1"/>
  <c r="K44" i="1" s="1"/>
  <c r="J41" i="1" a="1"/>
  <c r="J41" i="1" s="1"/>
  <c r="F42" i="1" a="1"/>
  <c r="F42" i="1" s="1"/>
  <c r="D40" i="1" a="1"/>
  <c r="D40" i="1" s="1"/>
  <c r="K40" i="1" a="1"/>
  <c r="K40" i="1" s="1"/>
  <c r="G41" i="1" a="1"/>
  <c r="G41" i="1" s="1"/>
  <c r="J42" i="1" a="1"/>
  <c r="J42" i="1" s="1"/>
  <c r="H43" i="1" a="1"/>
  <c r="H43" i="1" s="1"/>
  <c r="D41" i="1" a="1"/>
  <c r="D41" i="1" s="1"/>
  <c r="H41" i="1" a="1"/>
  <c r="H41" i="1" s="1"/>
  <c r="K42" i="1" a="1"/>
  <c r="K42" i="1" s="1"/>
  <c r="I41" i="1" a="1"/>
  <c r="I41" i="1" s="1"/>
  <c r="G44" i="1" a="1"/>
  <c r="G44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<sst xmlns="http://schemas.openxmlformats.org/spreadsheetml/2006/main" count="122" uniqueCount="60">
  <si>
    <t>condition</t>
  </si>
  <si>
    <t>3</t>
  </si>
  <si>
    <t>4</t>
  </si>
  <si>
    <t>5</t>
  </si>
  <si>
    <t>6</t>
  </si>
  <si>
    <t>7</t>
  </si>
  <si>
    <t>8</t>
  </si>
  <si>
    <t>9</t>
  </si>
  <si>
    <t>10</t>
  </si>
  <si>
    <t>12</t>
  </si>
  <si>
    <t>15</t>
  </si>
  <si>
    <t>arabic-1g</t>
  </si>
  <si>
    <t>arabic-2g</t>
  </si>
  <si>
    <t>arabic-3g</t>
  </si>
  <si>
    <t>arabic-sk2g</t>
  </si>
  <si>
    <t>arabic-sk3g</t>
  </si>
  <si>
    <t>english-1g</t>
  </si>
  <si>
    <t>english-2g</t>
  </si>
  <si>
    <t>english-3g</t>
  </si>
  <si>
    <t>english-sk2g</t>
  </si>
  <si>
    <t>english-sk3g</t>
  </si>
  <si>
    <t>french-1g</t>
  </si>
  <si>
    <t>french-2g</t>
  </si>
  <si>
    <t>french-3g</t>
  </si>
  <si>
    <t>french-sk2g</t>
  </si>
  <si>
    <t>french-sk3g</t>
  </si>
  <si>
    <t>german-1g</t>
  </si>
  <si>
    <t>german-2g</t>
  </si>
  <si>
    <t>german-3g</t>
  </si>
  <si>
    <t>german-sk2g</t>
  </si>
  <si>
    <t>german-sk3g</t>
  </si>
  <si>
    <t>russian-1g</t>
  </si>
  <si>
    <t>russian-2g</t>
  </si>
  <si>
    <t>russian-3g</t>
  </si>
  <si>
    <t>russian-sk2g</t>
  </si>
  <si>
    <t>russian-sk3g</t>
  </si>
  <si>
    <t>lang</t>
  </si>
  <si>
    <t>all</t>
  </si>
  <si>
    <t>arabic</t>
  </si>
  <si>
    <t>german</t>
  </si>
  <si>
    <t>english</t>
  </si>
  <si>
    <t>french</t>
  </si>
  <si>
    <t>russian</t>
  </si>
  <si>
    <t>1g</t>
  </si>
  <si>
    <t>1g incluede</t>
  </si>
  <si>
    <t>1g excluded</t>
  </si>
  <si>
    <t>average</t>
  </si>
  <si>
    <t>11</t>
  </si>
  <si>
    <t>13</t>
  </si>
  <si>
    <t>14</t>
  </si>
  <si>
    <t>arabic-xsk2g</t>
  </si>
  <si>
    <t>arabic-xsk3g</t>
  </si>
  <si>
    <t>english-xsk2g</t>
  </si>
  <si>
    <t>english-xsk3g</t>
  </si>
  <si>
    <t>french-xsk2g</t>
  </si>
  <si>
    <t>french-xsk3g</t>
  </si>
  <si>
    <t>german-xsk2g</t>
  </si>
  <si>
    <t>german-xsk3g</t>
  </si>
  <si>
    <t>russian-xsk2g</t>
  </si>
  <si>
    <t>russian-xsk3g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</si>
</sst>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3"/>
      <color theme="1"/>
      <name val="LucidaSansUnicode"/>
      <family val="2"/>
    </font>
    <font>
      <sz val="8"/>
      <name val="LucidaSansUnicode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2" fontId="0" fillId="0" borderId="1" xfId="0" applyNumberFormat="1" applyBorder="1"/>
  </cellXfs>
  <cellStyles count="1">
    <cellStyle name="Normal" xfId="0" builtinId="0"/>
  </cellStyles>
  <dxfs count="30"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0" formatCode="General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05AAFC4-B034-4C4B-9FCA-1D320EC95840}" name="Table13" displayName="Table13" ref="A1:Q26" totalsRowShown="0">
  <autoFilter ref="A1:Q26" xr:uid="{CFFBF5C2-C562-4A4E-B95B-091D1721BBE3}"/>
  <tableColumns count="17">
    <tableColumn id="1" xr3:uid="{7E5AA4B2-CF2D-3C45-8C4A-8F639C0907C2}" name="lang">
      <calculatedColumnFormula>_xlfn.LET(_xlpm.c,$C2,_xlfn.TEXTBEFORE(_xlpm.c,"-"))</calculatedColumnFormula>
    </tableColumn>
    <tableColumn id="13" xr3:uid="{32E2F051-59C9-5043-8602-C3A270735347}" name="1g" dataDxfId="14">
      <calculatedColumnFormula>_xlfn.LET(_xlpm.c,_xlfn.SINGLE(Table13[condition]),IF(RIGHT(_xlpm.c,2)="1g",1,0))</calculatedColumnFormula>
    </tableColumn>
    <tableColumn id="12" xr3:uid="{1C39B1CA-40F3-E647-9AD3-B599C8C66105}" name="condition"/>
    <tableColumn id="2" xr3:uid="{480E05A2-5FE3-2C44-B0F2-B9E4126BCF63}" name="3" dataDxfId="13"/>
    <tableColumn id="3" xr3:uid="{DB7E927D-03D6-AC4E-AB11-53E3CAD74158}" name="4" dataDxfId="12"/>
    <tableColumn id="4" xr3:uid="{29441B23-91A0-0847-A6F6-FD5CFDA3DCE1}" name="5" dataDxfId="11"/>
    <tableColumn id="5" xr3:uid="{1DD7BB28-3686-4A42-901E-0F10B8A5810F}" name="6" dataDxfId="10"/>
    <tableColumn id="6" xr3:uid="{1A4BF717-C3DB-B040-8761-FD5687D116D9}" name="7" dataDxfId="9"/>
    <tableColumn id="7" xr3:uid="{76D5D2E6-2E7A-8B4F-B1E3-30286845D147}" name="8" dataDxfId="8"/>
    <tableColumn id="8" xr3:uid="{EAC961F4-1484-7645-952C-C9450913B0E0}" name="9" dataDxfId="7"/>
    <tableColumn id="9" xr3:uid="{F114B546-5FF0-1747-881E-60EE71D65CDD}" name="10" dataDxfId="6"/>
    <tableColumn id="15" xr3:uid="{E480DF04-31C6-CC41-B827-B149CD62B35F}" name="11" dataDxfId="5"/>
    <tableColumn id="10" xr3:uid="{C34C50CC-16C1-414C-B1DE-B9A6B6035861}" name="12" dataDxfId="4"/>
    <tableColumn id="16" xr3:uid="{1F5085F9-9EF7-634E-8156-528803CC4EAD}" name="13" dataDxfId="3"/>
    <tableColumn id="17" xr3:uid="{FB063A55-149C-D642-AF8C-27817CFA8EAE}" name="14" dataDxfId="2"/>
    <tableColumn id="11" xr3:uid="{CA07C109-6996-BC44-B00F-8251CA031EA8}" name="15" dataDxfId="1"/>
    <tableColumn id="14" xr3:uid="{7B4D6E45-4496-8D47-8590-2FE34B6ABBC3}" name="average" dataDxfId="0">
      <calculatedColumnFormula>_xlfn.LET(_xlpm.d,$D2:$P2,AVERAGE(_xlpm.d))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FFBF5C2-C562-4A4E-B95B-091D1721BBE3}" name="Table1" displayName="Table1" ref="A1:Q36" totalsRowShown="0">
  <autoFilter ref="A1:Q36" xr:uid="{CFFBF5C2-C562-4A4E-B95B-091D1721BBE3}"/>
  <tableColumns count="17">
    <tableColumn id="1" xr3:uid="{B965C989-233C-BA49-B251-382897A2BABE}" name="lang">
      <calculatedColumnFormula>_xlfn.LET(_xlpm.c,$C2,_xlfn.TEXTBEFORE(_xlpm.c,"-"))</calculatedColumnFormula>
    </tableColumn>
    <tableColumn id="13" xr3:uid="{F3AD09D6-DEE4-004B-9353-31CAC865BD48}" name="1g" dataDxfId="29">
      <calculatedColumnFormula>_xlfn.LET(_xlpm.c,_xlfn.SINGLE(Table1[condition]),IF(RIGHT(_xlpm.c,2)="1g",1,0))</calculatedColumnFormula>
    </tableColumn>
    <tableColumn id="12" xr3:uid="{67CADDAA-63EE-5F45-989C-A240EB19AD7C}" name="condition"/>
    <tableColumn id="2" xr3:uid="{E49E0B59-37B0-284D-BE77-40B5319AB755}" name="3" dataDxfId="28"/>
    <tableColumn id="3" xr3:uid="{12F044D8-6B04-8146-9059-0DD6BE8C153F}" name="4" dataDxfId="27"/>
    <tableColumn id="4" xr3:uid="{28314014-34F8-EF4B-AF7B-FC88FF8A6DA9}" name="5" dataDxfId="26"/>
    <tableColumn id="5" xr3:uid="{0BD4A703-F893-784A-B65E-DB2D1E798103}" name="6" dataDxfId="25"/>
    <tableColumn id="6" xr3:uid="{50D9F421-0114-CF41-9767-B830E35DC34D}" name="7" dataDxfId="24"/>
    <tableColumn id="7" xr3:uid="{E0DD0445-0346-1E47-9A2C-83486C4A03C4}" name="8" dataDxfId="23"/>
    <tableColumn id="8" xr3:uid="{5556115A-B62B-C140-944D-BADBB061EBB5}" name="9" dataDxfId="22"/>
    <tableColumn id="9" xr3:uid="{1B92E407-F94E-544F-B76D-B160EB3BC0AB}" name="10" dataDxfId="21"/>
    <tableColumn id="15" xr3:uid="{69E2FCB1-E4FC-514A-8016-E56775387602}" name="11" dataDxfId="20"/>
    <tableColumn id="10" xr3:uid="{6871B4E2-64FC-EF4F-91D7-DFBFD9EFB3C2}" name="12" dataDxfId="15"/>
    <tableColumn id="16" xr3:uid="{3DDF567E-81AA-054D-A292-7DD2E35ADEE9}" name="13" dataDxfId="19"/>
    <tableColumn id="17" xr3:uid="{2E78FF8D-84A9-6347-816B-E4B9041A3507}" name="14" dataDxfId="18"/>
    <tableColumn id="11" xr3:uid="{059EBDD8-5269-D041-AFDD-56AB88BB8F27}" name="15" dataDxfId="17"/>
    <tableColumn id="14" xr3:uid="{C3D92A6B-91A7-7248-A813-2D0B01CBD1F8}" name="average" dataDxfId="16">
      <calculatedColumnFormula>_xlfn.LET(_xlpm.d,$D2:$P2,AVERAGE(_xlpm.d))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57646A-6696-0D41-9E87-0CA7C79DC1D9}">
  <dimension ref="A1:Q42"/>
  <sheetViews>
    <sheetView tabSelected="1" workbookViewId="0">
      <pane xSplit="9080" ySplit="3520" topLeftCell="A27" activePane="bottomRight"/>
      <selection activeCell="B3" sqref="B3"/>
      <selection pane="topRight" activeCell="D1" sqref="D1:Q1048576"/>
      <selection pane="bottomLeft" activeCell="A27" sqref="A27:XFD28"/>
      <selection pane="bottomRight" activeCell="A37" sqref="A37"/>
    </sheetView>
  </sheetViews>
  <sheetFormatPr baseColWidth="10" defaultRowHeight="30" customHeight="1"/>
  <cols>
    <col min="1" max="1" width="10.375" customWidth="1"/>
    <col min="2" max="2" width="7.875" customWidth="1"/>
    <col min="3" max="3" width="14" customWidth="1"/>
    <col min="4" max="17" width="5.875" customWidth="1"/>
  </cols>
  <sheetData>
    <row r="1" spans="1:17" ht="30" customHeight="1">
      <c r="A1" t="s">
        <v>36</v>
      </c>
      <c r="B1" t="s">
        <v>43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47</v>
      </c>
      <c r="M1" t="s">
        <v>9</v>
      </c>
      <c r="N1" t="s">
        <v>48</v>
      </c>
      <c r="O1" t="s">
        <v>49</v>
      </c>
      <c r="P1" t="s">
        <v>10</v>
      </c>
      <c r="Q1" t="s">
        <v>46</v>
      </c>
    </row>
    <row r="2" spans="1:17" ht="30" customHeight="1">
      <c r="A2" t="str">
        <f>_xlfn.LET(_xlpm.c,$C2,_xlfn.TEXTBEFORE(_xlpm.c,"-"))</f>
        <v>arabic</v>
      </c>
      <c r="B2">
        <f>_xlfn.LET(_xlpm.c,_xlfn.SINGLE(Table13[condition]),IF(RIGHT(_xlpm.c,2)="1g",1,0))</f>
        <v>1</v>
      </c>
      <c r="C2" t="s">
        <v>11</v>
      </c>
      <c r="D2" s="1">
        <v>1</v>
      </c>
      <c r="E2" s="1">
        <v>1</v>
      </c>
      <c r="F2" s="1">
        <v>1</v>
      </c>
      <c r="G2" s="1">
        <v>1</v>
      </c>
      <c r="H2" s="1">
        <v>1</v>
      </c>
      <c r="I2" s="1">
        <v>1</v>
      </c>
      <c r="J2" s="1">
        <v>1</v>
      </c>
      <c r="K2" s="1">
        <v>1</v>
      </c>
      <c r="L2" s="1">
        <v>1</v>
      </c>
      <c r="M2" s="1">
        <v>1</v>
      </c>
      <c r="N2" s="1">
        <v>1</v>
      </c>
      <c r="O2" s="1">
        <v>1</v>
      </c>
      <c r="P2" s="1">
        <v>1</v>
      </c>
      <c r="Q2" s="1">
        <f t="shared" ref="Q2:Q26" si="0">_xlfn.LET(_xlpm.d,$D2:$P2,AVERAGE(_xlpm.d))</f>
        <v>1</v>
      </c>
    </row>
    <row r="3" spans="1:17" ht="30" customHeight="1">
      <c r="A3" t="str">
        <f t="shared" ref="A3:A26" si="1">_xlfn.LET(_xlpm.c,$C3,_xlfn.TEXTBEFORE(_xlpm.c,"-"))</f>
        <v>arabic</v>
      </c>
      <c r="B3">
        <f>_xlfn.LET(_xlpm.c,_xlfn.SINGLE(Table13[condition]),IF(RIGHT(_xlpm.c,2)="1g",1,0))</f>
        <v>0</v>
      </c>
      <c r="C3" t="s">
        <v>12</v>
      </c>
      <c r="D3" s="1">
        <v>1</v>
      </c>
      <c r="E3" s="1">
        <v>1</v>
      </c>
      <c r="F3" s="1">
        <v>1</v>
      </c>
      <c r="G3" s="1">
        <v>1</v>
      </c>
      <c r="H3" s="1">
        <v>0.99734643424804104</v>
      </c>
      <c r="I3" s="1">
        <v>1</v>
      </c>
      <c r="J3" s="1">
        <v>1</v>
      </c>
      <c r="K3" s="1">
        <v>1</v>
      </c>
      <c r="L3" s="1">
        <v>1</v>
      </c>
      <c r="M3" s="1">
        <v>1</v>
      </c>
      <c r="N3" s="1">
        <v>1</v>
      </c>
      <c r="O3" s="1">
        <v>1</v>
      </c>
      <c r="P3" s="1">
        <v>1</v>
      </c>
      <c r="Q3" s="1">
        <f t="shared" si="0"/>
        <v>0.99979587955754157</v>
      </c>
    </row>
    <row r="4" spans="1:17" ht="30" customHeight="1">
      <c r="A4" t="str">
        <f t="shared" si="1"/>
        <v>arabic</v>
      </c>
      <c r="B4">
        <f>_xlfn.LET(_xlpm.c,_xlfn.SINGLE(Table13[condition]),IF(RIGHT(_xlpm.c,2)="1g",1,0))</f>
        <v>0</v>
      </c>
      <c r="C4" t="s">
        <v>13</v>
      </c>
      <c r="D4" s="1">
        <v>1</v>
      </c>
      <c r="E4" s="1">
        <v>1</v>
      </c>
      <c r="F4" s="1">
        <v>1</v>
      </c>
      <c r="G4" s="1">
        <v>1</v>
      </c>
      <c r="H4" s="1">
        <v>1</v>
      </c>
      <c r="I4" s="1">
        <v>1</v>
      </c>
      <c r="J4" s="1">
        <v>1</v>
      </c>
      <c r="K4" s="1">
        <v>1</v>
      </c>
      <c r="L4" s="1">
        <v>1</v>
      </c>
      <c r="M4" s="1">
        <v>1</v>
      </c>
      <c r="N4" s="1">
        <v>1</v>
      </c>
      <c r="O4" s="1">
        <v>1</v>
      </c>
      <c r="P4" s="1">
        <v>1</v>
      </c>
      <c r="Q4" s="1">
        <f t="shared" si="0"/>
        <v>1</v>
      </c>
    </row>
    <row r="5" spans="1:17" ht="30" customHeight="1">
      <c r="A5" t="str">
        <f t="shared" si="1"/>
        <v>arabic</v>
      </c>
      <c r="B5">
        <f>_xlfn.LET(_xlpm.c,_xlfn.SINGLE(Table13[condition]),IF(RIGHT(_xlpm.c,2)="1g",1,0))</f>
        <v>0</v>
      </c>
      <c r="C5" t="s">
        <v>14</v>
      </c>
      <c r="D5" s="1">
        <v>1</v>
      </c>
      <c r="E5" s="1">
        <v>0.99796707929347594</v>
      </c>
      <c r="F5" s="1">
        <v>0.99842748763021705</v>
      </c>
      <c r="G5" s="1">
        <v>0.99773211530369099</v>
      </c>
      <c r="H5" s="1">
        <v>0.99309259293513297</v>
      </c>
      <c r="I5" s="1">
        <v>1</v>
      </c>
      <c r="J5" s="1">
        <v>0.99849390416508099</v>
      </c>
      <c r="K5" s="1">
        <v>1</v>
      </c>
      <c r="L5" s="1">
        <v>0.99866658843615497</v>
      </c>
      <c r="M5" s="1">
        <v>0.99258172538098899</v>
      </c>
      <c r="N5" s="1">
        <v>0.99374804576034603</v>
      </c>
      <c r="O5" s="1">
        <v>0.98171911702458203</v>
      </c>
      <c r="P5" s="1">
        <v>0.99807677370454195</v>
      </c>
      <c r="Q5" s="1">
        <f t="shared" si="0"/>
        <v>0.99619272535647785</v>
      </c>
    </row>
    <row r="6" spans="1:17" ht="30" customHeight="1">
      <c r="A6" t="str">
        <f t="shared" si="1"/>
        <v>arabic</v>
      </c>
      <c r="B6">
        <f>_xlfn.LET(_xlpm.c,_xlfn.SINGLE(Table13[condition]),IF(RIGHT(_xlpm.c,2)="1g",1,0))</f>
        <v>0</v>
      </c>
      <c r="C6" t="s">
        <v>15</v>
      </c>
      <c r="D6" s="1">
        <v>1</v>
      </c>
      <c r="E6" s="1">
        <v>1</v>
      </c>
      <c r="F6" s="1">
        <v>1</v>
      </c>
      <c r="G6" s="1">
        <v>0.98297012617276203</v>
      </c>
      <c r="H6" s="1">
        <v>0.99855691842377303</v>
      </c>
      <c r="I6" s="1">
        <v>0.99530240188686703</v>
      </c>
      <c r="J6" s="1">
        <v>0.96850490879729201</v>
      </c>
      <c r="K6" s="1">
        <v>1</v>
      </c>
      <c r="L6" s="1">
        <v>1</v>
      </c>
      <c r="M6" s="1">
        <v>0.99173101689010901</v>
      </c>
      <c r="N6" s="1">
        <v>1</v>
      </c>
      <c r="O6" s="1">
        <v>0.85782943630965702</v>
      </c>
      <c r="P6" s="1">
        <v>1</v>
      </c>
      <c r="Q6" s="1">
        <f t="shared" si="0"/>
        <v>0.98422267757541992</v>
      </c>
    </row>
    <row r="7" spans="1:17" ht="30" customHeight="1">
      <c r="A7" t="str">
        <f t="shared" si="1"/>
        <v>english</v>
      </c>
      <c r="B7">
        <f>_xlfn.LET(_xlpm.c,_xlfn.SINGLE(Table13[condition]),IF(RIGHT(_xlpm.c,2)="1g",1,0))</f>
        <v>1</v>
      </c>
      <c r="C7" t="s">
        <v>16</v>
      </c>
      <c r="D7" s="1">
        <v>1</v>
      </c>
      <c r="E7" s="1">
        <v>0.88215566786518995</v>
      </c>
      <c r="F7" s="1">
        <v>0.80267059202601598</v>
      </c>
      <c r="G7" s="1">
        <v>0.74317675414412798</v>
      </c>
      <c r="H7" s="1">
        <v>0.59246930172061896</v>
      </c>
      <c r="I7" s="1">
        <v>0.63867715307247497</v>
      </c>
      <c r="J7" s="1">
        <v>0.61597364007786604</v>
      </c>
      <c r="K7" s="1">
        <v>0.65781188378337396</v>
      </c>
      <c r="L7" s="1">
        <v>0.50276429947364498</v>
      </c>
      <c r="M7" s="1">
        <v>0.58150493937999304</v>
      </c>
      <c r="N7" s="1">
        <v>0.19569878614422201</v>
      </c>
      <c r="O7" s="1">
        <v>0.28388665823936299</v>
      </c>
      <c r="P7" s="1">
        <v>0.64109675337807304</v>
      </c>
      <c r="Q7" s="1">
        <f t="shared" si="0"/>
        <v>0.62599126379268966</v>
      </c>
    </row>
    <row r="8" spans="1:17" ht="30" customHeight="1">
      <c r="A8" t="str">
        <f t="shared" si="1"/>
        <v>english</v>
      </c>
      <c r="B8">
        <f>_xlfn.LET(_xlpm.c,_xlfn.SINGLE(Table13[condition]),IF(RIGHT(_xlpm.c,2)="1g",1,0))</f>
        <v>0</v>
      </c>
      <c r="C8" t="s">
        <v>17</v>
      </c>
      <c r="D8" s="1">
        <v>0.57430290434678899</v>
      </c>
      <c r="E8" s="1">
        <v>0.58247108856192198</v>
      </c>
      <c r="F8" s="1">
        <v>0.525841842759598</v>
      </c>
      <c r="G8" s="1">
        <v>0.42311886108880298</v>
      </c>
      <c r="H8" s="1">
        <v>0.70086544087800595</v>
      </c>
      <c r="I8" s="1">
        <v>0.40984332217087799</v>
      </c>
      <c r="J8" s="1">
        <v>0.55219824169659204</v>
      </c>
      <c r="K8" s="1">
        <v>0.61750822468228705</v>
      </c>
      <c r="L8" s="1">
        <v>0.53354709794083599</v>
      </c>
      <c r="M8" s="1">
        <v>0.53215615182072096</v>
      </c>
      <c r="N8" s="1">
        <v>0.60634019750017198</v>
      </c>
      <c r="O8" s="1">
        <v>0.490410026294549</v>
      </c>
      <c r="P8" s="1">
        <v>0.43448309391621898</v>
      </c>
      <c r="Q8" s="1">
        <f t="shared" si="0"/>
        <v>0.53716049951210565</v>
      </c>
    </row>
    <row r="9" spans="1:17" ht="30" customHeight="1">
      <c r="A9" t="str">
        <f t="shared" si="1"/>
        <v>english</v>
      </c>
      <c r="B9">
        <f>_xlfn.LET(_xlpm.c,_xlfn.SINGLE(Table13[condition]),IF(RIGHT(_xlpm.c,2)="1g",1,0))</f>
        <v>0</v>
      </c>
      <c r="C9" t="s">
        <v>18</v>
      </c>
      <c r="D9" s="1">
        <v>0.417675227410022</v>
      </c>
      <c r="E9" s="1">
        <v>0.63301335671394598</v>
      </c>
      <c r="F9" s="1">
        <v>0.47589983932429403</v>
      </c>
      <c r="G9" s="1">
        <v>0.61414078089632895</v>
      </c>
      <c r="H9" s="1">
        <v>0.596652159261717</v>
      </c>
      <c r="I9" s="1">
        <v>0.43656631793554102</v>
      </c>
      <c r="J9" s="1">
        <v>0.58238262173603805</v>
      </c>
      <c r="K9" s="1">
        <v>0.56246036523382803</v>
      </c>
      <c r="L9" s="1">
        <v>0.42005121648965299</v>
      </c>
      <c r="M9" s="1">
        <v>0.34101207996307398</v>
      </c>
      <c r="N9" s="1">
        <v>0.38319586072457901</v>
      </c>
      <c r="O9" s="1">
        <v>0.246732833686164</v>
      </c>
      <c r="P9" s="1">
        <v>0.59573524601530603</v>
      </c>
      <c r="Q9" s="1">
        <f t="shared" si="0"/>
        <v>0.48503983887619168</v>
      </c>
    </row>
    <row r="10" spans="1:17" ht="30" customHeight="1">
      <c r="A10" t="str">
        <f t="shared" si="1"/>
        <v>english</v>
      </c>
      <c r="B10">
        <f>_xlfn.LET(_xlpm.c,_xlfn.SINGLE(Table13[condition]),IF(RIGHT(_xlpm.c,2)="1g",1,0))</f>
        <v>0</v>
      </c>
      <c r="C10" t="s">
        <v>19</v>
      </c>
      <c r="D10" s="1">
        <v>0.751887756073918</v>
      </c>
      <c r="E10" s="1">
        <v>0.63295109762927504</v>
      </c>
      <c r="F10" s="1">
        <v>0.42493351047261702</v>
      </c>
      <c r="G10" s="1">
        <v>0.75476743165218196</v>
      </c>
      <c r="H10" s="1">
        <v>0.67920194116799604</v>
      </c>
      <c r="I10" s="1">
        <v>0.62248452405462196</v>
      </c>
      <c r="J10" s="1">
        <v>0.62205055305169099</v>
      </c>
      <c r="K10" s="1">
        <v>0.51898356915180799</v>
      </c>
      <c r="L10" s="1">
        <v>0.69177940608705402</v>
      </c>
      <c r="M10" s="1">
        <v>0.44039291920200802</v>
      </c>
      <c r="N10" s="1">
        <v>0.480082541795045</v>
      </c>
      <c r="O10" s="1">
        <v>0.41643058082267898</v>
      </c>
      <c r="P10" s="1">
        <v>0.62635700620490697</v>
      </c>
      <c r="Q10" s="1">
        <f t="shared" si="0"/>
        <v>0.58940791056660014</v>
      </c>
    </row>
    <row r="11" spans="1:17" ht="30" customHeight="1">
      <c r="A11" t="str">
        <f t="shared" si="1"/>
        <v>english</v>
      </c>
      <c r="B11">
        <f>_xlfn.LET(_xlpm.c,_xlfn.SINGLE(Table13[condition]),IF(RIGHT(_xlpm.c,2)="1g",1,0))</f>
        <v>0</v>
      </c>
      <c r="C11" t="s">
        <v>20</v>
      </c>
      <c r="D11" s="1">
        <v>0.67792623412911901</v>
      </c>
      <c r="E11" s="1">
        <v>0.74604408862634597</v>
      </c>
      <c r="F11" s="1">
        <v>0.77286587119539996</v>
      </c>
      <c r="G11" s="1">
        <v>0.60735786905177103</v>
      </c>
      <c r="H11" s="1">
        <v>0.82557373395739597</v>
      </c>
      <c r="I11" s="1">
        <v>0.761731811119151</v>
      </c>
      <c r="J11" s="1">
        <v>0.55269906026376503</v>
      </c>
      <c r="K11" s="1">
        <v>0.46405308350910401</v>
      </c>
      <c r="L11" s="1">
        <v>0.24601733867953501</v>
      </c>
      <c r="M11" s="1">
        <v>0.51279602487490605</v>
      </c>
      <c r="N11" s="1">
        <v>0.63990268698036501</v>
      </c>
      <c r="O11" s="1">
        <v>0.59089138919977102</v>
      </c>
      <c r="P11" s="1">
        <v>0.352185985391751</v>
      </c>
      <c r="Q11" s="1">
        <f t="shared" si="0"/>
        <v>0.59615732130602939</v>
      </c>
    </row>
    <row r="12" spans="1:17" ht="30" customHeight="1">
      <c r="A12" t="str">
        <f t="shared" si="1"/>
        <v>french</v>
      </c>
      <c r="B12">
        <f>_xlfn.LET(_xlpm.c,_xlfn.SINGLE(Table13[condition]),IF(RIGHT(_xlpm.c,2)="1g",1,0))</f>
        <v>1</v>
      </c>
      <c r="C12" t="s">
        <v>21</v>
      </c>
      <c r="D12" s="1">
        <v>1</v>
      </c>
      <c r="E12" s="1">
        <v>0.88770475992813602</v>
      </c>
      <c r="F12" s="1">
        <v>0.92011034535879299</v>
      </c>
      <c r="G12" s="1">
        <v>0.850741350674735</v>
      </c>
      <c r="H12" s="1">
        <v>0.90195403215469805</v>
      </c>
      <c r="I12" s="1">
        <v>0.68192457794362804</v>
      </c>
      <c r="J12" s="1">
        <v>0.66816491670115397</v>
      </c>
      <c r="K12" s="1">
        <v>0.58397623665903098</v>
      </c>
      <c r="L12" s="1">
        <v>0.48389980875765198</v>
      </c>
      <c r="M12" s="1">
        <v>0.58696946835402697</v>
      </c>
      <c r="N12" s="1">
        <v>0.24374900547741701</v>
      </c>
      <c r="O12" s="1">
        <v>0.39542252471933498</v>
      </c>
      <c r="P12" s="1">
        <v>0.21685158769858701</v>
      </c>
      <c r="Q12" s="1">
        <f t="shared" si="0"/>
        <v>0.64780527803286092</v>
      </c>
    </row>
    <row r="13" spans="1:17" ht="30" customHeight="1">
      <c r="A13" t="str">
        <f t="shared" si="1"/>
        <v>french</v>
      </c>
      <c r="B13">
        <f>_xlfn.LET(_xlpm.c,_xlfn.SINGLE(Table13[condition]),IF(RIGHT(_xlpm.c,2)="1g",1,0))</f>
        <v>0</v>
      </c>
      <c r="C13" t="s">
        <v>22</v>
      </c>
      <c r="D13" s="1">
        <v>0.83862212430859095</v>
      </c>
      <c r="E13" s="1">
        <v>0.69679506649705203</v>
      </c>
      <c r="F13" s="1">
        <v>0.63332564170911299</v>
      </c>
      <c r="G13" s="1">
        <v>0.42991388734318497</v>
      </c>
      <c r="H13" s="1">
        <v>0.56576623204825305</v>
      </c>
      <c r="I13" s="1">
        <v>0.52391535180665405</v>
      </c>
      <c r="J13" s="1">
        <v>0.422164435128078</v>
      </c>
      <c r="K13" s="1">
        <v>0.54742437083550899</v>
      </c>
      <c r="L13" s="1">
        <v>0.48645582066305498</v>
      </c>
      <c r="M13" s="1">
        <v>0.58845880137940698</v>
      </c>
      <c r="N13" s="1">
        <v>0.50413950199813995</v>
      </c>
      <c r="O13" s="1">
        <v>0.61363931334756605</v>
      </c>
      <c r="P13" s="1">
        <v>0.60161873096548502</v>
      </c>
      <c r="Q13" s="1">
        <f t="shared" si="0"/>
        <v>0.57324917523308372</v>
      </c>
    </row>
    <row r="14" spans="1:17" ht="30" customHeight="1">
      <c r="A14" t="str">
        <f t="shared" si="1"/>
        <v>french</v>
      </c>
      <c r="B14">
        <f>_xlfn.LET(_xlpm.c,_xlfn.SINGLE(Table13[condition]),IF(RIGHT(_xlpm.c,2)="1g",1,0))</f>
        <v>0</v>
      </c>
      <c r="C14" t="s">
        <v>23</v>
      </c>
      <c r="D14" s="1">
        <v>0.73150557615241996</v>
      </c>
      <c r="E14" s="1">
        <v>0.54990146599080503</v>
      </c>
      <c r="F14" s="1">
        <v>0.60589663022378604</v>
      </c>
      <c r="G14" s="1">
        <v>0.67117659537218499</v>
      </c>
      <c r="H14" s="1">
        <v>0.42198000621068099</v>
      </c>
      <c r="I14" s="1">
        <v>0.62978943787859998</v>
      </c>
      <c r="J14" s="1">
        <v>0.49706210736645201</v>
      </c>
      <c r="K14" s="1">
        <v>0.56531616628092496</v>
      </c>
      <c r="L14" s="1">
        <v>0.55649820940329497</v>
      </c>
      <c r="M14" s="1">
        <v>0.42415154557880103</v>
      </c>
      <c r="N14" s="1">
        <v>0.64625856095020096</v>
      </c>
      <c r="O14" s="1">
        <v>0.19660318838861701</v>
      </c>
      <c r="P14" s="1">
        <v>0.39126946636686999</v>
      </c>
      <c r="Q14" s="1">
        <f t="shared" si="0"/>
        <v>0.52980068893566457</v>
      </c>
    </row>
    <row r="15" spans="1:17" ht="30" customHeight="1">
      <c r="A15" t="str">
        <f t="shared" si="1"/>
        <v>french</v>
      </c>
      <c r="B15">
        <f>_xlfn.LET(_xlpm.c,_xlfn.SINGLE(Table13[condition]),IF(RIGHT(_xlpm.c,2)="1g",1,0))</f>
        <v>0</v>
      </c>
      <c r="C15" t="s">
        <v>24</v>
      </c>
      <c r="D15" s="1">
        <v>0.77461059946081101</v>
      </c>
      <c r="E15" s="1">
        <v>0.61881876763833998</v>
      </c>
      <c r="F15" s="1">
        <v>0.73224992093685903</v>
      </c>
      <c r="G15" s="1">
        <v>0.608432450560216</v>
      </c>
      <c r="H15" s="1">
        <v>0.61130051097141203</v>
      </c>
      <c r="I15" s="1">
        <v>0.77939252321861896</v>
      </c>
      <c r="J15" s="1">
        <v>0.61797960354812698</v>
      </c>
      <c r="K15" s="1">
        <v>0.367354026288366</v>
      </c>
      <c r="L15" s="1">
        <v>0.60563541436232105</v>
      </c>
      <c r="M15" s="1">
        <v>0.40517977250376402</v>
      </c>
      <c r="N15" s="1">
        <v>0.55404214804652596</v>
      </c>
      <c r="O15" s="1">
        <v>0.57209496003442095</v>
      </c>
      <c r="P15" s="1">
        <v>0.46318319213631798</v>
      </c>
      <c r="Q15" s="1">
        <f t="shared" si="0"/>
        <v>0.59309799151585385</v>
      </c>
    </row>
    <row r="16" spans="1:17" ht="30" customHeight="1">
      <c r="A16" t="str">
        <f t="shared" si="1"/>
        <v>french</v>
      </c>
      <c r="B16">
        <f>_xlfn.LET(_xlpm.c,_xlfn.SINGLE(Table13[condition]),IF(RIGHT(_xlpm.c,2)="1g",1,0))</f>
        <v>0</v>
      </c>
      <c r="C16" t="s">
        <v>25</v>
      </c>
      <c r="D16" s="1">
        <v>0.74350390204064798</v>
      </c>
      <c r="E16" s="1">
        <v>0.684798262640547</v>
      </c>
      <c r="F16" s="1">
        <v>0.69755128052667903</v>
      </c>
      <c r="G16" s="1">
        <v>0.55775851286921696</v>
      </c>
      <c r="H16" s="1">
        <v>0.48981640711600399</v>
      </c>
      <c r="I16" s="1">
        <v>0.55562091976024597</v>
      </c>
      <c r="J16" s="1">
        <v>0.67071169774127604</v>
      </c>
      <c r="K16" s="1">
        <v>0.66901871469274099</v>
      </c>
      <c r="L16" s="1">
        <v>0.403618313678894</v>
      </c>
      <c r="M16" s="1">
        <v>0.77440943041071997</v>
      </c>
      <c r="N16" s="1">
        <v>0.51378686067683099</v>
      </c>
      <c r="O16" s="1">
        <v>0.32532686067780298</v>
      </c>
      <c r="P16" s="1">
        <v>0.47250957766709401</v>
      </c>
      <c r="Q16" s="1">
        <f t="shared" si="0"/>
        <v>0.58141774926913081</v>
      </c>
    </row>
    <row r="17" spans="1:17" ht="30" customHeight="1">
      <c r="A17" t="str">
        <f t="shared" si="1"/>
        <v>german</v>
      </c>
      <c r="B17">
        <f>_xlfn.LET(_xlpm.c,_xlfn.SINGLE(Table13[condition]),IF(RIGHT(_xlpm.c,2)="1g",1,0))</f>
        <v>1</v>
      </c>
      <c r="C17" t="s">
        <v>26</v>
      </c>
      <c r="D17" s="1">
        <v>1</v>
      </c>
      <c r="E17" s="1">
        <v>0.92980877999760403</v>
      </c>
      <c r="F17" s="1">
        <v>0.906792870870328</v>
      </c>
      <c r="G17" s="1">
        <v>0.79357687382775999</v>
      </c>
      <c r="H17" s="1">
        <v>0.86655932189549101</v>
      </c>
      <c r="I17" s="1">
        <v>0.69295567886096598</v>
      </c>
      <c r="J17" s="1">
        <v>0.76104289018909699</v>
      </c>
      <c r="K17" s="1">
        <v>0.714887313372915</v>
      </c>
      <c r="L17" s="1">
        <v>0.53288177959304595</v>
      </c>
      <c r="M17" s="1">
        <v>0.33701028754569101</v>
      </c>
      <c r="N17" s="1">
        <v>0.52315721712307395</v>
      </c>
      <c r="O17" s="1">
        <v>0.478817036188603</v>
      </c>
      <c r="P17" s="1">
        <v>0.50643432366276897</v>
      </c>
      <c r="Q17" s="1">
        <f t="shared" si="0"/>
        <v>0.69568649024056495</v>
      </c>
    </row>
    <row r="18" spans="1:17" ht="30" customHeight="1">
      <c r="A18" t="str">
        <f t="shared" si="1"/>
        <v>german</v>
      </c>
      <c r="B18">
        <f>_xlfn.LET(_xlpm.c,_xlfn.SINGLE(Table13[condition]),IF(RIGHT(_xlpm.c,2)="1g",1,0))</f>
        <v>0</v>
      </c>
      <c r="C18" t="s">
        <v>27</v>
      </c>
      <c r="D18" s="1">
        <v>0.76226299127270103</v>
      </c>
      <c r="E18" s="1">
        <v>0.56612643946468499</v>
      </c>
      <c r="F18" s="1">
        <v>0.57592466335988002</v>
      </c>
      <c r="G18" s="1">
        <v>0.61108693059763697</v>
      </c>
      <c r="H18" s="1">
        <v>0.54987665061515201</v>
      </c>
      <c r="I18" s="1">
        <v>0.51098632901215701</v>
      </c>
      <c r="J18" s="1">
        <v>0.55630245811445</v>
      </c>
      <c r="K18" s="1">
        <v>0.43807544948849603</v>
      </c>
      <c r="L18" s="1">
        <v>0.53702571450716596</v>
      </c>
      <c r="M18" s="1">
        <v>0.60227464055934599</v>
      </c>
      <c r="N18" s="1">
        <v>0.37678179275060703</v>
      </c>
      <c r="O18" s="1">
        <v>0.50336008080371897</v>
      </c>
      <c r="P18" s="1">
        <v>0.52489945885451805</v>
      </c>
      <c r="Q18" s="1">
        <f t="shared" si="0"/>
        <v>0.54730643072311647</v>
      </c>
    </row>
    <row r="19" spans="1:17" ht="30" customHeight="1">
      <c r="A19" t="str">
        <f t="shared" si="1"/>
        <v>german</v>
      </c>
      <c r="B19">
        <f>_xlfn.LET(_xlpm.c,_xlfn.SINGLE(Table13[condition]),IF(RIGHT(_xlpm.c,2)="1g",1,0))</f>
        <v>0</v>
      </c>
      <c r="C19" t="s">
        <v>28</v>
      </c>
      <c r="D19" s="1">
        <v>0.70637144982359901</v>
      </c>
      <c r="E19" s="1">
        <v>0.66361864799802395</v>
      </c>
      <c r="F19" s="1">
        <v>0.70312865857488804</v>
      </c>
      <c r="G19" s="1">
        <v>0.69178017495712696</v>
      </c>
      <c r="H19" s="1">
        <v>0.55231417665609694</v>
      </c>
      <c r="I19" s="1">
        <v>0.53773184893668702</v>
      </c>
      <c r="J19" s="1">
        <v>0.64729555632823099</v>
      </c>
      <c r="K19" s="1">
        <v>0.73319092101829197</v>
      </c>
      <c r="L19" s="1">
        <v>0.75074483335789499</v>
      </c>
      <c r="M19" s="1">
        <v>0.48008519096671098</v>
      </c>
      <c r="N19" s="1">
        <v>0.46857137628256801</v>
      </c>
      <c r="O19" s="1">
        <v>0.52898222060911304</v>
      </c>
      <c r="P19" s="1">
        <v>0.431027737988183</v>
      </c>
      <c r="Q19" s="1">
        <f t="shared" si="0"/>
        <v>0.60729559949980105</v>
      </c>
    </row>
    <row r="20" spans="1:17" ht="30" customHeight="1">
      <c r="A20" t="str">
        <f t="shared" si="1"/>
        <v>german</v>
      </c>
      <c r="B20">
        <f>_xlfn.LET(_xlpm.c,_xlfn.SINGLE(Table13[condition]),IF(RIGHT(_xlpm.c,2)="1g",1,0))</f>
        <v>0</v>
      </c>
      <c r="C20" t="s">
        <v>29</v>
      </c>
      <c r="D20" s="1">
        <v>0.735856682958418</v>
      </c>
      <c r="E20" s="1">
        <v>0.79318790620072699</v>
      </c>
      <c r="F20" s="1">
        <v>0.72156977655033205</v>
      </c>
      <c r="G20" s="1">
        <v>0.78875179532976902</v>
      </c>
      <c r="H20" s="1">
        <v>0.65751415611392905</v>
      </c>
      <c r="I20" s="1">
        <v>0.630071301154013</v>
      </c>
      <c r="J20" s="1">
        <v>0.66641362988696495</v>
      </c>
      <c r="K20" s="1">
        <v>0.69627036063909797</v>
      </c>
      <c r="L20" s="1">
        <v>0.59364489139170495</v>
      </c>
      <c r="M20" s="1">
        <v>0.66740894086443403</v>
      </c>
      <c r="N20" s="1">
        <v>0.64347421938183602</v>
      </c>
      <c r="O20" s="1">
        <v>0.40021946854188201</v>
      </c>
      <c r="P20" s="1">
        <v>0.42941265799660699</v>
      </c>
      <c r="Q20" s="1">
        <f t="shared" si="0"/>
        <v>0.6479842913084396</v>
      </c>
    </row>
    <row r="21" spans="1:17" ht="30" customHeight="1">
      <c r="A21" t="str">
        <f t="shared" si="1"/>
        <v>german</v>
      </c>
      <c r="B21">
        <f>_xlfn.LET(_xlpm.c,_xlfn.SINGLE(Table13[condition]),IF(RIGHT(_xlpm.c,2)="1g",1,0))</f>
        <v>0</v>
      </c>
      <c r="C21" t="s">
        <v>30</v>
      </c>
      <c r="D21" s="1">
        <v>0.75376600448131104</v>
      </c>
      <c r="E21" s="1">
        <v>0.81711398593665197</v>
      </c>
      <c r="F21" s="1">
        <v>0.71878145983783104</v>
      </c>
      <c r="G21" s="1">
        <v>0.50787456394582098</v>
      </c>
      <c r="H21" s="1">
        <v>0.577697183316774</v>
      </c>
      <c r="I21" s="1">
        <v>0.59283045492400199</v>
      </c>
      <c r="J21" s="1">
        <v>0.65904581926008599</v>
      </c>
      <c r="K21" s="1">
        <v>0.41420307954187802</v>
      </c>
      <c r="L21" s="1">
        <v>0.63493445276746696</v>
      </c>
      <c r="M21" s="1">
        <v>0.44558335424108397</v>
      </c>
      <c r="N21" s="1">
        <v>0.53088797219269301</v>
      </c>
      <c r="O21" s="1">
        <v>0.64561590257162904</v>
      </c>
      <c r="P21" s="1">
        <v>0.217816846669209</v>
      </c>
      <c r="Q21" s="1">
        <f t="shared" si="0"/>
        <v>0.57816546766818755</v>
      </c>
    </row>
    <row r="22" spans="1:17" ht="30" customHeight="1">
      <c r="A22" t="str">
        <f t="shared" si="1"/>
        <v>russian</v>
      </c>
      <c r="B22">
        <f>_xlfn.LET(_xlpm.c,_xlfn.SINGLE(Table13[condition]),IF(RIGHT(_xlpm.c,2)="1g",1,0))</f>
        <v>1</v>
      </c>
      <c r="C22" t="s">
        <v>31</v>
      </c>
      <c r="D22" s="1">
        <v>1</v>
      </c>
      <c r="E22" s="1">
        <v>1</v>
      </c>
      <c r="F22" s="1">
        <v>1</v>
      </c>
      <c r="G22" s="1">
        <v>1</v>
      </c>
      <c r="H22" s="1">
        <v>1</v>
      </c>
      <c r="I22" s="1">
        <v>1</v>
      </c>
      <c r="J22" s="1">
        <v>1</v>
      </c>
      <c r="K22" s="1">
        <v>1</v>
      </c>
      <c r="L22" s="1">
        <v>1</v>
      </c>
      <c r="M22" s="1">
        <v>1</v>
      </c>
      <c r="N22" s="1">
        <v>1</v>
      </c>
      <c r="O22" s="1">
        <v>1</v>
      </c>
      <c r="P22" s="1">
        <v>1</v>
      </c>
      <c r="Q22" s="1">
        <f t="shared" si="0"/>
        <v>1</v>
      </c>
    </row>
    <row r="23" spans="1:17" ht="30" customHeight="1">
      <c r="A23" t="str">
        <f t="shared" si="1"/>
        <v>russian</v>
      </c>
      <c r="B23">
        <f>_xlfn.LET(_xlpm.c,_xlfn.SINGLE(Table13[condition]),IF(RIGHT(_xlpm.c,2)="1g",1,0))</f>
        <v>0</v>
      </c>
      <c r="C23" t="s">
        <v>32</v>
      </c>
      <c r="D23" s="1">
        <v>1</v>
      </c>
      <c r="E23" s="1">
        <v>1</v>
      </c>
      <c r="F23" s="1">
        <v>1</v>
      </c>
      <c r="G23" s="1">
        <v>1</v>
      </c>
      <c r="H23" s="1">
        <v>1</v>
      </c>
      <c r="I23" s="1">
        <v>1</v>
      </c>
      <c r="J23" s="1">
        <v>1</v>
      </c>
      <c r="K23" s="1">
        <v>1</v>
      </c>
      <c r="L23" s="1">
        <v>1</v>
      </c>
      <c r="M23" s="1">
        <v>1</v>
      </c>
      <c r="N23" s="1">
        <v>1</v>
      </c>
      <c r="O23" s="1">
        <v>1</v>
      </c>
      <c r="P23" s="1">
        <v>1</v>
      </c>
      <c r="Q23" s="1">
        <f t="shared" si="0"/>
        <v>1</v>
      </c>
    </row>
    <row r="24" spans="1:17" ht="30" customHeight="1">
      <c r="A24" t="str">
        <f t="shared" si="1"/>
        <v>russian</v>
      </c>
      <c r="B24">
        <f>_xlfn.LET(_xlpm.c,_xlfn.SINGLE(Table13[condition]),IF(RIGHT(_xlpm.c,2)="1g",1,0))</f>
        <v>0</v>
      </c>
      <c r="C24" t="s">
        <v>33</v>
      </c>
      <c r="D24" s="1">
        <v>1</v>
      </c>
      <c r="E24" s="1">
        <v>1</v>
      </c>
      <c r="F24" s="1">
        <v>1</v>
      </c>
      <c r="G24" s="1">
        <v>1</v>
      </c>
      <c r="H24" s="1">
        <v>1</v>
      </c>
      <c r="I24" s="1">
        <v>1</v>
      </c>
      <c r="J24" s="1">
        <v>1</v>
      </c>
      <c r="K24" s="1">
        <v>1</v>
      </c>
      <c r="L24" s="1">
        <v>1</v>
      </c>
      <c r="M24" s="1">
        <v>1</v>
      </c>
      <c r="N24" s="1">
        <v>1</v>
      </c>
      <c r="O24" s="1">
        <v>1</v>
      </c>
      <c r="P24" s="1">
        <v>1</v>
      </c>
      <c r="Q24" s="1">
        <f t="shared" si="0"/>
        <v>1</v>
      </c>
    </row>
    <row r="25" spans="1:17" ht="30" customHeight="1">
      <c r="A25" t="str">
        <f t="shared" si="1"/>
        <v>russian</v>
      </c>
      <c r="B25">
        <f>_xlfn.LET(_xlpm.c,_xlfn.SINGLE(Table13[condition]),IF(RIGHT(_xlpm.c,2)="1g",1,0))</f>
        <v>0</v>
      </c>
      <c r="C25" t="s">
        <v>34</v>
      </c>
      <c r="D25" s="1">
        <v>1</v>
      </c>
      <c r="E25" s="1">
        <v>1</v>
      </c>
      <c r="F25" s="1">
        <v>1</v>
      </c>
      <c r="G25" s="1">
        <v>1</v>
      </c>
      <c r="H25" s="1">
        <v>1</v>
      </c>
      <c r="I25" s="1">
        <v>1</v>
      </c>
      <c r="J25" s="1">
        <v>1</v>
      </c>
      <c r="K25" s="1">
        <v>0.96503826854917096</v>
      </c>
      <c r="L25" s="1">
        <v>1</v>
      </c>
      <c r="M25" s="1">
        <v>0.99851849250539004</v>
      </c>
      <c r="N25" s="1">
        <v>1</v>
      </c>
      <c r="O25" s="1">
        <v>0.99828473413379004</v>
      </c>
      <c r="P25" s="1">
        <v>0.85410196624968404</v>
      </c>
      <c r="Q25" s="1">
        <f t="shared" si="0"/>
        <v>0.9858418047260028</v>
      </c>
    </row>
    <row r="26" spans="1:17" ht="30" customHeight="1">
      <c r="A26" t="str">
        <f t="shared" si="1"/>
        <v>russian</v>
      </c>
      <c r="B26">
        <f>_xlfn.LET(_xlpm.c,_xlfn.SINGLE(Table13[condition]),IF(RIGHT(_xlpm.c,2)="1g",1,0))</f>
        <v>0</v>
      </c>
      <c r="C26" t="s">
        <v>35</v>
      </c>
      <c r="D26" s="1">
        <v>0.973288779766731</v>
      </c>
      <c r="E26" s="1">
        <v>0.97948302602913295</v>
      </c>
      <c r="F26" s="1">
        <v>1</v>
      </c>
      <c r="G26" s="1">
        <v>0.99714248387664495</v>
      </c>
      <c r="H26" s="1">
        <v>1</v>
      </c>
      <c r="I26" s="1">
        <v>1</v>
      </c>
      <c r="J26" s="1">
        <v>0.99878345318736395</v>
      </c>
      <c r="K26" s="1">
        <v>1</v>
      </c>
      <c r="L26" s="1">
        <v>1</v>
      </c>
      <c r="M26" s="1">
        <v>1</v>
      </c>
      <c r="N26" s="1">
        <v>0.98210882293406399</v>
      </c>
      <c r="O26" s="1">
        <v>0.98904904531233395</v>
      </c>
      <c r="P26" s="1">
        <v>0.980733549429882</v>
      </c>
      <c r="Q26" s="1">
        <f t="shared" si="0"/>
        <v>0.99235301234893492</v>
      </c>
    </row>
    <row r="28" spans="1:17" ht="30" customHeight="1">
      <c r="C28" t="s">
        <v>44</v>
      </c>
    </row>
    <row r="29" spans="1:17" ht="30" customHeight="1">
      <c r="C29" t="s">
        <v>37</v>
      </c>
      <c r="D29" s="2">
        <f>_xlfn.LET(_xlpm.d,D$2:D$26,AVERAGE(_xlpm.d))</f>
        <v>0.85766320928900308</v>
      </c>
      <c r="E29" s="2">
        <f>_xlfn.LET(_xlpm.d,E$2:E$26,AVERAGE(_xlpm.d))</f>
        <v>0.82647837948047442</v>
      </c>
      <c r="F29" s="2">
        <f>_xlfn.LET(_xlpm.d,F$2:F$26,AVERAGE(_xlpm.d))</f>
        <v>0.80863881565426543</v>
      </c>
      <c r="G29" s="2">
        <f>_xlfn.LET(_xlpm.d,G$2:G$26,AVERAGE(_xlpm.d))</f>
        <v>0.78525998230655825</v>
      </c>
      <c r="H29" s="2">
        <f>_xlfn.LET(_xlpm.d,H$2:H$26,AVERAGE(_xlpm.d))</f>
        <v>0.78314148798764693</v>
      </c>
      <c r="I29" s="2">
        <f>_xlfn.LET(_xlpm.d,I$2:I$26,AVERAGE(_xlpm.d))</f>
        <v>0.75999295814940415</v>
      </c>
      <c r="J29" s="2">
        <f>_xlfn.LET(_xlpm.d,J$2:J$26,AVERAGE(_xlpm.d))</f>
        <v>0.76229077988958405</v>
      </c>
      <c r="K29" s="2">
        <f>_xlfn.LET(_xlpm.d,K$2:K$26,AVERAGE(_xlpm.d))</f>
        <v>0.74062288134907295</v>
      </c>
      <c r="L29" s="2">
        <f>_xlfn.LET(_xlpm.d,L$2:L$26,AVERAGE(_xlpm.d))</f>
        <v>0.71912660742357504</v>
      </c>
      <c r="M29" s="2">
        <f>_xlfn.LET(_xlpm.d,M$2:M$26,AVERAGE(_xlpm.d))</f>
        <v>0.70808899129684699</v>
      </c>
      <c r="N29" s="2">
        <f>_xlfn.LET(_xlpm.d,N$2:N$26,AVERAGE(_xlpm.d))</f>
        <v>0.6914370238687475</v>
      </c>
      <c r="O29" s="2">
        <f>_xlfn.LET(_xlpm.d,O$2:O$26,AVERAGE(_xlpm.d))</f>
        <v>0.66061261507622304</v>
      </c>
      <c r="P29" s="2">
        <f>_xlfn.LET(_xlpm.d,P$2:P$26,AVERAGE(_xlpm.d))</f>
        <v>0.66951175817184028</v>
      </c>
      <c r="Q29" s="2">
        <f>_xlfn.LET(_xlpm.d,Q$2:Q$26,AVERAGE(_xlpm.d))</f>
        <v>0.75175888384178802</v>
      </c>
    </row>
    <row r="30" spans="1:17" ht="30" customHeight="1">
      <c r="C30" t="s">
        <v>38</v>
      </c>
      <c r="D30" s="2" cm="1">
        <f t="array" ref="D30">_xlfn.LET(_xlpm.d,D$2:D$26,_xlpm.f,$A$2:$A$26,_xlpm.k,$C30,AVERAGE(_xlfn._xlws.FILTER(_xlpm.d,_xlpm.f=_xlpm.k)))</f>
        <v>1</v>
      </c>
      <c r="E30" s="2" cm="1">
        <f t="array" ref="E30">_xlfn.LET(_xlpm.d,E$2:E$26,_xlpm.f,$A$2:$A$26,_xlpm.k,$C30,AVERAGE(_xlfn._xlws.FILTER(_xlpm.d,_xlpm.f=_xlpm.k)))</f>
        <v>0.99959341585869521</v>
      </c>
      <c r="F30" s="2" cm="1">
        <f t="array" ref="F30">_xlfn.LET(_xlpm.d,F$2:F$26,_xlpm.f,$A$2:$A$26,_xlpm.k,$C30,AVERAGE(_xlfn._xlws.FILTER(_xlpm.d,_xlpm.f=_xlpm.k)))</f>
        <v>0.9996854975260433</v>
      </c>
      <c r="G30" s="2" cm="1">
        <f t="array" ref="G30">_xlfn.LET(_xlpm.d,G$2:G$26,_xlpm.f,$A$2:$A$26,_xlpm.k,$C30,AVERAGE(_xlfn._xlws.FILTER(_xlpm.d,_xlpm.f=_xlpm.k)))</f>
        <v>0.99614044829529058</v>
      </c>
      <c r="H30" s="2" cm="1">
        <f t="array" ref="H30">_xlfn.LET(_xlpm.d,H$2:H$26,_xlpm.f,$A$2:$A$26,_xlpm.k,$C30,AVERAGE(_xlfn._xlws.FILTER(_xlpm.d,_xlpm.f=_xlpm.k)))</f>
        <v>0.99779918912138932</v>
      </c>
      <c r="I30" s="2" cm="1">
        <f t="array" ref="I30">_xlfn.LET(_xlpm.d,I$2:I$26,_xlpm.f,$A$2:$A$26,_xlpm.k,$C30,AVERAGE(_xlfn._xlws.FILTER(_xlpm.d,_xlpm.f=_xlpm.k)))</f>
        <v>0.99906048037737349</v>
      </c>
      <c r="J30" s="2" cm="1">
        <f t="array" ref="J30">_xlfn.LET(_xlpm.d,J$2:J$26,_xlpm.f,$A$2:$A$26,_xlpm.k,$C30,AVERAGE(_xlfn._xlws.FILTER(_xlpm.d,_xlpm.f=_xlpm.k)))</f>
        <v>0.99339976259247464</v>
      </c>
      <c r="K30" s="2" cm="1">
        <f t="array" ref="K30">_xlfn.LET(_xlpm.d,K$2:K$26,_xlpm.f,$A$2:$A$26,_xlpm.k,$C30,AVERAGE(_xlfn._xlws.FILTER(_xlpm.d,_xlpm.f=_xlpm.k)))</f>
        <v>1</v>
      </c>
      <c r="L30" s="2" cm="1">
        <f t="array" ref="L30">_xlfn.LET(_xlpm.d,L$2:L$26,_xlpm.f,$A$2:$A$26,_xlpm.k,$C30,AVERAGE(_xlfn._xlws.FILTER(_xlpm.d,_xlpm.f=_xlpm.k)))</f>
        <v>0.99973331768723095</v>
      </c>
      <c r="M30" s="2" cm="1">
        <f t="array" ref="M30">_xlfn.LET(_xlpm.d,M$2:M$26,_xlpm.f,$A$2:$A$26,_xlpm.k,$C30,AVERAGE(_xlfn._xlws.FILTER(_xlpm.d,_xlpm.f=_xlpm.k)))</f>
        <v>0.99686254845421962</v>
      </c>
      <c r="N30" s="2" cm="1">
        <f t="array" ref="N30">_xlfn.LET(_xlpm.d,N$2:N$26,_xlpm.f,$A$2:$A$26,_xlpm.k,$C30,AVERAGE(_xlfn._xlws.FILTER(_xlpm.d,_xlpm.f=_xlpm.k)))</f>
        <v>0.99874960915206912</v>
      </c>
      <c r="O30" s="2" cm="1">
        <f t="array" ref="O30">_xlfn.LET(_xlpm.d,O$2:O$26,_xlpm.f,$A$2:$A$26,_xlpm.k,$C30,AVERAGE(_xlfn._xlws.FILTER(_xlpm.d,_xlpm.f=_xlpm.k)))</f>
        <v>0.96790971066684794</v>
      </c>
      <c r="P30" s="2" cm="1">
        <f t="array" ref="P30">_xlfn.LET(_xlpm.d,P$2:P$26,_xlpm.f,$A$2:$A$26,_xlpm.k,$C30,AVERAGE(_xlfn._xlws.FILTER(_xlpm.d,_xlpm.f=_xlpm.k)))</f>
        <v>0.99961535474090835</v>
      </c>
      <c r="Q30" s="2" cm="1">
        <f t="array" ref="Q30">_xlfn.LET(_xlpm.d,Q$2:Q$26,_xlpm.f,$A$2:$A$26,_xlpm.k,$C30,AVERAGE(_xlfn._xlws.FILTER(_xlpm.d,_xlpm.f=_xlpm.k)))</f>
        <v>0.99604225649788791</v>
      </c>
    </row>
    <row r="31" spans="1:17" ht="30" customHeight="1">
      <c r="C31" t="s">
        <v>39</v>
      </c>
      <c r="D31" s="2" cm="1">
        <f t="array" ref="D31">_xlfn.LET(_xlpm.d,D$2:D$26,_xlpm.f,$A$2:$A$26,_xlpm.k,$C31,AVERAGE(_xlfn._xlws.FILTER(_xlpm.d,_xlpm.f=_xlpm.k)))</f>
        <v>0.79165142570720581</v>
      </c>
      <c r="E31" s="2" cm="1">
        <f t="array" ref="E31">_xlfn.LET(_xlpm.d,E$2:E$26,_xlpm.f,$A$2:$A$26,_xlpm.k,$C31,AVERAGE(_xlfn._xlws.FILTER(_xlpm.d,_xlpm.f=_xlpm.k)))</f>
        <v>0.75397115191953845</v>
      </c>
      <c r="F31" s="2" cm="1">
        <f t="array" ref="F31">_xlfn.LET(_xlpm.d,F$2:F$26,_xlpm.f,$A$2:$A$26,_xlpm.k,$C31,AVERAGE(_xlfn._xlws.FILTER(_xlpm.d,_xlpm.f=_xlpm.k)))</f>
        <v>0.72523948583865183</v>
      </c>
      <c r="G31" s="2" cm="1">
        <f t="array" ref="G31">_xlfn.LET(_xlpm.d,G$2:G$26,_xlpm.f,$A$2:$A$26,_xlpm.k,$C31,AVERAGE(_xlfn._xlws.FILTER(_xlpm.d,_xlpm.f=_xlpm.k)))</f>
        <v>0.67861406773162281</v>
      </c>
      <c r="H31" s="2" cm="1">
        <f t="array" ref="H31">_xlfn.LET(_xlpm.d,H$2:H$26,_xlpm.f,$A$2:$A$26,_xlpm.k,$C31,AVERAGE(_xlfn._xlws.FILTER(_xlpm.d,_xlpm.f=_xlpm.k)))</f>
        <v>0.64079229771948865</v>
      </c>
      <c r="I31" s="2" cm="1">
        <f t="array" ref="I31">_xlfn.LET(_xlpm.d,I$2:I$26,_xlpm.f,$A$2:$A$26,_xlpm.k,$C31,AVERAGE(_xlfn._xlws.FILTER(_xlpm.d,_xlpm.f=_xlpm.k)))</f>
        <v>0.59291512257756496</v>
      </c>
      <c r="J31" s="2" cm="1">
        <f t="array" ref="J31">_xlfn.LET(_xlpm.d,J$2:J$26,_xlpm.f,$A$2:$A$26,_xlpm.k,$C31,AVERAGE(_xlfn._xlws.FILTER(_xlpm.d,_xlpm.f=_xlpm.k)))</f>
        <v>0.65802007075576574</v>
      </c>
      <c r="K31" s="2" cm="1">
        <f t="array" ref="K31">_xlfn.LET(_xlpm.d,K$2:K$26,_xlpm.f,$A$2:$A$26,_xlpm.k,$C31,AVERAGE(_xlfn._xlws.FILTER(_xlpm.d,_xlpm.f=_xlpm.k)))</f>
        <v>0.5993254248121358</v>
      </c>
      <c r="L31" s="2" cm="1">
        <f t="array" ref="L31">_xlfn.LET(_xlpm.d,L$2:L$26,_xlpm.f,$A$2:$A$26,_xlpm.k,$C31,AVERAGE(_xlfn._xlws.FILTER(_xlpm.d,_xlpm.f=_xlpm.k)))</f>
        <v>0.60984633432345581</v>
      </c>
      <c r="M31" s="2" cm="1">
        <f t="array" ref="M31">_xlfn.LET(_xlpm.d,M$2:M$26,_xlpm.f,$A$2:$A$26,_xlpm.k,$C31,AVERAGE(_xlfn._xlws.FILTER(_xlpm.d,_xlpm.f=_xlpm.k)))</f>
        <v>0.50647248283545321</v>
      </c>
      <c r="N31" s="2" cm="1">
        <f t="array" ref="N31">_xlfn.LET(_xlpm.d,N$2:N$26,_xlpm.f,$A$2:$A$26,_xlpm.k,$C31,AVERAGE(_xlfn._xlws.FILTER(_xlpm.d,_xlpm.f=_xlpm.k)))</f>
        <v>0.50857451554615563</v>
      </c>
      <c r="O31" s="2" cm="1">
        <f t="array" ref="O31">_xlfn.LET(_xlpm.d,O$2:O$26,_xlpm.f,$A$2:$A$26,_xlpm.k,$C31,AVERAGE(_xlfn._xlws.FILTER(_xlpm.d,_xlpm.f=_xlpm.k)))</f>
        <v>0.51139894174298917</v>
      </c>
      <c r="P31" s="2" cm="1">
        <f t="array" ref="P31">_xlfn.LET(_xlpm.d,P$2:P$26,_xlpm.f,$A$2:$A$26,_xlpm.k,$C31,AVERAGE(_xlfn._xlws.FILTER(_xlpm.d,_xlpm.f=_xlpm.k)))</f>
        <v>0.4219182050342572</v>
      </c>
      <c r="Q31" s="2" cm="1">
        <f t="array" ref="Q31">_xlfn.LET(_xlpm.d,Q$2:Q$26,_xlpm.f,$A$2:$A$26,_xlpm.k,$C31,AVERAGE(_xlfn._xlws.FILTER(_xlpm.d,_xlpm.f=_xlpm.k)))</f>
        <v>0.61528765588802192</v>
      </c>
    </row>
    <row r="32" spans="1:17" ht="30" customHeight="1">
      <c r="C32" t="s">
        <v>40</v>
      </c>
      <c r="D32" s="2" cm="1">
        <f t="array" ref="D32">_xlfn.LET(_xlpm.d,D$2:D$26,_xlpm.f,$A$2:$A$26,_xlpm.k,$C32,AVERAGE(_xlfn._xlws.FILTER(_xlpm.d,_xlpm.f=_xlpm.k)))</f>
        <v>0.68435842439196959</v>
      </c>
      <c r="E32" s="2" cm="1">
        <f t="array" ref="E32">_xlfn.LET(_xlpm.d,E$2:E$26,_xlpm.f,$A$2:$A$26,_xlpm.k,$C32,AVERAGE(_xlfn._xlws.FILTER(_xlpm.d,_xlpm.f=_xlpm.k)))</f>
        <v>0.69532705987933574</v>
      </c>
      <c r="F32" s="2" cm="1">
        <f t="array" ref="F32">_xlfn.LET(_xlpm.d,F$2:F$26,_xlpm.f,$A$2:$A$26,_xlpm.k,$C32,AVERAGE(_xlfn._xlws.FILTER(_xlpm.d,_xlpm.f=_xlpm.k)))</f>
        <v>0.6004423311555851</v>
      </c>
      <c r="G32" s="2" cm="1">
        <f t="array" ref="G32">_xlfn.LET(_xlpm.d,G$2:G$26,_xlpm.f,$A$2:$A$26,_xlpm.k,$C32,AVERAGE(_xlfn._xlws.FILTER(_xlpm.d,_xlpm.f=_xlpm.k)))</f>
        <v>0.62851233936664253</v>
      </c>
      <c r="H32" s="2" cm="1">
        <f t="array" ref="H32">_xlfn.LET(_xlpm.d,H$2:H$26,_xlpm.f,$A$2:$A$26,_xlpm.k,$C32,AVERAGE(_xlfn._xlws.FILTER(_xlpm.d,_xlpm.f=_xlpm.k)))</f>
        <v>0.67895251539714674</v>
      </c>
      <c r="I32" s="2" cm="1">
        <f t="array" ref="I32">_xlfn.LET(_xlpm.d,I$2:I$26,_xlpm.f,$A$2:$A$26,_xlpm.k,$C32,AVERAGE(_xlfn._xlws.FILTER(_xlpm.d,_xlpm.f=_xlpm.k)))</f>
        <v>0.57386062567053342</v>
      </c>
      <c r="J32" s="2" cm="1">
        <f t="array" ref="J32">_xlfn.LET(_xlpm.d,J$2:J$26,_xlpm.f,$A$2:$A$26,_xlpm.k,$C32,AVERAGE(_xlfn._xlws.FILTER(_xlpm.d,_xlpm.f=_xlpm.k)))</f>
        <v>0.58506082336519039</v>
      </c>
      <c r="K32" s="2" cm="1">
        <f t="array" ref="K32">_xlfn.LET(_xlpm.d,K$2:K$26,_xlpm.f,$A$2:$A$26,_xlpm.k,$C32,AVERAGE(_xlfn._xlws.FILTER(_xlpm.d,_xlpm.f=_xlpm.k)))</f>
        <v>0.56416342527208019</v>
      </c>
      <c r="L32" s="2" cm="1">
        <f t="array" ref="L32">_xlfn.LET(_xlpm.d,L$2:L$26,_xlpm.f,$A$2:$A$26,_xlpm.k,$C32,AVERAGE(_xlfn._xlws.FILTER(_xlpm.d,_xlpm.f=_xlpm.k)))</f>
        <v>0.47883187173414454</v>
      </c>
      <c r="M32" s="2" cm="1">
        <f t="array" ref="M32">_xlfn.LET(_xlpm.d,M$2:M$26,_xlpm.f,$A$2:$A$26,_xlpm.k,$C32,AVERAGE(_xlfn._xlws.FILTER(_xlpm.d,_xlpm.f=_xlpm.k)))</f>
        <v>0.48157242304814041</v>
      </c>
      <c r="N32" s="2" cm="1">
        <f t="array" ref="N32">_xlfn.LET(_xlpm.d,N$2:N$26,_xlpm.f,$A$2:$A$26,_xlpm.k,$C32,AVERAGE(_xlfn._xlws.FILTER(_xlpm.d,_xlpm.f=_xlpm.k)))</f>
        <v>0.46104401462887656</v>
      </c>
      <c r="O32" s="2" cm="1">
        <f t="array" ref="O32">_xlfn.LET(_xlpm.d,O$2:O$26,_xlpm.f,$A$2:$A$26,_xlpm.k,$C32,AVERAGE(_xlfn._xlws.FILTER(_xlpm.d,_xlpm.f=_xlpm.k)))</f>
        <v>0.40567029764850515</v>
      </c>
      <c r="P32" s="2" cm="1">
        <f t="array" ref="P32">_xlfn.LET(_xlpm.d,P$2:P$26,_xlpm.f,$A$2:$A$26,_xlpm.k,$C32,AVERAGE(_xlfn._xlws.FILTER(_xlpm.d,_xlpm.f=_xlpm.k)))</f>
        <v>0.52997161698125117</v>
      </c>
      <c r="Q32" s="2" cm="1">
        <f t="array" ref="Q32">_xlfn.LET(_xlpm.d,Q$2:Q$26,_xlpm.f,$A$2:$A$26,_xlpm.k,$C32,AVERAGE(_xlfn._xlws.FILTER(_xlpm.d,_xlpm.f=_xlpm.k)))</f>
        <v>0.56675136681072336</v>
      </c>
    </row>
    <row r="33" spans="3:17" ht="30" customHeight="1">
      <c r="C33" t="s">
        <v>41</v>
      </c>
      <c r="D33" s="2" cm="1">
        <f t="array" ref="D33">_xlfn.LET(_xlpm.d,D$2:D$26,_xlpm.f,$A$2:$A$26,_xlpm.k,$C33,AVERAGE(_xlfn._xlws.FILTER(_xlpm.d,_xlpm.f=_xlpm.k)))</f>
        <v>0.81764844039249396</v>
      </c>
      <c r="E33" s="2" cm="1">
        <f t="array" ref="E33">_xlfn.LET(_xlpm.d,E$2:E$26,_xlpm.f,$A$2:$A$26,_xlpm.k,$C33,AVERAGE(_xlfn._xlws.FILTER(_xlpm.d,_xlpm.f=_xlpm.k)))</f>
        <v>0.68760366453897603</v>
      </c>
      <c r="F33" s="2" cm="1">
        <f t="array" ref="F33">_xlfn.LET(_xlpm.d,F$2:F$26,_xlpm.f,$A$2:$A$26,_xlpm.k,$C33,AVERAGE(_xlfn._xlws.FILTER(_xlpm.d,_xlpm.f=_xlpm.k)))</f>
        <v>0.71782676375104604</v>
      </c>
      <c r="G33" s="2" cm="1">
        <f t="array" ref="G33">_xlfn.LET(_xlpm.d,G$2:G$26,_xlpm.f,$A$2:$A$26,_xlpm.k,$C33,AVERAGE(_xlfn._xlws.FILTER(_xlpm.d,_xlpm.f=_xlpm.k)))</f>
        <v>0.62360455936390757</v>
      </c>
      <c r="H33" s="2" cm="1">
        <f t="array" ref="H33">_xlfn.LET(_xlpm.d,H$2:H$26,_xlpm.f,$A$2:$A$26,_xlpm.k,$C33,AVERAGE(_xlfn._xlws.FILTER(_xlpm.d,_xlpm.f=_xlpm.k)))</f>
        <v>0.59816343770020963</v>
      </c>
      <c r="I33" s="2" cm="1">
        <f t="array" ref="I33">_xlfn.LET(_xlpm.d,I$2:I$26,_xlpm.f,$A$2:$A$26,_xlpm.k,$C33,AVERAGE(_xlfn._xlws.FILTER(_xlpm.d,_xlpm.f=_xlpm.k)))</f>
        <v>0.63412856212154944</v>
      </c>
      <c r="J33" s="2" cm="1">
        <f t="array" ref="J33">_xlfn.LET(_xlpm.d,J$2:J$26,_xlpm.f,$A$2:$A$26,_xlpm.k,$C33,AVERAGE(_xlfn._xlws.FILTER(_xlpm.d,_xlpm.f=_xlpm.k)))</f>
        <v>0.57521655209701739</v>
      </c>
      <c r="K33" s="2" cm="1">
        <f t="array" ref="K33">_xlfn.LET(_xlpm.d,K$2:K$26,_xlpm.f,$A$2:$A$26,_xlpm.k,$C33,AVERAGE(_xlfn._xlws.FILTER(_xlpm.d,_xlpm.f=_xlpm.k)))</f>
        <v>0.54661790295131429</v>
      </c>
      <c r="L33" s="2" cm="1">
        <f t="array" ref="L33">_xlfn.LET(_xlpm.d,L$2:L$26,_xlpm.f,$A$2:$A$26,_xlpm.k,$C33,AVERAGE(_xlfn._xlws.FILTER(_xlpm.d,_xlpm.f=_xlpm.k)))</f>
        <v>0.50722151337304344</v>
      </c>
      <c r="M33" s="2" cm="1">
        <f t="array" ref="M33">_xlfn.LET(_xlpm.d,M$2:M$26,_xlpm.f,$A$2:$A$26,_xlpm.k,$C33,AVERAGE(_xlfn._xlws.FILTER(_xlpm.d,_xlpm.f=_xlpm.k)))</f>
        <v>0.55583380364534374</v>
      </c>
      <c r="N33" s="2" cm="1">
        <f t="array" ref="N33">_xlfn.LET(_xlpm.d,N$2:N$26,_xlpm.f,$A$2:$A$26,_xlpm.k,$C33,AVERAGE(_xlfn._xlws.FILTER(_xlpm.d,_xlpm.f=_xlpm.k)))</f>
        <v>0.4923952154298229</v>
      </c>
      <c r="O33" s="2" cm="1">
        <f t="array" ref="O33">_xlfn.LET(_xlpm.d,O$2:O$26,_xlpm.f,$A$2:$A$26,_xlpm.k,$C33,AVERAGE(_xlfn._xlws.FILTER(_xlpm.d,_xlpm.f=_xlpm.k)))</f>
        <v>0.42061736943354838</v>
      </c>
      <c r="P33" s="2" cm="1">
        <f t="array" ref="P33">_xlfn.LET(_xlpm.d,P$2:P$26,_xlpm.f,$A$2:$A$26,_xlpm.k,$C33,AVERAGE(_xlfn._xlws.FILTER(_xlpm.d,_xlpm.f=_xlpm.k)))</f>
        <v>0.42908651096687078</v>
      </c>
      <c r="Q33" s="2" cm="1">
        <f t="array" ref="Q33">_xlfn.LET(_xlpm.d,Q$2:Q$26,_xlpm.f,$A$2:$A$26,_xlpm.k,$C33,AVERAGE(_xlfn._xlws.FILTER(_xlpm.d,_xlpm.f=_xlpm.k)))</f>
        <v>0.58507417659731875</v>
      </c>
    </row>
    <row r="34" spans="3:17" ht="30" customHeight="1">
      <c r="C34" t="s">
        <v>42</v>
      </c>
      <c r="D34" s="2" cm="1">
        <f t="array" ref="D34">_xlfn.LET(_xlpm.d,D$2:D$26,_xlpm.f,$A$2:$A$26,_xlpm.k,$C34,AVERAGE(_xlfn._xlws.FILTER(_xlpm.d,_xlpm.f=_xlpm.k)))</f>
        <v>0.99465775595334627</v>
      </c>
      <c r="E34" s="2" cm="1">
        <f t="array" ref="E34">_xlfn.LET(_xlpm.d,E$2:E$26,_xlpm.f,$A$2:$A$26,_xlpm.k,$C34,AVERAGE(_xlfn._xlws.FILTER(_xlpm.d,_xlpm.f=_xlpm.k)))</f>
        <v>0.99589660520582657</v>
      </c>
      <c r="F34" s="2" cm="1">
        <f t="array" ref="F34">_xlfn.LET(_xlpm.d,F$2:F$26,_xlpm.f,$A$2:$A$26,_xlpm.k,$C34,AVERAGE(_xlfn._xlws.FILTER(_xlpm.d,_xlpm.f=_xlpm.k)))</f>
        <v>1</v>
      </c>
      <c r="G34" s="2" cm="1">
        <f t="array" ref="G34">_xlfn.LET(_xlpm.d,G$2:G$26,_xlpm.f,$A$2:$A$26,_xlpm.k,$C34,AVERAGE(_xlfn._xlws.FILTER(_xlpm.d,_xlpm.f=_xlpm.k)))</f>
        <v>0.99942849677532897</v>
      </c>
      <c r="H34" s="2" cm="1">
        <f t="array" ref="H34">_xlfn.LET(_xlpm.d,H$2:H$26,_xlpm.f,$A$2:$A$26,_xlpm.k,$C34,AVERAGE(_xlfn._xlws.FILTER(_xlpm.d,_xlpm.f=_xlpm.k)))</f>
        <v>1</v>
      </c>
      <c r="I34" s="2" cm="1">
        <f t="array" ref="I34">_xlfn.LET(_xlpm.d,I$2:I$26,_xlpm.f,$A$2:$A$26,_xlpm.k,$C34,AVERAGE(_xlfn._xlws.FILTER(_xlpm.d,_xlpm.f=_xlpm.k)))</f>
        <v>1</v>
      </c>
      <c r="J34" s="2" cm="1">
        <f t="array" ref="J34">_xlfn.LET(_xlpm.d,J$2:J$26,_xlpm.f,$A$2:$A$26,_xlpm.k,$C34,AVERAGE(_xlfn._xlws.FILTER(_xlpm.d,_xlpm.f=_xlpm.k)))</f>
        <v>0.99975669063747274</v>
      </c>
      <c r="K34" s="2" cm="1">
        <f t="array" ref="K34">_xlfn.LET(_xlpm.d,K$2:K$26,_xlpm.f,$A$2:$A$26,_xlpm.k,$C34,AVERAGE(_xlfn._xlws.FILTER(_xlpm.d,_xlpm.f=_xlpm.k)))</f>
        <v>0.99300765370983424</v>
      </c>
      <c r="L34" s="2" cm="1">
        <f t="array" ref="L34">_xlfn.LET(_xlpm.d,L$2:L$26,_xlpm.f,$A$2:$A$26,_xlpm.k,$C34,AVERAGE(_xlfn._xlws.FILTER(_xlpm.d,_xlpm.f=_xlpm.k)))</f>
        <v>1</v>
      </c>
      <c r="M34" s="2" cm="1">
        <f t="array" ref="M34">_xlfn.LET(_xlpm.d,M$2:M$26,_xlpm.f,$A$2:$A$26,_xlpm.k,$C34,AVERAGE(_xlfn._xlws.FILTER(_xlpm.d,_xlpm.f=_xlpm.k)))</f>
        <v>0.99970369850107799</v>
      </c>
      <c r="N34" s="2" cm="1">
        <f t="array" ref="N34">_xlfn.LET(_xlpm.d,N$2:N$26,_xlpm.f,$A$2:$A$26,_xlpm.k,$C34,AVERAGE(_xlfn._xlws.FILTER(_xlpm.d,_xlpm.f=_xlpm.k)))</f>
        <v>0.99642176458681286</v>
      </c>
      <c r="O34" s="2" cm="1">
        <f t="array" ref="O34">_xlfn.LET(_xlpm.d,O$2:O$26,_xlpm.f,$A$2:$A$26,_xlpm.k,$C34,AVERAGE(_xlfn._xlws.FILTER(_xlpm.d,_xlpm.f=_xlpm.k)))</f>
        <v>0.99746675588922484</v>
      </c>
      <c r="P34" s="2" cm="1">
        <f t="array" ref="P34">_xlfn.LET(_xlpm.d,P$2:P$26,_xlpm.f,$A$2:$A$26,_xlpm.k,$C34,AVERAGE(_xlfn._xlws.FILTER(_xlpm.d,_xlpm.f=_xlpm.k)))</f>
        <v>0.96696710313591316</v>
      </c>
      <c r="Q34" s="2" cm="1">
        <f t="array" ref="Q34">_xlfn.LET(_xlpm.d,Q$2:Q$26,_xlpm.f,$A$2:$A$26,_xlpm.k,$C34,AVERAGE(_xlfn._xlws.FILTER(_xlpm.d,_xlpm.f=_xlpm.k)))</f>
        <v>0.99563896341498759</v>
      </c>
    </row>
    <row r="36" spans="3:17" ht="30" customHeight="1">
      <c r="C36" t="s">
        <v>45</v>
      </c>
    </row>
    <row r="37" spans="3:17" ht="30" customHeight="1">
      <c r="C37" t="s">
        <v>37</v>
      </c>
      <c r="D37" s="2" cm="1">
        <f t="array" ref="D37">_xlfn.LET(_xlpm.d,D$2:D$26,_xlpm.g,$B$2:$B$26,AVERAGE(_xlfn._xlws.FILTER(_xlpm.d,(_xlpm.g=0))))</f>
        <v>0.82207901161125396</v>
      </c>
      <c r="E37" s="2" cm="1">
        <f t="array" ref="E37">_xlfn.LET(_xlpm.d,E$2:E$26,_xlpm.g,$B$2:$B$26,AVERAGE(_xlfn._xlws.FILTER(_xlpm.d,(_xlpm.g=0))))</f>
        <v>0.79811451396104649</v>
      </c>
      <c r="F37" s="2" cm="1">
        <f t="array" ref="F37">_xlfn.LET(_xlpm.d,F$2:F$26,_xlpm.g,$B$2:$B$26,AVERAGE(_xlfn._xlws.FILTER(_xlpm.d,(_xlpm.g=0))))</f>
        <v>0.77931982915507469</v>
      </c>
      <c r="G37" s="2" cm="1">
        <f t="array" ref="G37">_xlfn.LET(_xlpm.d,G$2:G$26,_xlpm.g,$B$2:$B$26,AVERAGE(_xlfn._xlws.FILTER(_xlpm.d,(_xlpm.g=0))))</f>
        <v>0.76220022895086703</v>
      </c>
      <c r="H37" s="2" cm="1">
        <f t="array" ref="H37">_xlfn.LET(_xlpm.d,H$2:H$26,_xlpm.g,$B$2:$B$26,AVERAGE(_xlfn._xlws.FILTER(_xlpm.d,(_xlpm.g=0))))</f>
        <v>0.76087772719601832</v>
      </c>
      <c r="I37" s="2" cm="1">
        <f t="array" ref="I37">_xlfn.LET(_xlpm.d,I$2:I$26,_xlpm.g,$B$2:$B$26,AVERAGE(_xlfn._xlws.FILTER(_xlpm.d,(_xlpm.g=0))))</f>
        <v>0.74931332719290178</v>
      </c>
      <c r="J37" s="2" cm="1">
        <f t="array" ref="J37">_xlfn.LET(_xlpm.d,J$2:J$26,_xlpm.g,$B$2:$B$26,AVERAGE(_xlfn._xlws.FILTER(_xlpm.d,(_xlpm.g=0))))</f>
        <v>0.75060440251357441</v>
      </c>
      <c r="K37" s="2" cm="1">
        <f t="array" ref="K37">_xlfn.LET(_xlpm.d,K$2:K$26,_xlpm.g,$B$2:$B$26,AVERAGE(_xlfn._xlws.FILTER(_xlpm.d,(_xlpm.g=0))))</f>
        <v>0.72794482999557508</v>
      </c>
      <c r="L37" s="2" cm="1">
        <f t="array" ref="L37">_xlfn.LET(_xlpm.d,L$2:L$26,_xlpm.g,$B$2:$B$26,AVERAGE(_xlfn._xlws.FILTER(_xlpm.d,(_xlpm.g=0))))</f>
        <v>0.72293096488825159</v>
      </c>
      <c r="M37" s="2" cm="1">
        <f t="array" ref="M37">_xlfn.LET(_xlpm.d,M$2:M$26,_xlpm.g,$B$2:$B$26,AVERAGE(_xlfn._xlws.FILTER(_xlpm.d,(_xlpm.g=0))))</f>
        <v>0.7098370043570732</v>
      </c>
      <c r="N37" s="2" cm="1">
        <f t="array" ref="N37">_xlfn.LET(_xlpm.d,N$2:N$26,_xlpm.g,$B$2:$B$26,AVERAGE(_xlfn._xlws.FILTER(_xlpm.d,(_xlpm.g=0))))</f>
        <v>0.71616602939869878</v>
      </c>
      <c r="O37" s="2" cm="1">
        <f t="array" ref="O37">_xlfn.LET(_xlpm.d,O$2:O$26,_xlpm.g,$B$2:$B$26,AVERAGE(_xlfn._xlws.FILTER(_xlpm.d,(_xlpm.g=0))))</f>
        <v>0.6678594578879139</v>
      </c>
      <c r="P37" s="2" cm="1">
        <f t="array" ref="P37">_xlfn.LET(_xlpm.d,P$2:P$26,_xlpm.g,$B$2:$B$26,AVERAGE(_xlfn._xlws.FILTER(_xlpm.d,(_xlpm.g=0))))</f>
        <v>0.6686705644778288</v>
      </c>
      <c r="Q37" s="2" cm="1">
        <f t="array" ref="Q37">_xlfn.LET(_xlpm.d,Q$2:Q$26,_xlpm.g,$B$2:$B$26,AVERAGE(_xlfn._xlws.FILTER(_xlpm.d,(_xlpm.g=0))))</f>
        <v>0.74122445319892916</v>
      </c>
    </row>
    <row r="38" spans="3:17" ht="30" customHeight="1">
      <c r="C38" t="s">
        <v>38</v>
      </c>
      <c r="D38" s="2" cm="1">
        <f t="array" ref="D38">_xlfn.LET(_xlpm.d,D$2:D$26,_xlpm.f,$A$2:$A$26,_xlpm.g,$B$2:$B$26,_xlpm.k,$C38,AVERAGE(_xlfn._xlws.FILTER(_xlpm.d,(_xlpm.f=_xlpm.k)*(_xlpm.g=0))))</f>
        <v>1</v>
      </c>
      <c r="E38" s="2" cm="1">
        <f t="array" ref="E38">_xlfn.LET(_xlpm.d,E$2:E$26,_xlpm.f,$A$2:$A$26,_xlpm.g,$B$2:$B$26,_xlpm.k,$C38,AVERAGE(_xlfn._xlws.FILTER(_xlpm.d,(_xlpm.f=_xlpm.k)*(_xlpm.g=0))))</f>
        <v>0.99949176982336896</v>
      </c>
      <c r="F38" s="2" cm="1">
        <f t="array" ref="F38">_xlfn.LET(_xlpm.d,F$2:F$26,_xlpm.f,$A$2:$A$26,_xlpm.g,$B$2:$B$26,_xlpm.k,$C38,AVERAGE(_xlfn._xlws.FILTER(_xlpm.d,(_xlpm.f=_xlpm.k)*(_xlpm.g=0))))</f>
        <v>0.99960687190755426</v>
      </c>
      <c r="G38" s="2" cm="1">
        <f t="array" ref="G38">_xlfn.LET(_xlpm.d,G$2:G$26,_xlpm.f,$A$2:$A$26,_xlpm.g,$B$2:$B$26,_xlpm.k,$C38,AVERAGE(_xlfn._xlws.FILTER(_xlpm.d,(_xlpm.f=_xlpm.k)*(_xlpm.g=0))))</f>
        <v>0.99517556036911325</v>
      </c>
      <c r="H38" s="2" cm="1">
        <f t="array" ref="H38">_xlfn.LET(_xlpm.d,H$2:H$26,_xlpm.f,$A$2:$A$26,_xlpm.g,$B$2:$B$26,_xlpm.k,$C38,AVERAGE(_xlfn._xlws.FILTER(_xlpm.d,(_xlpm.f=_xlpm.k)*(_xlpm.g=0))))</f>
        <v>0.99724898640173665</v>
      </c>
      <c r="I38" s="2" cm="1">
        <f t="array" ref="I38">_xlfn.LET(_xlpm.d,I$2:I$26,_xlpm.f,$A$2:$A$26,_xlpm.g,$B$2:$B$26,_xlpm.k,$C38,AVERAGE(_xlfn._xlws.FILTER(_xlpm.d,(_xlpm.f=_xlpm.k)*(_xlpm.g=0))))</f>
        <v>0.99882560047171676</v>
      </c>
      <c r="J38" s="2" cm="1">
        <f t="array" ref="J38">_xlfn.LET(_xlpm.d,J$2:J$26,_xlpm.f,$A$2:$A$26,_xlpm.g,$B$2:$B$26,_xlpm.k,$C38,AVERAGE(_xlfn._xlws.FILTER(_xlpm.d,(_xlpm.f=_xlpm.k)*(_xlpm.g=0))))</f>
        <v>0.99174970324059319</v>
      </c>
      <c r="K38" s="2" cm="1">
        <f t="array" ref="K38">_xlfn.LET(_xlpm.d,K$2:K$26,_xlpm.f,$A$2:$A$26,_xlpm.g,$B$2:$B$26,_xlpm.k,$C38,AVERAGE(_xlfn._xlws.FILTER(_xlpm.d,(_xlpm.f=_xlpm.k)*(_xlpm.g=0))))</f>
        <v>1</v>
      </c>
      <c r="L38" s="2" cm="1">
        <f t="array" ref="L38">_xlfn.LET(_xlpm.d,L$2:L$26,_xlpm.f,$A$2:$A$26,_xlpm.g,$B$2:$B$26,_xlpm.k,$C38,AVERAGE(_xlfn._xlws.FILTER(_xlpm.d,(_xlpm.f=_xlpm.k)*(_xlpm.g=0))))</f>
        <v>0.99966664710903874</v>
      </c>
      <c r="M38" s="2" cm="1">
        <f t="array" ref="M38">_xlfn.LET(_xlpm.d,M$2:M$26,_xlpm.f,$A$2:$A$26,_xlpm.g,$B$2:$B$26,_xlpm.k,$C38,AVERAGE(_xlfn._xlws.FILTER(_xlpm.d,(_xlpm.f=_xlpm.k)*(_xlpm.g=0))))</f>
        <v>0.9960781855677745</v>
      </c>
      <c r="N38" s="2" cm="1">
        <f t="array" ref="N38">_xlfn.LET(_xlpm.d,N$2:N$26,_xlpm.f,$A$2:$A$26,_xlpm.g,$B$2:$B$26,_xlpm.k,$C38,AVERAGE(_xlfn._xlws.FILTER(_xlpm.d,(_xlpm.f=_xlpm.k)*(_xlpm.g=0))))</f>
        <v>0.99843701144008645</v>
      </c>
      <c r="O38" s="2" cm="1">
        <f t="array" ref="O38">_xlfn.LET(_xlpm.d,O$2:O$26,_xlpm.f,$A$2:$A$26,_xlpm.g,$B$2:$B$26,_xlpm.k,$C38,AVERAGE(_xlfn._xlws.FILTER(_xlpm.d,(_xlpm.f=_xlpm.k)*(_xlpm.g=0))))</f>
        <v>0.95988713833355976</v>
      </c>
      <c r="P38" s="2" cm="1">
        <f t="array" ref="P38">_xlfn.LET(_xlpm.d,P$2:P$26,_xlpm.f,$A$2:$A$26,_xlpm.g,$B$2:$B$26,_xlpm.k,$C38,AVERAGE(_xlfn._xlws.FILTER(_xlpm.d,(_xlpm.f=_xlpm.k)*(_xlpm.g=0))))</f>
        <v>0.99951919342613549</v>
      </c>
      <c r="Q38" s="2" cm="1">
        <f t="array" ref="Q38">_xlfn.LET(_xlpm.d,Q$2:Q$26,_xlpm.f,$A$2:$A$26,_xlpm.g,$B$2:$B$26,_xlpm.k,$C38,AVERAGE(_xlfn._xlws.FILTER(_xlpm.d,(_xlpm.f=_xlpm.k)*(_xlpm.g=0))))</f>
        <v>0.99505282062235989</v>
      </c>
    </row>
    <row r="39" spans="3:17" ht="30" customHeight="1">
      <c r="C39" t="s">
        <v>40</v>
      </c>
      <c r="D39" s="2" cm="1">
        <f t="array" ref="D39">_xlfn.LET(_xlpm.d,D$2:D$26,_xlpm.f,$A$2:$A$26,_xlpm.g,$B$2:$B$26,_xlpm.k,$C39,AVERAGE(_xlfn._xlws.FILTER(_xlpm.d,(_xlpm.f=_xlpm.k)*(_xlpm.g=0))))</f>
        <v>0.60544803048996199</v>
      </c>
      <c r="E39" s="2" cm="1">
        <f t="array" ref="E39">_xlfn.LET(_xlpm.d,E$2:E$26,_xlpm.f,$A$2:$A$26,_xlpm.g,$B$2:$B$26,_xlpm.k,$C39,AVERAGE(_xlfn._xlws.FILTER(_xlpm.d,(_xlpm.f=_xlpm.k)*(_xlpm.g=0))))</f>
        <v>0.64861990788287227</v>
      </c>
      <c r="F39" s="2" cm="1">
        <f t="array" ref="F39">_xlfn.LET(_xlpm.d,F$2:F$26,_xlpm.f,$A$2:$A$26,_xlpm.g,$B$2:$B$26,_xlpm.k,$C39,AVERAGE(_xlfn._xlws.FILTER(_xlpm.d,(_xlpm.f=_xlpm.k)*(_xlpm.g=0))))</f>
        <v>0.54988526593797726</v>
      </c>
      <c r="G39" s="2" cm="1">
        <f t="array" ref="G39">_xlfn.LET(_xlpm.d,G$2:G$26,_xlpm.f,$A$2:$A$26,_xlpm.g,$B$2:$B$26,_xlpm.k,$C39,AVERAGE(_xlfn._xlws.FILTER(_xlpm.d,(_xlpm.f=_xlpm.k)*(_xlpm.g=0))))</f>
        <v>0.59984623567227124</v>
      </c>
      <c r="H39" s="2" cm="1">
        <f t="array" ref="H39">_xlfn.LET(_xlpm.d,H$2:H$26,_xlpm.f,$A$2:$A$26,_xlpm.g,$B$2:$B$26,_xlpm.k,$C39,AVERAGE(_xlfn._xlws.FILTER(_xlpm.d,(_xlpm.f=_xlpm.k)*(_xlpm.g=0))))</f>
        <v>0.70057331881627871</v>
      </c>
      <c r="I39" s="2" cm="1">
        <f t="array" ref="I39">_xlfn.LET(_xlpm.d,I$2:I$26,_xlpm.f,$A$2:$A$26,_xlpm.g,$B$2:$B$26,_xlpm.k,$C39,AVERAGE(_xlfn._xlws.FILTER(_xlpm.d,(_xlpm.f=_xlpm.k)*(_xlpm.g=0))))</f>
        <v>0.557656493820048</v>
      </c>
      <c r="J39" s="2" cm="1">
        <f t="array" ref="J39">_xlfn.LET(_xlpm.d,J$2:J$26,_xlpm.f,$A$2:$A$26,_xlpm.g,$B$2:$B$26,_xlpm.k,$C39,AVERAGE(_xlfn._xlws.FILTER(_xlpm.d,(_xlpm.f=_xlpm.k)*(_xlpm.g=0))))</f>
        <v>0.5773326191870215</v>
      </c>
      <c r="K39" s="2" cm="1">
        <f t="array" ref="K39">_xlfn.LET(_xlpm.d,K$2:K$26,_xlpm.f,$A$2:$A$26,_xlpm.g,$B$2:$B$26,_xlpm.k,$C39,AVERAGE(_xlfn._xlws.FILTER(_xlpm.d,(_xlpm.f=_xlpm.k)*(_xlpm.g=0))))</f>
        <v>0.54075131064425674</v>
      </c>
      <c r="L39" s="2" cm="1">
        <f t="array" ref="L39">_xlfn.LET(_xlpm.d,L$2:L$26,_xlpm.f,$A$2:$A$26,_xlpm.g,$B$2:$B$26,_xlpm.k,$C39,AVERAGE(_xlfn._xlws.FILTER(_xlpm.d,(_xlpm.f=_xlpm.k)*(_xlpm.g=0))))</f>
        <v>0.47284876479926946</v>
      </c>
      <c r="M39" s="2" cm="1">
        <f t="array" ref="M39">_xlfn.LET(_xlpm.d,M$2:M$26,_xlpm.f,$A$2:$A$26,_xlpm.g,$B$2:$B$26,_xlpm.k,$C39,AVERAGE(_xlfn._xlws.FILTER(_xlpm.d,(_xlpm.f=_xlpm.k)*(_xlpm.g=0))))</f>
        <v>0.45658929396517722</v>
      </c>
      <c r="N39" s="2" cm="1">
        <f t="array" ref="N39">_xlfn.LET(_xlpm.d,N$2:N$26,_xlpm.f,$A$2:$A$26,_xlpm.g,$B$2:$B$26,_xlpm.k,$C39,AVERAGE(_xlfn._xlws.FILTER(_xlpm.d,(_xlpm.f=_xlpm.k)*(_xlpm.g=0))))</f>
        <v>0.52738032175004024</v>
      </c>
      <c r="O39" s="2" cm="1">
        <f t="array" ref="O39">_xlfn.LET(_xlpm.d,O$2:O$26,_xlpm.f,$A$2:$A$26,_xlpm.g,$B$2:$B$26,_xlpm.k,$C39,AVERAGE(_xlfn._xlws.FILTER(_xlpm.d,(_xlpm.f=_xlpm.k)*(_xlpm.g=0))))</f>
        <v>0.43611620750079072</v>
      </c>
      <c r="P39" s="2" cm="1">
        <f t="array" ref="P39">_xlfn.LET(_xlpm.d,P$2:P$26,_xlpm.f,$A$2:$A$26,_xlpm.g,$B$2:$B$26,_xlpm.k,$C39,AVERAGE(_xlfn._xlws.FILTER(_xlpm.d,(_xlpm.f=_xlpm.k)*(_xlpm.g=0))))</f>
        <v>0.50219033288204573</v>
      </c>
      <c r="Q39" s="2" cm="1">
        <f t="array" ref="Q39">_xlfn.LET(_xlpm.d,Q$2:Q$26,_xlpm.f,$A$2:$A$26,_xlpm.g,$B$2:$B$26,_xlpm.k,$C39,AVERAGE(_xlfn._xlws.FILTER(_xlpm.d,(_xlpm.f=_xlpm.k)*(_xlpm.g=0))))</f>
        <v>0.55194139256523167</v>
      </c>
    </row>
    <row r="40" spans="3:17" ht="30" customHeight="1">
      <c r="C40" t="s">
        <v>41</v>
      </c>
      <c r="D40" s="2" cm="1">
        <f t="array" ref="D40">_xlfn.LET(_xlpm.d,D$2:D$26,_xlpm.f,$A$2:$A$26,_xlpm.g,$B$2:$B$26,_xlpm.k,$C40,AVERAGE(_xlfn._xlws.FILTER(_xlpm.d,(_xlpm.f=_xlpm.k)*(_xlpm.g=0))))</f>
        <v>0.7720605504906175</v>
      </c>
      <c r="E40" s="2" cm="1">
        <f t="array" ref="E40">_xlfn.LET(_xlpm.d,E$2:E$26,_xlpm.f,$A$2:$A$26,_xlpm.g,$B$2:$B$26,_xlpm.k,$C40,AVERAGE(_xlfn._xlws.FILTER(_xlpm.d,(_xlpm.f=_xlpm.k)*(_xlpm.g=0))))</f>
        <v>0.63757839069168598</v>
      </c>
      <c r="F40" s="2" cm="1">
        <f t="array" ref="F40">_xlfn.LET(_xlpm.d,F$2:F$26,_xlpm.f,$A$2:$A$26,_xlpm.g,$B$2:$B$26,_xlpm.k,$C40,AVERAGE(_xlfn._xlws.FILTER(_xlpm.d,(_xlpm.f=_xlpm.k)*(_xlpm.g=0))))</f>
        <v>0.66725586834910933</v>
      </c>
      <c r="G40" s="2" cm="1">
        <f t="array" ref="G40">_xlfn.LET(_xlpm.d,G$2:G$26,_xlpm.f,$A$2:$A$26,_xlpm.g,$B$2:$B$26,_xlpm.k,$C40,AVERAGE(_xlfn._xlws.FILTER(_xlpm.d,(_xlpm.f=_xlpm.k)*(_xlpm.g=0))))</f>
        <v>0.56682036153620075</v>
      </c>
      <c r="H40" s="2" cm="1">
        <f t="array" ref="H40">_xlfn.LET(_xlpm.d,H$2:H$26,_xlpm.f,$A$2:$A$26,_xlpm.g,$B$2:$B$26,_xlpm.k,$C40,AVERAGE(_xlfn._xlws.FILTER(_xlpm.d,(_xlpm.f=_xlpm.k)*(_xlpm.g=0))))</f>
        <v>0.5222157890865875</v>
      </c>
      <c r="I40" s="2" cm="1">
        <f t="array" ref="I40">_xlfn.LET(_xlpm.d,I$2:I$26,_xlpm.f,$A$2:$A$26,_xlpm.g,$B$2:$B$26,_xlpm.k,$C40,AVERAGE(_xlfn._xlws.FILTER(_xlpm.d,(_xlpm.f=_xlpm.k)*(_xlpm.g=0))))</f>
        <v>0.62217955816602966</v>
      </c>
      <c r="J40" s="2" cm="1">
        <f t="array" ref="J40">_xlfn.LET(_xlpm.d,J$2:J$26,_xlpm.f,$A$2:$A$26,_xlpm.g,$B$2:$B$26,_xlpm.k,$C40,AVERAGE(_xlfn._xlws.FILTER(_xlpm.d,(_xlpm.f=_xlpm.k)*(_xlpm.g=0))))</f>
        <v>0.55197946094598327</v>
      </c>
      <c r="K40" s="2" cm="1">
        <f t="array" ref="K40">_xlfn.LET(_xlpm.d,K$2:K$26,_xlpm.f,$A$2:$A$26,_xlpm.g,$B$2:$B$26,_xlpm.k,$C40,AVERAGE(_xlfn._xlws.FILTER(_xlpm.d,(_xlpm.f=_xlpm.k)*(_xlpm.g=0))))</f>
        <v>0.53727831952438521</v>
      </c>
      <c r="L40" s="2" cm="1">
        <f t="array" ref="L40">_xlfn.LET(_xlpm.d,L$2:L$26,_xlpm.f,$A$2:$A$26,_xlpm.g,$B$2:$B$26,_xlpm.k,$C40,AVERAGE(_xlfn._xlws.FILTER(_xlpm.d,(_xlpm.f=_xlpm.k)*(_xlpm.g=0))))</f>
        <v>0.51305193952689132</v>
      </c>
      <c r="M40" s="2" cm="1">
        <f t="array" ref="M40">_xlfn.LET(_xlpm.d,M$2:M$26,_xlpm.f,$A$2:$A$26,_xlpm.g,$B$2:$B$26,_xlpm.k,$C40,AVERAGE(_xlfn._xlws.FILTER(_xlpm.d,(_xlpm.f=_xlpm.k)*(_xlpm.g=0))))</f>
        <v>0.54804988746817296</v>
      </c>
      <c r="N40" s="2" cm="1">
        <f t="array" ref="N40">_xlfn.LET(_xlpm.d,N$2:N$26,_xlpm.f,$A$2:$A$26,_xlpm.g,$B$2:$B$26,_xlpm.k,$C40,AVERAGE(_xlfn._xlws.FILTER(_xlpm.d,(_xlpm.f=_xlpm.k)*(_xlpm.g=0))))</f>
        <v>0.55455676791792441</v>
      </c>
      <c r="O40" s="2" cm="1">
        <f t="array" ref="O40">_xlfn.LET(_xlpm.d,O$2:O$26,_xlpm.f,$A$2:$A$26,_xlpm.g,$B$2:$B$26,_xlpm.k,$C40,AVERAGE(_xlfn._xlws.FILTER(_xlpm.d,(_xlpm.f=_xlpm.k)*(_xlpm.g=0))))</f>
        <v>0.42691608061210179</v>
      </c>
      <c r="P40" s="2" cm="1">
        <f t="array" ref="P40">_xlfn.LET(_xlpm.d,P$2:P$26,_xlpm.f,$A$2:$A$26,_xlpm.g,$B$2:$B$26,_xlpm.k,$C40,AVERAGE(_xlfn._xlws.FILTER(_xlpm.d,(_xlpm.f=_xlpm.k)*(_xlpm.g=0))))</f>
        <v>0.48214524178394175</v>
      </c>
      <c r="Q40" s="2" cm="1">
        <f t="array" ref="Q40">_xlfn.LET(_xlpm.d,Q$2:Q$26,_xlpm.f,$A$2:$A$26,_xlpm.g,$B$2:$B$26,_xlpm.k,$C40,AVERAGE(_xlfn._xlws.FILTER(_xlpm.d,(_xlpm.f=_xlpm.k)*(_xlpm.g=0))))</f>
        <v>0.56939140123843324</v>
      </c>
    </row>
    <row r="41" spans="3:17" ht="30" customHeight="1">
      <c r="C41" t="s">
        <v>39</v>
      </c>
      <c r="D41" s="2" cm="1">
        <f t="array" ref="D41">_xlfn.LET(_xlpm.d,D$2:D$26,_xlpm.f,$A$2:$A$26,_xlpm.g,$B$2:$B$26,_xlpm.k,$C41,AVERAGE(_xlfn._xlws.FILTER(_xlpm.d,(_xlpm.f=_xlpm.k)*(_xlpm.g=0))))</f>
        <v>0.73956428213400727</v>
      </c>
      <c r="E41" s="2" cm="1">
        <f t="array" ref="E41">_xlfn.LET(_xlpm.d,E$2:E$26,_xlpm.f,$A$2:$A$26,_xlpm.g,$B$2:$B$26,_xlpm.k,$C41,AVERAGE(_xlfn._xlws.FILTER(_xlpm.d,(_xlpm.f=_xlpm.k)*(_xlpm.g=0))))</f>
        <v>0.71001174490002195</v>
      </c>
      <c r="F41" s="2" cm="1">
        <f t="array" ref="F41">_xlfn.LET(_xlpm.d,F$2:F$26,_xlpm.f,$A$2:$A$26,_xlpm.g,$B$2:$B$26,_xlpm.k,$C41,AVERAGE(_xlfn._xlws.FILTER(_xlpm.d,(_xlpm.f=_xlpm.k)*(_xlpm.g=0))))</f>
        <v>0.67985113958073273</v>
      </c>
      <c r="G41" s="2" cm="1">
        <f t="array" ref="G41">_xlfn.LET(_xlpm.d,G$2:G$26,_xlpm.f,$A$2:$A$26,_xlpm.g,$B$2:$B$26,_xlpm.k,$C41,AVERAGE(_xlfn._xlws.FILTER(_xlpm.d,(_xlpm.f=_xlpm.k)*(_xlpm.g=0))))</f>
        <v>0.64987336620758851</v>
      </c>
      <c r="H41" s="2" cm="1">
        <f t="array" ref="H41">_xlfn.LET(_xlpm.d,H$2:H$26,_xlpm.f,$A$2:$A$26,_xlpm.g,$B$2:$B$26,_xlpm.k,$C41,AVERAGE(_xlfn._xlws.FILTER(_xlpm.d,(_xlpm.f=_xlpm.k)*(_xlpm.g=0))))</f>
        <v>0.58435054167548806</v>
      </c>
      <c r="I41" s="2" cm="1">
        <f t="array" ref="I41">_xlfn.LET(_xlpm.d,I$2:I$26,_xlpm.f,$A$2:$A$26,_xlpm.g,$B$2:$B$26,_xlpm.k,$C41,AVERAGE(_xlfn._xlws.FILTER(_xlpm.d,(_xlpm.f=_xlpm.k)*(_xlpm.g=0))))</f>
        <v>0.5679049835067147</v>
      </c>
      <c r="J41" s="2" cm="1">
        <f t="array" ref="J41">_xlfn.LET(_xlpm.d,J$2:J$26,_xlpm.f,$A$2:$A$26,_xlpm.g,$B$2:$B$26,_xlpm.k,$C41,AVERAGE(_xlfn._xlws.FILTER(_xlpm.d,(_xlpm.f=_xlpm.k)*(_xlpm.g=0))))</f>
        <v>0.63226436589743296</v>
      </c>
      <c r="K41" s="2" cm="1">
        <f t="array" ref="K41">_xlfn.LET(_xlpm.d,K$2:K$26,_xlpm.f,$A$2:$A$26,_xlpm.g,$B$2:$B$26,_xlpm.k,$C41,AVERAGE(_xlfn._xlws.FILTER(_xlpm.d,(_xlpm.f=_xlpm.k)*(_xlpm.g=0))))</f>
        <v>0.570434952671941</v>
      </c>
      <c r="L41" s="2" cm="1">
        <f t="array" ref="L41">_xlfn.LET(_xlpm.d,L$2:L$26,_xlpm.f,$A$2:$A$26,_xlpm.g,$B$2:$B$26,_xlpm.k,$C41,AVERAGE(_xlfn._xlws.FILTER(_xlpm.d,(_xlpm.f=_xlpm.k)*(_xlpm.g=0))))</f>
        <v>0.62908747300605827</v>
      </c>
      <c r="M41" s="2" cm="1">
        <f t="array" ref="M41">_xlfn.LET(_xlpm.d,M$2:M$26,_xlpm.f,$A$2:$A$26,_xlpm.g,$B$2:$B$26,_xlpm.k,$C41,AVERAGE(_xlfn._xlws.FILTER(_xlpm.d,(_xlpm.f=_xlpm.k)*(_xlpm.g=0))))</f>
        <v>0.5488380316578938</v>
      </c>
      <c r="N41" s="2" cm="1">
        <f t="array" ref="N41">_xlfn.LET(_xlpm.d,N$2:N$26,_xlpm.f,$A$2:$A$26,_xlpm.g,$B$2:$B$26,_xlpm.k,$C41,AVERAGE(_xlfn._xlws.FILTER(_xlpm.d,(_xlpm.f=_xlpm.k)*(_xlpm.g=0))))</f>
        <v>0.50492884015192596</v>
      </c>
      <c r="O41" s="2" cm="1">
        <f t="array" ref="O41">_xlfn.LET(_xlpm.d,O$2:O$26,_xlpm.f,$A$2:$A$26,_xlpm.g,$B$2:$B$26,_xlpm.k,$C41,AVERAGE(_xlfn._xlws.FILTER(_xlpm.d,(_xlpm.f=_xlpm.k)*(_xlpm.g=0))))</f>
        <v>0.51954441813158581</v>
      </c>
      <c r="P41" s="2" cm="1">
        <f t="array" ref="P41">_xlfn.LET(_xlpm.d,P$2:P$26,_xlpm.f,$A$2:$A$26,_xlpm.g,$B$2:$B$26,_xlpm.k,$C41,AVERAGE(_xlfn._xlws.FILTER(_xlpm.d,(_xlpm.f=_xlpm.k)*(_xlpm.g=0))))</f>
        <v>0.40078917537712921</v>
      </c>
      <c r="Q41" s="2" cm="1">
        <f t="array" ref="Q41">_xlfn.LET(_xlpm.d,Q$2:Q$26,_xlpm.f,$A$2:$A$26,_xlpm.g,$B$2:$B$26,_xlpm.k,$C41,AVERAGE(_xlfn._xlws.FILTER(_xlpm.d,(_xlpm.f=_xlpm.k)*(_xlpm.g=0))))</f>
        <v>0.59518794729988622</v>
      </c>
    </row>
    <row r="42" spans="3:17" ht="30" customHeight="1">
      <c r="C42" t="s">
        <v>42</v>
      </c>
      <c r="D42" s="2" cm="1">
        <f t="array" ref="D42">_xlfn.LET(_xlpm.d,D$2:D$26,_xlpm.f,$A$2:$A$26,_xlpm.g,$B$2:$B$26,_xlpm.k,$C42,AVERAGE(_xlfn._xlws.FILTER(_xlpm.d,(_xlpm.f=_xlpm.k)*(_xlpm.g=0))))</f>
        <v>0.99332219494168272</v>
      </c>
      <c r="E42" s="2" cm="1">
        <f t="array" ref="E42">_xlfn.LET(_xlpm.d,E$2:E$26,_xlpm.f,$A$2:$A$26,_xlpm.g,$B$2:$B$26,_xlpm.k,$C42,AVERAGE(_xlfn._xlws.FILTER(_xlpm.d,(_xlpm.f=_xlpm.k)*(_xlpm.g=0))))</f>
        <v>0.99487075650728318</v>
      </c>
      <c r="F42" s="2" cm="1">
        <f t="array" ref="F42">_xlfn.LET(_xlpm.d,F$2:F$26,_xlpm.f,$A$2:$A$26,_xlpm.g,$B$2:$B$26,_xlpm.k,$C42,AVERAGE(_xlfn._xlws.FILTER(_xlpm.d,(_xlpm.f=_xlpm.k)*(_xlpm.g=0))))</f>
        <v>1</v>
      </c>
      <c r="G42" s="2" cm="1">
        <f t="array" ref="G42">_xlfn.LET(_xlpm.d,G$2:G$26,_xlpm.f,$A$2:$A$26,_xlpm.g,$B$2:$B$26,_xlpm.k,$C42,AVERAGE(_xlfn._xlws.FILTER(_xlpm.d,(_xlpm.f=_xlpm.k)*(_xlpm.g=0))))</f>
        <v>0.99928562096916118</v>
      </c>
      <c r="H42" s="2" cm="1">
        <f t="array" ref="H42">_xlfn.LET(_xlpm.d,H$2:H$26,_xlpm.f,$A$2:$A$26,_xlpm.g,$B$2:$B$26,_xlpm.k,$C42,AVERAGE(_xlfn._xlws.FILTER(_xlpm.d,(_xlpm.f=_xlpm.k)*(_xlpm.g=0))))</f>
        <v>1</v>
      </c>
      <c r="I42" s="2" cm="1">
        <f t="array" ref="I42">_xlfn.LET(_xlpm.d,I$2:I$26,_xlpm.f,$A$2:$A$26,_xlpm.g,$B$2:$B$26,_xlpm.k,$C42,AVERAGE(_xlfn._xlws.FILTER(_xlpm.d,(_xlpm.f=_xlpm.k)*(_xlpm.g=0))))</f>
        <v>1</v>
      </c>
      <c r="J42" s="2" cm="1">
        <f t="array" ref="J42">_xlfn.LET(_xlpm.d,J$2:J$26,_xlpm.f,$A$2:$A$26,_xlpm.g,$B$2:$B$26,_xlpm.k,$C42,AVERAGE(_xlfn._xlws.FILTER(_xlpm.d,(_xlpm.f=_xlpm.k)*(_xlpm.g=0))))</f>
        <v>0.99969586329684101</v>
      </c>
      <c r="K42" s="2" cm="1">
        <f t="array" ref="K42">_xlfn.LET(_xlpm.d,K$2:K$26,_xlpm.f,$A$2:$A$26,_xlpm.g,$B$2:$B$26,_xlpm.k,$C42,AVERAGE(_xlfn._xlws.FILTER(_xlpm.d,(_xlpm.f=_xlpm.k)*(_xlpm.g=0))))</f>
        <v>0.9912595671372928</v>
      </c>
      <c r="L42" s="2" cm="1">
        <f t="array" ref="L42">_xlfn.LET(_xlpm.d,L$2:L$26,_xlpm.f,$A$2:$A$26,_xlpm.g,$B$2:$B$26,_xlpm.k,$C42,AVERAGE(_xlfn._xlws.FILTER(_xlpm.d,(_xlpm.f=_xlpm.k)*(_xlpm.g=0))))</f>
        <v>1</v>
      </c>
      <c r="M42" s="2" cm="1">
        <f t="array" ref="M42">_xlfn.LET(_xlpm.d,M$2:M$26,_xlpm.f,$A$2:$A$26,_xlpm.g,$B$2:$B$26,_xlpm.k,$C42,AVERAGE(_xlfn._xlws.FILTER(_xlpm.d,(_xlpm.f=_xlpm.k)*(_xlpm.g=0))))</f>
        <v>0.99962962312634751</v>
      </c>
      <c r="N42" s="2" cm="1">
        <f t="array" ref="N42">_xlfn.LET(_xlpm.d,N$2:N$26,_xlpm.f,$A$2:$A$26,_xlpm.g,$B$2:$B$26,_xlpm.k,$C42,AVERAGE(_xlfn._xlws.FILTER(_xlpm.d,(_xlpm.f=_xlpm.k)*(_xlpm.g=0))))</f>
        <v>0.99552720573351605</v>
      </c>
      <c r="O42" s="2" cm="1">
        <f t="array" ref="O42">_xlfn.LET(_xlpm.d,O$2:O$26,_xlpm.f,$A$2:$A$26,_xlpm.g,$B$2:$B$26,_xlpm.k,$C42,AVERAGE(_xlfn._xlws.FILTER(_xlpm.d,(_xlpm.f=_xlpm.k)*(_xlpm.g=0))))</f>
        <v>0.99683344486153103</v>
      </c>
      <c r="P42" s="2" cm="1">
        <f t="array" ref="P42">_xlfn.LET(_xlpm.d,P$2:P$26,_xlpm.f,$A$2:$A$26,_xlpm.g,$B$2:$B$26,_xlpm.k,$C42,AVERAGE(_xlfn._xlws.FILTER(_xlpm.d,(_xlpm.f=_xlpm.k)*(_xlpm.g=0))))</f>
        <v>0.95870887891989143</v>
      </c>
      <c r="Q42" s="2" cm="1">
        <f t="array" ref="Q42">_xlfn.LET(_xlpm.d,Q$2:Q$26,_xlpm.f,$A$2:$A$26,_xlpm.g,$B$2:$B$26,_xlpm.k,$C42,AVERAGE(_xlfn._xlws.FILTER(_xlpm.d,(_xlpm.f=_xlpm.k)*(_xlpm.g=0))))</f>
        <v>0.99454870426873443</v>
      </c>
    </row>
  </sheetData>
  <conditionalFormatting sqref="D2:Q26">
    <cfRule type="colorScale" priority="5">
      <colorScale>
        <cfvo type="num" val="0"/>
        <cfvo type="percentile" val="50"/>
        <cfvo type="num" val="1"/>
        <color rgb="FFFF7128"/>
        <color theme="0"/>
        <color theme="6" tint="0.59999389629810485"/>
      </colorScale>
    </cfRule>
  </conditionalFormatting>
  <conditionalFormatting sqref="D29:Q34">
    <cfRule type="colorScale" priority="4">
      <colorScale>
        <cfvo type="num" val="0"/>
        <cfvo type="percentile" val="50"/>
        <cfvo type="num" val="1"/>
        <color rgb="FFFF7128"/>
        <color theme="0"/>
        <color theme="6" tint="0.59999389629810485"/>
      </colorScale>
    </cfRule>
  </conditionalFormatting>
  <conditionalFormatting sqref="D37:Q37">
    <cfRule type="colorScale" priority="2">
      <colorScale>
        <cfvo type="num" val="0"/>
        <cfvo type="percentile" val="50"/>
        <cfvo type="num" val="1"/>
        <color rgb="FFFF7128"/>
        <color theme="0"/>
        <color theme="6" tint="0.59999389629810485"/>
      </colorScale>
    </cfRule>
  </conditionalFormatting>
  <conditionalFormatting sqref="D38:Q42">
    <cfRule type="colorScale" priority="3">
      <colorScale>
        <cfvo type="num" val="0"/>
        <cfvo type="percentile" val="50"/>
        <cfvo type="num" val="1"/>
        <color rgb="FFFF7128"/>
        <color theme="0"/>
        <color theme="6" tint="0.59999389629810485"/>
      </colorScale>
    </cfRule>
  </conditionalFormatting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A47F66-EE82-C44C-A791-091623582AC9}">
  <dimension ref="A1:Q52"/>
  <sheetViews>
    <sheetView workbookViewId="0">
      <pane xSplit="9080" ySplit="3520" topLeftCell="A6" activePane="bottomRight"/>
      <selection activeCell="B3" sqref="B3"/>
      <selection pane="topRight" activeCell="P2" sqref="P2:P36"/>
      <selection pane="bottomLeft" activeCell="A25" sqref="A16:XFD25"/>
      <selection pane="bottomRight" activeCell="J47" sqref="J47"/>
    </sheetView>
  </sheetViews>
  <sheetFormatPr baseColWidth="10" defaultRowHeight="30" customHeight="1"/>
  <cols>
    <col min="1" max="1" width="10.375" customWidth="1"/>
    <col min="2" max="2" width="7.875" customWidth="1"/>
    <col min="3" max="3" width="14" customWidth="1"/>
    <col min="4" max="17" width="6.875" customWidth="1"/>
  </cols>
  <sheetData>
    <row r="1" spans="1:17" ht="30" customHeight="1">
      <c r="A1" t="s">
        <v>36</v>
      </c>
      <c r="B1" t="s">
        <v>43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47</v>
      </c>
      <c r="M1" t="s">
        <v>9</v>
      </c>
      <c r="N1" t="s">
        <v>48</v>
      </c>
      <c r="O1" t="s">
        <v>49</v>
      </c>
      <c r="P1" t="s">
        <v>10</v>
      </c>
      <c r="Q1" t="s">
        <v>46</v>
      </c>
    </row>
    <row r="2" spans="1:17" ht="30" customHeight="1">
      <c r="A2" t="str">
        <f>_xlfn.LET(_xlpm.c,$C2,_xlfn.TEXTBEFORE(_xlpm.c,"-"))</f>
        <v>arabic</v>
      </c>
      <c r="B2">
        <f>_xlfn.LET(_xlpm.c,_xlfn.SINGLE(Table1[condition]),IF(RIGHT(_xlpm.c,2)="1g",1,0))</f>
        <v>1</v>
      </c>
      <c r="C2" t="s">
        <v>11</v>
      </c>
      <c r="D2" s="1">
        <v>1</v>
      </c>
      <c r="E2" s="1">
        <v>1</v>
      </c>
      <c r="F2" s="1">
        <v>1</v>
      </c>
      <c r="G2" s="1">
        <v>1</v>
      </c>
      <c r="H2" s="1">
        <v>1</v>
      </c>
      <c r="I2" s="1">
        <v>1</v>
      </c>
      <c r="J2" s="1">
        <v>1</v>
      </c>
      <c r="K2" s="1">
        <v>1</v>
      </c>
      <c r="L2" s="1">
        <v>1</v>
      </c>
      <c r="M2" s="1">
        <v>1</v>
      </c>
      <c r="N2" s="1">
        <v>1</v>
      </c>
      <c r="O2" s="1">
        <v>1</v>
      </c>
      <c r="P2" s="1">
        <v>1</v>
      </c>
      <c r="Q2" s="1">
        <f t="shared" ref="Q2:Q36" si="0">_xlfn.LET(_xlpm.d,$D2:$P2,AVERAGE(_xlpm.d))</f>
        <v>1</v>
      </c>
    </row>
    <row r="3" spans="1:17" ht="30" customHeight="1">
      <c r="A3" t="str">
        <f t="shared" ref="A3:A36" si="1">_xlfn.LET(_xlpm.c,$C3,_xlfn.TEXTBEFORE(_xlpm.c,"-"))</f>
        <v>arabic</v>
      </c>
      <c r="B3">
        <f>_xlfn.LET(_xlpm.c,_xlfn.SINGLE(Table1[condition]),IF(RIGHT(_xlpm.c,2)="1g",1,0))</f>
        <v>0</v>
      </c>
      <c r="C3" t="s">
        <v>12</v>
      </c>
      <c r="D3" s="1">
        <v>1</v>
      </c>
      <c r="E3" s="1">
        <v>1</v>
      </c>
      <c r="F3" s="1">
        <v>1</v>
      </c>
      <c r="G3" s="1">
        <v>1</v>
      </c>
      <c r="H3" s="1">
        <v>0.99734643424804104</v>
      </c>
      <c r="I3" s="1">
        <v>1</v>
      </c>
      <c r="J3" s="1">
        <v>1</v>
      </c>
      <c r="K3" s="1">
        <v>1</v>
      </c>
      <c r="L3" s="1">
        <v>1</v>
      </c>
      <c r="M3" s="1">
        <v>1</v>
      </c>
      <c r="N3" s="1">
        <v>1</v>
      </c>
      <c r="O3" s="1">
        <v>1</v>
      </c>
      <c r="P3" s="1">
        <v>1</v>
      </c>
      <c r="Q3" s="1">
        <f t="shared" si="0"/>
        <v>0.99979587955754157</v>
      </c>
    </row>
    <row r="4" spans="1:17" ht="30" customHeight="1">
      <c r="A4" t="str">
        <f t="shared" si="1"/>
        <v>arabic</v>
      </c>
      <c r="B4">
        <f>_xlfn.LET(_xlpm.c,_xlfn.SINGLE(Table1[condition]),IF(RIGHT(_xlpm.c,2)="1g",1,0))</f>
        <v>0</v>
      </c>
      <c r="C4" t="s">
        <v>13</v>
      </c>
      <c r="D4" s="1">
        <v>1</v>
      </c>
      <c r="E4" s="1">
        <v>1</v>
      </c>
      <c r="F4" s="1">
        <v>1</v>
      </c>
      <c r="G4" s="1">
        <v>1</v>
      </c>
      <c r="H4" s="1">
        <v>1</v>
      </c>
      <c r="I4" s="1">
        <v>1</v>
      </c>
      <c r="J4" s="1">
        <v>1</v>
      </c>
      <c r="K4" s="1">
        <v>1</v>
      </c>
      <c r="L4" s="1">
        <v>1</v>
      </c>
      <c r="M4" s="1">
        <v>1</v>
      </c>
      <c r="N4" s="1">
        <v>1</v>
      </c>
      <c r="O4" s="1">
        <v>1</v>
      </c>
      <c r="P4" s="1">
        <v>1</v>
      </c>
      <c r="Q4" s="1">
        <f t="shared" si="0"/>
        <v>1</v>
      </c>
    </row>
    <row r="5" spans="1:17" ht="30" customHeight="1">
      <c r="A5" t="str">
        <f t="shared" si="1"/>
        <v>arabic</v>
      </c>
      <c r="B5">
        <f>_xlfn.LET(_xlpm.c,_xlfn.SINGLE(Table1[condition]),IF(RIGHT(_xlpm.c,2)="1g",1,0))</f>
        <v>0</v>
      </c>
      <c r="C5" t="s">
        <v>14</v>
      </c>
      <c r="D5" s="1">
        <v>1</v>
      </c>
      <c r="E5" s="1">
        <v>0.99796707929347594</v>
      </c>
      <c r="F5" s="1">
        <v>0.99842748763021705</v>
      </c>
      <c r="G5" s="1">
        <v>0.99773211530369099</v>
      </c>
      <c r="H5" s="1">
        <v>0.99309259293513297</v>
      </c>
      <c r="I5" s="1">
        <v>1</v>
      </c>
      <c r="J5" s="1">
        <v>0.99849390416508099</v>
      </c>
      <c r="K5" s="1">
        <v>1</v>
      </c>
      <c r="L5" s="1">
        <v>0.99866658843615497</v>
      </c>
      <c r="M5" s="1">
        <v>0.99258172538098899</v>
      </c>
      <c r="N5" s="1">
        <v>0.99374804576034603</v>
      </c>
      <c r="O5" s="1">
        <v>0.98171911702458203</v>
      </c>
      <c r="P5" s="1">
        <v>0.99807677370454195</v>
      </c>
      <c r="Q5" s="1">
        <f t="shared" si="0"/>
        <v>0.99619272535647785</v>
      </c>
    </row>
    <row r="6" spans="1:17" ht="30" customHeight="1">
      <c r="A6" t="str">
        <f t="shared" si="1"/>
        <v>arabic</v>
      </c>
      <c r="B6">
        <f>_xlfn.LET(_xlpm.c,_xlfn.SINGLE(Table1[condition]),IF(RIGHT(_xlpm.c,2)="1g",1,0))</f>
        <v>0</v>
      </c>
      <c r="C6" t="s">
        <v>15</v>
      </c>
      <c r="D6" s="1">
        <v>1</v>
      </c>
      <c r="E6" s="1">
        <v>1</v>
      </c>
      <c r="F6" s="1">
        <v>1</v>
      </c>
      <c r="G6" s="1">
        <v>0.98297012617276203</v>
      </c>
      <c r="H6" s="1">
        <v>0.99855691842377303</v>
      </c>
      <c r="I6" s="1">
        <v>0.99530240188686703</v>
      </c>
      <c r="J6" s="1">
        <v>0.96850490879729201</v>
      </c>
      <c r="K6" s="1">
        <v>1</v>
      </c>
      <c r="L6" s="1">
        <v>1</v>
      </c>
      <c r="M6" s="1">
        <v>0.99173101689010901</v>
      </c>
      <c r="N6" s="1">
        <v>1</v>
      </c>
      <c r="O6" s="1">
        <v>0.85782943630965702</v>
      </c>
      <c r="P6" s="1">
        <v>1</v>
      </c>
      <c r="Q6" s="1">
        <f t="shared" si="0"/>
        <v>0.98422267757541992</v>
      </c>
    </row>
    <row r="7" spans="1:17" ht="30" customHeight="1">
      <c r="A7" t="str">
        <f t="shared" si="1"/>
        <v>arabic</v>
      </c>
      <c r="B7">
        <f>_xlfn.LET(_xlpm.c,_xlfn.SINGLE(Table1[condition]),IF(RIGHT(_xlpm.c,2)="1g",1,0))</f>
        <v>0</v>
      </c>
      <c r="C7" t="s">
        <v>50</v>
      </c>
      <c r="D7" s="1">
        <v>0.97967042782708802</v>
      </c>
      <c r="E7" s="1">
        <v>1</v>
      </c>
      <c r="F7" s="1">
        <v>1</v>
      </c>
      <c r="G7" s="1">
        <v>0.98925753370331504</v>
      </c>
      <c r="H7" s="1">
        <v>0.98175825150990303</v>
      </c>
      <c r="I7" s="1">
        <v>0.99351099129454301</v>
      </c>
      <c r="J7" s="1">
        <v>0.97186927798712897</v>
      </c>
      <c r="K7" s="1">
        <v>0.98540926764365899</v>
      </c>
      <c r="L7" s="1">
        <v>0.99849390416508099</v>
      </c>
      <c r="M7" s="1">
        <v>1</v>
      </c>
      <c r="N7" s="1">
        <v>0.95617025158487601</v>
      </c>
      <c r="O7" s="1">
        <v>1</v>
      </c>
      <c r="P7" s="1">
        <v>0.80688769695878404</v>
      </c>
      <c r="Q7" s="1">
        <f t="shared" si="0"/>
        <v>0.97407904635956755</v>
      </c>
    </row>
    <row r="8" spans="1:17" ht="30" customHeight="1">
      <c r="A8" t="str">
        <f t="shared" si="1"/>
        <v>arabic</v>
      </c>
      <c r="B8">
        <f>_xlfn.LET(_xlpm.c,_xlfn.SINGLE(Table1[condition]),IF(RIGHT(_xlpm.c,2)="1g",1,0))</f>
        <v>0</v>
      </c>
      <c r="C8" t="s">
        <v>51</v>
      </c>
      <c r="D8" s="1">
        <v>0.98583855582341196</v>
      </c>
      <c r="E8" s="1">
        <v>0.99477901391607504</v>
      </c>
      <c r="F8" s="1">
        <v>1</v>
      </c>
      <c r="G8" s="1">
        <v>0.99613807482324002</v>
      </c>
      <c r="H8" s="1">
        <v>0.98202180779031301</v>
      </c>
      <c r="I8" s="1">
        <v>0.94959851063045497</v>
      </c>
      <c r="J8" s="1">
        <v>1</v>
      </c>
      <c r="K8" s="1">
        <v>1</v>
      </c>
      <c r="L8" s="1">
        <v>1</v>
      </c>
      <c r="M8" s="1">
        <v>1</v>
      </c>
      <c r="N8" s="1">
        <v>1</v>
      </c>
      <c r="O8" s="1">
        <v>0.82352146234690204</v>
      </c>
      <c r="P8" s="1">
        <v>1</v>
      </c>
      <c r="Q8" s="1">
        <f t="shared" si="0"/>
        <v>0.97937672502541517</v>
      </c>
    </row>
    <row r="9" spans="1:17" ht="30" customHeight="1">
      <c r="A9" t="str">
        <f t="shared" si="1"/>
        <v>english</v>
      </c>
      <c r="B9">
        <f>_xlfn.LET(_xlpm.c,_xlfn.SINGLE(Table1[condition]),IF(RIGHT(_xlpm.c,2)="1g",1,0))</f>
        <v>1</v>
      </c>
      <c r="C9" t="s">
        <v>16</v>
      </c>
      <c r="D9" s="1">
        <v>1</v>
      </c>
      <c r="E9" s="1">
        <v>0.88215566786518995</v>
      </c>
      <c r="F9" s="1">
        <v>0.80267059202601598</v>
      </c>
      <c r="G9" s="1">
        <v>0.74317675414412798</v>
      </c>
      <c r="H9" s="1">
        <v>0.59246930172061896</v>
      </c>
      <c r="I9" s="1">
        <v>0.63867715307247497</v>
      </c>
      <c r="J9" s="1">
        <v>0.61597364007786604</v>
      </c>
      <c r="K9" s="1">
        <v>0.65781188378337396</v>
      </c>
      <c r="L9" s="1">
        <v>0.50276429947364498</v>
      </c>
      <c r="M9" s="1">
        <v>0.58150493937999304</v>
      </c>
      <c r="N9" s="1">
        <v>0.19569878614422201</v>
      </c>
      <c r="O9" s="1">
        <v>0.28388665823936299</v>
      </c>
      <c r="P9" s="1">
        <v>0.64109675337807304</v>
      </c>
      <c r="Q9" s="1">
        <f t="shared" si="0"/>
        <v>0.62599126379268966</v>
      </c>
    </row>
    <row r="10" spans="1:17" ht="30" customHeight="1">
      <c r="A10" t="str">
        <f t="shared" si="1"/>
        <v>english</v>
      </c>
      <c r="B10">
        <f>_xlfn.LET(_xlpm.c,_xlfn.SINGLE(Table1[condition]),IF(RIGHT(_xlpm.c,2)="1g",1,0))</f>
        <v>0</v>
      </c>
      <c r="C10" t="s">
        <v>17</v>
      </c>
      <c r="D10" s="1">
        <v>0.57430290434678899</v>
      </c>
      <c r="E10" s="1">
        <v>0.58247108856192198</v>
      </c>
      <c r="F10" s="1">
        <v>0.525841842759598</v>
      </c>
      <c r="G10" s="1">
        <v>0.42311886108880298</v>
      </c>
      <c r="H10" s="1">
        <v>0.70086544087800595</v>
      </c>
      <c r="I10" s="1">
        <v>0.40984332217087799</v>
      </c>
      <c r="J10" s="1">
        <v>0.55219824169659204</v>
      </c>
      <c r="K10" s="1">
        <v>0.61750822468228705</v>
      </c>
      <c r="L10" s="1">
        <v>0.53354709794083599</v>
      </c>
      <c r="M10" s="1">
        <v>0.53215615182072096</v>
      </c>
      <c r="N10" s="1">
        <v>0.60634019750017198</v>
      </c>
      <c r="O10" s="1">
        <v>0.490410026294549</v>
      </c>
      <c r="P10" s="1">
        <v>0.43448309391621898</v>
      </c>
      <c r="Q10" s="1">
        <f t="shared" si="0"/>
        <v>0.53716049951210565</v>
      </c>
    </row>
    <row r="11" spans="1:17" ht="30" customHeight="1">
      <c r="A11" t="str">
        <f t="shared" si="1"/>
        <v>english</v>
      </c>
      <c r="B11">
        <f>_xlfn.LET(_xlpm.c,_xlfn.SINGLE(Table1[condition]),IF(RIGHT(_xlpm.c,2)="1g",1,0))</f>
        <v>0</v>
      </c>
      <c r="C11" t="s">
        <v>18</v>
      </c>
      <c r="D11" s="1">
        <v>0.417675227410022</v>
      </c>
      <c r="E11" s="1">
        <v>0.63301335671394598</v>
      </c>
      <c r="F11" s="1">
        <v>0.47589983932429403</v>
      </c>
      <c r="G11" s="1">
        <v>0.61414078089632895</v>
      </c>
      <c r="H11" s="1">
        <v>0.596652159261717</v>
      </c>
      <c r="I11" s="1">
        <v>0.43656631793554102</v>
      </c>
      <c r="J11" s="1">
        <v>0.58238262173603805</v>
      </c>
      <c r="K11" s="1">
        <v>0.56246036523382803</v>
      </c>
      <c r="L11" s="1">
        <v>0.42005121648965299</v>
      </c>
      <c r="M11" s="1">
        <v>0.34101207996307398</v>
      </c>
      <c r="N11" s="1">
        <v>0.38319586072457901</v>
      </c>
      <c r="O11" s="1">
        <v>0.246732833686164</v>
      </c>
      <c r="P11" s="1">
        <v>0.59573524601530603</v>
      </c>
      <c r="Q11" s="1">
        <f t="shared" si="0"/>
        <v>0.48503983887619168</v>
      </c>
    </row>
    <row r="12" spans="1:17" ht="30" customHeight="1">
      <c r="A12" t="str">
        <f t="shared" si="1"/>
        <v>english</v>
      </c>
      <c r="B12">
        <f>_xlfn.LET(_xlpm.c,_xlfn.SINGLE(Table1[condition]),IF(RIGHT(_xlpm.c,2)="1g",1,0))</f>
        <v>0</v>
      </c>
      <c r="C12" t="s">
        <v>19</v>
      </c>
      <c r="D12" s="1">
        <v>0.751887756073918</v>
      </c>
      <c r="E12" s="1">
        <v>0.63295109762927504</v>
      </c>
      <c r="F12" s="1">
        <v>0.42493351047261702</v>
      </c>
      <c r="G12" s="1">
        <v>0.75476743165218196</v>
      </c>
      <c r="H12" s="1">
        <v>0.67920194116799604</v>
      </c>
      <c r="I12" s="1">
        <v>0.62248452405462196</v>
      </c>
      <c r="J12" s="1">
        <v>0.62205055305169099</v>
      </c>
      <c r="K12" s="1">
        <v>0.51898356915180799</v>
      </c>
      <c r="L12" s="1">
        <v>0.69177940608705402</v>
      </c>
      <c r="M12" s="1">
        <v>0.44039291920200802</v>
      </c>
      <c r="N12" s="1">
        <v>0.480082541795045</v>
      </c>
      <c r="O12" s="1">
        <v>0.41643058082267898</v>
      </c>
      <c r="P12" s="1">
        <v>0.62635700620490697</v>
      </c>
      <c r="Q12" s="1">
        <f t="shared" si="0"/>
        <v>0.58940791056660014</v>
      </c>
    </row>
    <row r="13" spans="1:17" ht="30" customHeight="1">
      <c r="A13" t="str">
        <f t="shared" si="1"/>
        <v>english</v>
      </c>
      <c r="B13">
        <f>_xlfn.LET(_xlpm.c,_xlfn.SINGLE(Table1[condition]),IF(RIGHT(_xlpm.c,2)="1g",1,0))</f>
        <v>0</v>
      </c>
      <c r="C13" t="s">
        <v>20</v>
      </c>
      <c r="D13" s="1">
        <v>0.67792623412911901</v>
      </c>
      <c r="E13" s="1">
        <v>0.74604408862634597</v>
      </c>
      <c r="F13" s="1">
        <v>0.77286587119539996</v>
      </c>
      <c r="G13" s="1">
        <v>0.60735786905177103</v>
      </c>
      <c r="H13" s="1">
        <v>0.82557373395739597</v>
      </c>
      <c r="I13" s="1">
        <v>0.761731811119151</v>
      </c>
      <c r="J13" s="1">
        <v>0.55269906026376503</v>
      </c>
      <c r="K13" s="1">
        <v>0.46405308350910401</v>
      </c>
      <c r="L13" s="1">
        <v>0.24601733867953501</v>
      </c>
      <c r="M13" s="1">
        <v>0.51279602487490605</v>
      </c>
      <c r="N13" s="1">
        <v>0.63990268698036501</v>
      </c>
      <c r="O13" s="1">
        <v>0.59089138919977102</v>
      </c>
      <c r="P13" s="1">
        <v>0.352185985391751</v>
      </c>
      <c r="Q13" s="1">
        <f t="shared" si="0"/>
        <v>0.59615732130602939</v>
      </c>
    </row>
    <row r="14" spans="1:17" ht="30" customHeight="1">
      <c r="A14" t="str">
        <f t="shared" si="1"/>
        <v>english</v>
      </c>
      <c r="B14">
        <f>_xlfn.LET(_xlpm.c,_xlfn.SINGLE(Table1[condition]),IF(RIGHT(_xlpm.c,2)="1g",1,0))</f>
        <v>0</v>
      </c>
      <c r="C14" t="s">
        <v>52</v>
      </c>
      <c r="D14" s="1">
        <v>0.70619851380226095</v>
      </c>
      <c r="E14" s="1">
        <v>0.76125851647316001</v>
      </c>
      <c r="F14" s="1">
        <v>0.63924055724934203</v>
      </c>
      <c r="G14" s="1">
        <v>0.54992374149021905</v>
      </c>
      <c r="H14" s="1">
        <v>0.67110043102586203</v>
      </c>
      <c r="I14" s="1">
        <v>0.73583928947873301</v>
      </c>
      <c r="J14" s="1">
        <v>0.418663921924948</v>
      </c>
      <c r="K14" s="1">
        <v>0.60060721693033303</v>
      </c>
      <c r="L14" s="1">
        <v>0.44335209135967901</v>
      </c>
      <c r="M14" s="1">
        <v>0.61278244096145196</v>
      </c>
      <c r="N14" s="1">
        <v>0.58197389308157599</v>
      </c>
      <c r="O14" s="1">
        <v>0</v>
      </c>
      <c r="P14" s="1">
        <v>0.52695085628513005</v>
      </c>
      <c r="Q14" s="1">
        <f t="shared" si="0"/>
        <v>0.55753011308174583</v>
      </c>
    </row>
    <row r="15" spans="1:17" ht="30" customHeight="1">
      <c r="A15" t="str">
        <f t="shared" si="1"/>
        <v>english</v>
      </c>
      <c r="B15">
        <f>_xlfn.LET(_xlpm.c,_xlfn.SINGLE(Table1[condition]),IF(RIGHT(_xlpm.c,2)="1g",1,0))</f>
        <v>0</v>
      </c>
      <c r="C15" t="s">
        <v>53</v>
      </c>
      <c r="D15" s="1">
        <v>0.791187552510494</v>
      </c>
      <c r="E15" s="1">
        <v>0.54780772089552299</v>
      </c>
      <c r="F15" s="1">
        <v>0.68349749014616501</v>
      </c>
      <c r="G15" s="1">
        <v>0.84369605948170801</v>
      </c>
      <c r="H15" s="1">
        <v>0.65435154392085804</v>
      </c>
      <c r="I15" s="1">
        <v>0.61528665522157699</v>
      </c>
      <c r="J15" s="1">
        <v>0.35792089626189999</v>
      </c>
      <c r="K15" s="1">
        <v>0.633395071213677</v>
      </c>
      <c r="L15" s="1">
        <v>0.41878501300337301</v>
      </c>
      <c r="M15" s="1">
        <v>0.58767814002257601</v>
      </c>
      <c r="N15" s="1">
        <v>0</v>
      </c>
      <c r="O15" s="1">
        <v>0.46290250671410399</v>
      </c>
      <c r="P15" s="1">
        <v>0.268901899608742</v>
      </c>
      <c r="Q15" s="1">
        <f t="shared" si="0"/>
        <v>0.52810850376928442</v>
      </c>
    </row>
    <row r="16" spans="1:17" ht="30" customHeight="1">
      <c r="A16" t="str">
        <f t="shared" ref="A16:A25" si="2">_xlfn.LET(_xlpm.c,$C16,_xlfn.TEXTBEFORE(_xlpm.c,"-"))</f>
        <v>french</v>
      </c>
      <c r="B16">
        <f>_xlfn.LET(_xlpm.c,_xlfn.SINGLE(Table1[condition]),IF(RIGHT(_xlpm.c,2)="1g",1,0))</f>
        <v>1</v>
      </c>
      <c r="C16" t="s">
        <v>21</v>
      </c>
      <c r="D16" s="1">
        <v>1</v>
      </c>
      <c r="E16" s="1">
        <v>0.88770475992813602</v>
      </c>
      <c r="F16" s="1">
        <v>0.92011034535879299</v>
      </c>
      <c r="G16" s="1">
        <v>0.850741350674735</v>
      </c>
      <c r="H16" s="1">
        <v>0.90195403215469805</v>
      </c>
      <c r="I16" s="1">
        <v>0.68192457794362804</v>
      </c>
      <c r="J16" s="1">
        <v>0.66816491670115397</v>
      </c>
      <c r="K16" s="1">
        <v>0.58397623665903098</v>
      </c>
      <c r="L16" s="1">
        <v>0.48389980875765198</v>
      </c>
      <c r="M16" s="1">
        <v>0.58696946835402697</v>
      </c>
      <c r="N16" s="1">
        <v>0.24374900547741701</v>
      </c>
      <c r="O16" s="1">
        <v>0.39542252471933498</v>
      </c>
      <c r="P16" s="1">
        <v>0.21685158769858701</v>
      </c>
      <c r="Q16" s="1">
        <f t="shared" ref="Q16:Q25" si="3">_xlfn.LET(_xlpm.d,$D16:$P16,AVERAGE(_xlpm.d))</f>
        <v>0.64780527803286092</v>
      </c>
    </row>
    <row r="17" spans="1:17" ht="30" customHeight="1">
      <c r="A17" t="str">
        <f t="shared" si="2"/>
        <v>french</v>
      </c>
      <c r="B17">
        <f>_xlfn.LET(_xlpm.c,_xlfn.SINGLE(Table1[condition]),IF(RIGHT(_xlpm.c,2)="1g",1,0))</f>
        <v>0</v>
      </c>
      <c r="C17" t="s">
        <v>22</v>
      </c>
      <c r="D17" s="1">
        <v>0.83862212430859095</v>
      </c>
      <c r="E17" s="1">
        <v>0.69679506649705203</v>
      </c>
      <c r="F17" s="1">
        <v>0.63332564170911299</v>
      </c>
      <c r="G17" s="1">
        <v>0.42991388734318497</v>
      </c>
      <c r="H17" s="1">
        <v>0.56576623204825305</v>
      </c>
      <c r="I17" s="1">
        <v>0.52391535180665405</v>
      </c>
      <c r="J17" s="1">
        <v>0.422164435128078</v>
      </c>
      <c r="K17" s="1">
        <v>0.54742437083550899</v>
      </c>
      <c r="L17" s="1">
        <v>0.48645582066305498</v>
      </c>
      <c r="M17" s="1">
        <v>0.58845880137940698</v>
      </c>
      <c r="N17" s="1">
        <v>0.50413950199813995</v>
      </c>
      <c r="O17" s="1">
        <v>0.61363931334756605</v>
      </c>
      <c r="P17" s="1">
        <v>0.60161873096548502</v>
      </c>
      <c r="Q17" s="1">
        <f t="shared" si="3"/>
        <v>0.57324917523308372</v>
      </c>
    </row>
    <row r="18" spans="1:17" ht="30" customHeight="1">
      <c r="A18" t="str">
        <f t="shared" si="2"/>
        <v>french</v>
      </c>
      <c r="B18">
        <f>_xlfn.LET(_xlpm.c,_xlfn.SINGLE(Table1[condition]),IF(RIGHT(_xlpm.c,2)="1g",1,0))</f>
        <v>0</v>
      </c>
      <c r="C18" t="s">
        <v>23</v>
      </c>
      <c r="D18" s="1">
        <v>0.73150557615241996</v>
      </c>
      <c r="E18" s="1">
        <v>0.54990146599080503</v>
      </c>
      <c r="F18" s="1">
        <v>0.60589663022378604</v>
      </c>
      <c r="G18" s="1">
        <v>0.67117659537218499</v>
      </c>
      <c r="H18" s="1">
        <v>0.42198000621068099</v>
      </c>
      <c r="I18" s="1">
        <v>0.62978943787859998</v>
      </c>
      <c r="J18" s="1">
        <v>0.49706210736645201</v>
      </c>
      <c r="K18" s="1">
        <v>0.56531616628092496</v>
      </c>
      <c r="L18" s="1">
        <v>0.55649820940329497</v>
      </c>
      <c r="M18" s="1">
        <v>0.42415154557880103</v>
      </c>
      <c r="N18" s="1">
        <v>0.64625856095020096</v>
      </c>
      <c r="O18" s="1">
        <v>0.19660318838861701</v>
      </c>
      <c r="P18" s="1">
        <v>0.39126946636686999</v>
      </c>
      <c r="Q18" s="1">
        <f t="shared" si="3"/>
        <v>0.52980068893566457</v>
      </c>
    </row>
    <row r="19" spans="1:17" ht="30" customHeight="1">
      <c r="A19" t="str">
        <f t="shared" si="2"/>
        <v>french</v>
      </c>
      <c r="B19">
        <f>_xlfn.LET(_xlpm.c,_xlfn.SINGLE(Table1[condition]),IF(RIGHT(_xlpm.c,2)="1g",1,0))</f>
        <v>0</v>
      </c>
      <c r="C19" t="s">
        <v>24</v>
      </c>
      <c r="D19" s="1">
        <v>0.77461059946081101</v>
      </c>
      <c r="E19" s="1">
        <v>0.61881876763833998</v>
      </c>
      <c r="F19" s="1">
        <v>0.73224992093685903</v>
      </c>
      <c r="G19" s="1">
        <v>0.608432450560216</v>
      </c>
      <c r="H19" s="1">
        <v>0.61130051097141203</v>
      </c>
      <c r="I19" s="1">
        <v>0.77939252321861896</v>
      </c>
      <c r="J19" s="1">
        <v>0.61797960354812698</v>
      </c>
      <c r="K19" s="1">
        <v>0.367354026288366</v>
      </c>
      <c r="L19" s="1">
        <v>0.60563541436232105</v>
      </c>
      <c r="M19" s="1">
        <v>0.40517977250376402</v>
      </c>
      <c r="N19" s="1">
        <v>0.55404214804652596</v>
      </c>
      <c r="O19" s="1">
        <v>0.57209496003442095</v>
      </c>
      <c r="P19" s="1">
        <v>0.46318319213631798</v>
      </c>
      <c r="Q19" s="1">
        <f t="shared" si="3"/>
        <v>0.59309799151585385</v>
      </c>
    </row>
    <row r="20" spans="1:17" ht="30" customHeight="1">
      <c r="A20" t="str">
        <f t="shared" si="2"/>
        <v>french</v>
      </c>
      <c r="B20">
        <f>_xlfn.LET(_xlpm.c,_xlfn.SINGLE(Table1[condition]),IF(RIGHT(_xlpm.c,2)="1g",1,0))</f>
        <v>0</v>
      </c>
      <c r="C20" t="s">
        <v>25</v>
      </c>
      <c r="D20" s="1">
        <v>0.74350390204064798</v>
      </c>
      <c r="E20" s="1">
        <v>0.684798262640547</v>
      </c>
      <c r="F20" s="1">
        <v>0.69755128052667903</v>
      </c>
      <c r="G20" s="1">
        <v>0.55775851286921696</v>
      </c>
      <c r="H20" s="1">
        <v>0.48981640711600399</v>
      </c>
      <c r="I20" s="1">
        <v>0.55562091976024597</v>
      </c>
      <c r="J20" s="1">
        <v>0.67071169774127604</v>
      </c>
      <c r="K20" s="1">
        <v>0.66901871469274099</v>
      </c>
      <c r="L20" s="1">
        <v>0.403618313678894</v>
      </c>
      <c r="M20" s="1">
        <v>0.77440943041071997</v>
      </c>
      <c r="N20" s="1">
        <v>0.51378686067683099</v>
      </c>
      <c r="O20" s="1">
        <v>0.32532686067780298</v>
      </c>
      <c r="P20" s="1">
        <v>0.47250957766709401</v>
      </c>
      <c r="Q20" s="1">
        <f t="shared" si="3"/>
        <v>0.58141774926913081</v>
      </c>
    </row>
    <row r="21" spans="1:17" ht="30" customHeight="1">
      <c r="A21" t="str">
        <f t="shared" si="2"/>
        <v>french</v>
      </c>
      <c r="B21">
        <f>_xlfn.LET(_xlpm.c,_xlfn.SINGLE(Table1[condition]),IF(RIGHT(_xlpm.c,2)="1g",1,0))</f>
        <v>0</v>
      </c>
      <c r="C21" t="s">
        <v>54</v>
      </c>
      <c r="D21" s="1">
        <v>0.57502683072851701</v>
      </c>
      <c r="E21" s="1">
        <v>0.58153332537475999</v>
      </c>
      <c r="F21" s="1">
        <v>0.57691184593293099</v>
      </c>
      <c r="G21" s="1">
        <v>0.66003752960019402</v>
      </c>
      <c r="H21" s="1">
        <v>0.7299438136452</v>
      </c>
      <c r="I21" s="1">
        <v>0.57172645284186097</v>
      </c>
      <c r="J21" s="1">
        <v>0.33508760903741402</v>
      </c>
      <c r="K21" s="1">
        <v>0.59424544821612602</v>
      </c>
      <c r="L21" s="1">
        <v>0.66196846773513796</v>
      </c>
      <c r="M21" s="1">
        <v>0.48359710212718798</v>
      </c>
      <c r="N21" s="1">
        <v>0.48899204165018401</v>
      </c>
      <c r="O21" s="1">
        <v>0.36603790518897</v>
      </c>
      <c r="P21" s="1">
        <v>0.65800264941706998</v>
      </c>
      <c r="Q21" s="1">
        <f t="shared" si="3"/>
        <v>0.56023930934581179</v>
      </c>
    </row>
    <row r="22" spans="1:17" ht="30" customHeight="1">
      <c r="A22" t="str">
        <f t="shared" si="2"/>
        <v>french</v>
      </c>
      <c r="B22">
        <f>_xlfn.LET(_xlpm.c,_xlfn.SINGLE(Table1[condition]),IF(RIGHT(_xlpm.c,2)="1g",1,0))</f>
        <v>0</v>
      </c>
      <c r="C22" t="s">
        <v>55</v>
      </c>
      <c r="D22" s="1">
        <v>0.73027110167235798</v>
      </c>
      <c r="E22" s="1">
        <v>0.649111960667064</v>
      </c>
      <c r="F22" s="1">
        <v>0.65808173136002701</v>
      </c>
      <c r="G22" s="1">
        <v>0.67934636280520699</v>
      </c>
      <c r="H22" s="1">
        <v>0.51399660504391298</v>
      </c>
      <c r="I22" s="1">
        <v>0.49610146131378702</v>
      </c>
      <c r="J22" s="1">
        <v>0.44790708188945899</v>
      </c>
      <c r="K22" s="1">
        <v>0.49121588493388901</v>
      </c>
      <c r="L22" s="1">
        <v>0.499957823504247</v>
      </c>
      <c r="M22" s="1">
        <v>0.32997806384378098</v>
      </c>
      <c r="N22" s="1">
        <v>0.46944728254235901</v>
      </c>
      <c r="O22" s="1">
        <v>0.21869610762063399</v>
      </c>
      <c r="P22" s="1">
        <v>0.41046774983527201</v>
      </c>
      <c r="Q22" s="1">
        <f t="shared" si="3"/>
        <v>0.50727532438707668</v>
      </c>
    </row>
    <row r="23" spans="1:17" ht="30" customHeight="1">
      <c r="A23" t="str">
        <f t="shared" si="2"/>
        <v>german</v>
      </c>
      <c r="B23">
        <f>_xlfn.LET(_xlpm.c,_xlfn.SINGLE(Table1[condition]),IF(RIGHT(_xlpm.c,2)="1g",1,0))</f>
        <v>1</v>
      </c>
      <c r="C23" t="s">
        <v>26</v>
      </c>
      <c r="D23" s="1">
        <v>1</v>
      </c>
      <c r="E23" s="1">
        <v>0.92980877999760403</v>
      </c>
      <c r="F23" s="1">
        <v>0.906792870870328</v>
      </c>
      <c r="G23" s="1">
        <v>0.79357687382775999</v>
      </c>
      <c r="H23" s="1">
        <v>0.86655932189549101</v>
      </c>
      <c r="I23" s="1">
        <v>0.69295567886096598</v>
      </c>
      <c r="J23" s="1">
        <v>0.76104289018909699</v>
      </c>
      <c r="K23" s="1">
        <v>0.714887313372915</v>
      </c>
      <c r="L23" s="1">
        <v>0.53288177959304595</v>
      </c>
      <c r="M23" s="1">
        <v>0.33701028754569101</v>
      </c>
      <c r="N23" s="1">
        <v>0.52315721712307395</v>
      </c>
      <c r="O23" s="1">
        <v>0.478817036188603</v>
      </c>
      <c r="P23" s="1">
        <v>0.50643432366276897</v>
      </c>
      <c r="Q23" s="1">
        <f t="shared" si="3"/>
        <v>0.69568649024056495</v>
      </c>
    </row>
    <row r="24" spans="1:17" ht="30" customHeight="1">
      <c r="A24" t="str">
        <f t="shared" si="2"/>
        <v>german</v>
      </c>
      <c r="B24">
        <f>_xlfn.LET(_xlpm.c,_xlfn.SINGLE(Table1[condition]),IF(RIGHT(_xlpm.c,2)="1g",1,0))</f>
        <v>0</v>
      </c>
      <c r="C24" t="s">
        <v>27</v>
      </c>
      <c r="D24" s="1">
        <v>0.76226299127270103</v>
      </c>
      <c r="E24" s="1">
        <v>0.56612643946468499</v>
      </c>
      <c r="F24" s="1">
        <v>0.57592466335988002</v>
      </c>
      <c r="G24" s="1">
        <v>0.61108693059763697</v>
      </c>
      <c r="H24" s="1">
        <v>0.54987665061515201</v>
      </c>
      <c r="I24" s="1">
        <v>0.51098632901215701</v>
      </c>
      <c r="J24" s="1">
        <v>0.55630245811445</v>
      </c>
      <c r="K24" s="1">
        <v>0.43807544948849603</v>
      </c>
      <c r="L24" s="1">
        <v>0.53702571450716596</v>
      </c>
      <c r="M24" s="1">
        <v>0.60227464055934599</v>
      </c>
      <c r="N24" s="1">
        <v>0.37678179275060703</v>
      </c>
      <c r="O24" s="1">
        <v>0.50336008080371897</v>
      </c>
      <c r="P24" s="1">
        <v>0.52489945885451805</v>
      </c>
      <c r="Q24" s="1">
        <f t="shared" si="3"/>
        <v>0.54730643072311647</v>
      </c>
    </row>
    <row r="25" spans="1:17" ht="30" customHeight="1">
      <c r="A25" t="str">
        <f t="shared" si="2"/>
        <v>german</v>
      </c>
      <c r="B25">
        <f>_xlfn.LET(_xlpm.c,_xlfn.SINGLE(Table1[condition]),IF(RIGHT(_xlpm.c,2)="1g",1,0))</f>
        <v>0</v>
      </c>
      <c r="C25" t="s">
        <v>28</v>
      </c>
      <c r="D25" s="1">
        <v>0.70637144982359901</v>
      </c>
      <c r="E25" s="1">
        <v>0.66361864799802395</v>
      </c>
      <c r="F25" s="1">
        <v>0.70312865857488804</v>
      </c>
      <c r="G25" s="1">
        <v>0.69178017495712696</v>
      </c>
      <c r="H25" s="1">
        <v>0.55231417665609694</v>
      </c>
      <c r="I25" s="1">
        <v>0.53773184893668702</v>
      </c>
      <c r="J25" s="1">
        <v>0.64729555632823099</v>
      </c>
      <c r="K25" s="1">
        <v>0.73319092101829197</v>
      </c>
      <c r="L25" s="1">
        <v>0.75074483335789499</v>
      </c>
      <c r="M25" s="1">
        <v>0.48008519096671098</v>
      </c>
      <c r="N25" s="1">
        <v>0.46857137628256801</v>
      </c>
      <c r="O25" s="1">
        <v>0.52898222060911304</v>
      </c>
      <c r="P25" s="1">
        <v>0.431027737988183</v>
      </c>
      <c r="Q25" s="1">
        <f t="shared" si="3"/>
        <v>0.60729559949980105</v>
      </c>
    </row>
    <row r="26" spans="1:17" ht="30" customHeight="1">
      <c r="A26" t="str">
        <f t="shared" si="1"/>
        <v>german</v>
      </c>
      <c r="B26">
        <f>_xlfn.LET(_xlpm.c,_xlfn.SINGLE(Table1[condition]),IF(RIGHT(_xlpm.c,2)="1g",1,0))</f>
        <v>0</v>
      </c>
      <c r="C26" t="s">
        <v>29</v>
      </c>
      <c r="D26" s="1">
        <v>0.735856682958418</v>
      </c>
      <c r="E26" s="1">
        <v>0.79318790620072699</v>
      </c>
      <c r="F26" s="1">
        <v>0.72156977655033205</v>
      </c>
      <c r="G26" s="1">
        <v>0.78875179532976902</v>
      </c>
      <c r="H26" s="1">
        <v>0.65751415611392905</v>
      </c>
      <c r="I26" s="1">
        <v>0.630071301154013</v>
      </c>
      <c r="J26" s="1">
        <v>0.66641362988696495</v>
      </c>
      <c r="K26" s="1">
        <v>0.69627036063909797</v>
      </c>
      <c r="L26" s="1">
        <v>0.59364489139170495</v>
      </c>
      <c r="M26" s="1">
        <v>0.66740894086443403</v>
      </c>
      <c r="N26" s="1">
        <v>0.64347421938183602</v>
      </c>
      <c r="O26" s="1">
        <v>0.40021946854188201</v>
      </c>
      <c r="P26" s="1">
        <v>0.42941265799660699</v>
      </c>
      <c r="Q26" s="1">
        <f t="shared" si="0"/>
        <v>0.6479842913084396</v>
      </c>
    </row>
    <row r="27" spans="1:17" ht="30" customHeight="1">
      <c r="A27" t="str">
        <f t="shared" si="1"/>
        <v>german</v>
      </c>
      <c r="B27">
        <f>_xlfn.LET(_xlpm.c,_xlfn.SINGLE(Table1[condition]),IF(RIGHT(_xlpm.c,2)="1g",1,0))</f>
        <v>0</v>
      </c>
      <c r="C27" t="s">
        <v>30</v>
      </c>
      <c r="D27" s="1">
        <v>0.75376600448131104</v>
      </c>
      <c r="E27" s="1">
        <v>0.81711398593665197</v>
      </c>
      <c r="F27" s="1">
        <v>0.71878145983783104</v>
      </c>
      <c r="G27" s="1">
        <v>0.50787456394582098</v>
      </c>
      <c r="H27" s="1">
        <v>0.577697183316774</v>
      </c>
      <c r="I27" s="1">
        <v>0.59283045492400199</v>
      </c>
      <c r="J27" s="1">
        <v>0.65904581926008599</v>
      </c>
      <c r="K27" s="1">
        <v>0.41420307954187802</v>
      </c>
      <c r="L27" s="1">
        <v>0.63493445276746696</v>
      </c>
      <c r="M27" s="1">
        <v>0.44558335424108397</v>
      </c>
      <c r="N27" s="1">
        <v>0.53088797219269301</v>
      </c>
      <c r="O27" s="1">
        <v>0.64561590257162904</v>
      </c>
      <c r="P27" s="1">
        <v>0.217816846669209</v>
      </c>
      <c r="Q27" s="1">
        <f t="shared" si="0"/>
        <v>0.57816546766818755</v>
      </c>
    </row>
    <row r="28" spans="1:17" ht="30" customHeight="1">
      <c r="A28" t="str">
        <f t="shared" si="1"/>
        <v>german</v>
      </c>
      <c r="B28">
        <f>_xlfn.LET(_xlpm.c,_xlfn.SINGLE(Table1[condition]),IF(RIGHT(_xlpm.c,2)="1g",1,0))</f>
        <v>0</v>
      </c>
      <c r="C28" t="s">
        <v>56</v>
      </c>
      <c r="D28" s="1">
        <v>0.72313197501579596</v>
      </c>
      <c r="E28" s="1">
        <v>0.79045626003305602</v>
      </c>
      <c r="F28" s="1">
        <v>0.78620232578502502</v>
      </c>
      <c r="G28" s="1">
        <v>0.61229338385114296</v>
      </c>
      <c r="H28" s="1">
        <v>0.81071351251053403</v>
      </c>
      <c r="I28" s="1">
        <v>0.73315151942433698</v>
      </c>
      <c r="J28" s="1">
        <v>0.70723352173112597</v>
      </c>
      <c r="K28" s="1">
        <v>0.61433861344374197</v>
      </c>
      <c r="L28" s="1">
        <v>0.639737019627998</v>
      </c>
      <c r="M28" s="1">
        <v>0.67209583600329803</v>
      </c>
      <c r="N28" s="1">
        <v>0.61573391897719798</v>
      </c>
      <c r="O28" s="1">
        <v>0.40197482565527398</v>
      </c>
      <c r="P28" s="1">
        <v>0.51441514425109602</v>
      </c>
      <c r="Q28" s="1">
        <f t="shared" si="0"/>
        <v>0.66319060433150956</v>
      </c>
    </row>
    <row r="29" spans="1:17" ht="30" customHeight="1">
      <c r="A29" t="str">
        <f t="shared" si="1"/>
        <v>german</v>
      </c>
      <c r="B29">
        <f>_xlfn.LET(_xlpm.c,_xlfn.SINGLE(Table1[condition]),IF(RIGHT(_xlpm.c,2)="1g",1,0))</f>
        <v>0</v>
      </c>
      <c r="C29" t="s">
        <v>57</v>
      </c>
      <c r="D29" s="1">
        <v>0.64801023633362098</v>
      </c>
      <c r="E29" s="1">
        <v>0.62819082981070695</v>
      </c>
      <c r="F29" s="1">
        <v>0.84984417711137905</v>
      </c>
      <c r="G29" s="1">
        <v>0.47705915006666499</v>
      </c>
      <c r="H29" s="1">
        <v>0.72221295952264497</v>
      </c>
      <c r="I29" s="1">
        <v>0.748706478794257</v>
      </c>
      <c r="J29" s="1">
        <v>0.76255798770190197</v>
      </c>
      <c r="K29" s="1">
        <v>0.60322095956764499</v>
      </c>
      <c r="L29" s="1">
        <v>0.44823123051032698</v>
      </c>
      <c r="M29" s="1">
        <v>0.33065085880328898</v>
      </c>
      <c r="N29" s="1">
        <v>0.65125389638833597</v>
      </c>
      <c r="O29" s="1">
        <v>0.40426322077035198</v>
      </c>
      <c r="P29" s="1">
        <v>0.71695252829976996</v>
      </c>
      <c r="Q29" s="1">
        <f t="shared" si="0"/>
        <v>0.61470419336006887</v>
      </c>
    </row>
    <row r="30" spans="1:17" ht="30" customHeight="1">
      <c r="A30" t="str">
        <f t="shared" si="1"/>
        <v>russian</v>
      </c>
      <c r="B30">
        <f>_xlfn.LET(_xlpm.c,_xlfn.SINGLE(Table1[condition]),IF(RIGHT(_xlpm.c,2)="1g",1,0))</f>
        <v>1</v>
      </c>
      <c r="C30" t="s">
        <v>31</v>
      </c>
      <c r="D30" s="1">
        <v>1</v>
      </c>
      <c r="E30" s="1">
        <v>1</v>
      </c>
      <c r="F30" s="1">
        <v>1</v>
      </c>
      <c r="G30" s="1">
        <v>1</v>
      </c>
      <c r="H30" s="1">
        <v>1</v>
      </c>
      <c r="I30" s="1">
        <v>1</v>
      </c>
      <c r="J30" s="1">
        <v>1</v>
      </c>
      <c r="K30" s="1">
        <v>1</v>
      </c>
      <c r="L30" s="1">
        <v>1</v>
      </c>
      <c r="M30" s="1">
        <v>1</v>
      </c>
      <c r="N30" s="1">
        <v>1</v>
      </c>
      <c r="O30" s="1">
        <v>1</v>
      </c>
      <c r="P30" s="1">
        <v>1</v>
      </c>
      <c r="Q30" s="1">
        <f t="shared" si="0"/>
        <v>1</v>
      </c>
    </row>
    <row r="31" spans="1:17" ht="30" customHeight="1">
      <c r="A31" t="str">
        <f t="shared" si="1"/>
        <v>russian</v>
      </c>
      <c r="B31">
        <f>_xlfn.LET(_xlpm.c,_xlfn.SINGLE(Table1[condition]),IF(RIGHT(_xlpm.c,2)="1g",1,0))</f>
        <v>0</v>
      </c>
      <c r="C31" t="s">
        <v>32</v>
      </c>
      <c r="D31" s="1">
        <v>1</v>
      </c>
      <c r="E31" s="1">
        <v>1</v>
      </c>
      <c r="F31" s="1">
        <v>1</v>
      </c>
      <c r="G31" s="1">
        <v>1</v>
      </c>
      <c r="H31" s="1">
        <v>1</v>
      </c>
      <c r="I31" s="1">
        <v>1</v>
      </c>
      <c r="J31" s="1">
        <v>1</v>
      </c>
      <c r="K31" s="1">
        <v>1</v>
      </c>
      <c r="L31" s="1">
        <v>1</v>
      </c>
      <c r="M31" s="1">
        <v>1</v>
      </c>
      <c r="N31" s="1">
        <v>1</v>
      </c>
      <c r="O31" s="1">
        <v>1</v>
      </c>
      <c r="P31" s="1">
        <v>1</v>
      </c>
      <c r="Q31" s="1">
        <f t="shared" si="0"/>
        <v>1</v>
      </c>
    </row>
    <row r="32" spans="1:17" ht="30" customHeight="1">
      <c r="A32" t="str">
        <f t="shared" si="1"/>
        <v>russian</v>
      </c>
      <c r="B32">
        <f>_xlfn.LET(_xlpm.c,_xlfn.SINGLE(Table1[condition]),IF(RIGHT(_xlpm.c,2)="1g",1,0))</f>
        <v>0</v>
      </c>
      <c r="C32" t="s">
        <v>33</v>
      </c>
      <c r="D32" s="1">
        <v>1</v>
      </c>
      <c r="E32" s="1">
        <v>1</v>
      </c>
      <c r="F32" s="1">
        <v>1</v>
      </c>
      <c r="G32" s="1">
        <v>1</v>
      </c>
      <c r="H32" s="1">
        <v>1</v>
      </c>
      <c r="I32" s="1">
        <v>1</v>
      </c>
      <c r="J32" s="1">
        <v>1</v>
      </c>
      <c r="K32" s="1">
        <v>1</v>
      </c>
      <c r="L32" s="1">
        <v>1</v>
      </c>
      <c r="M32" s="1">
        <v>1</v>
      </c>
      <c r="N32" s="1">
        <v>1</v>
      </c>
      <c r="O32" s="1">
        <v>1</v>
      </c>
      <c r="P32" s="1">
        <v>1</v>
      </c>
      <c r="Q32" s="1">
        <f t="shared" si="0"/>
        <v>1</v>
      </c>
    </row>
    <row r="33" spans="1:17" ht="30" customHeight="1">
      <c r="A33" t="str">
        <f t="shared" si="1"/>
        <v>russian</v>
      </c>
      <c r="B33">
        <f>_xlfn.LET(_xlpm.c,_xlfn.SINGLE(Table1[condition]),IF(RIGHT(_xlpm.c,2)="1g",1,0))</f>
        <v>0</v>
      </c>
      <c r="C33" t="s">
        <v>34</v>
      </c>
      <c r="D33" s="1">
        <v>1</v>
      </c>
      <c r="E33" s="1">
        <v>1</v>
      </c>
      <c r="F33" s="1">
        <v>1</v>
      </c>
      <c r="G33" s="1">
        <v>1</v>
      </c>
      <c r="H33" s="1">
        <v>1</v>
      </c>
      <c r="I33" s="1">
        <v>1</v>
      </c>
      <c r="J33" s="1">
        <v>1</v>
      </c>
      <c r="K33" s="1">
        <v>0.96503826854917096</v>
      </c>
      <c r="L33" s="1">
        <v>1</v>
      </c>
      <c r="M33" s="1">
        <v>0.99851849250539004</v>
      </c>
      <c r="N33" s="1">
        <v>1</v>
      </c>
      <c r="O33" s="1">
        <v>0.99828473413379004</v>
      </c>
      <c r="P33" s="1">
        <v>0.85410196624968404</v>
      </c>
      <c r="Q33" s="1">
        <f t="shared" si="0"/>
        <v>0.9858418047260028</v>
      </c>
    </row>
    <row r="34" spans="1:17" ht="30" customHeight="1">
      <c r="A34" t="str">
        <f t="shared" si="1"/>
        <v>russian</v>
      </c>
      <c r="B34">
        <f>_xlfn.LET(_xlpm.c,_xlfn.SINGLE(Table1[condition]),IF(RIGHT(_xlpm.c,2)="1g",1,0))</f>
        <v>0</v>
      </c>
      <c r="C34" t="s">
        <v>35</v>
      </c>
      <c r="D34" s="1">
        <v>0.973288779766731</v>
      </c>
      <c r="E34" s="1">
        <v>0.97948302602913295</v>
      </c>
      <c r="F34" s="1">
        <v>1</v>
      </c>
      <c r="G34" s="1">
        <v>0.99714248387664495</v>
      </c>
      <c r="H34" s="1">
        <v>1</v>
      </c>
      <c r="I34" s="1">
        <v>1</v>
      </c>
      <c r="J34" s="1">
        <v>0.99878345318736395</v>
      </c>
      <c r="K34" s="1">
        <v>1</v>
      </c>
      <c r="L34" s="1">
        <v>1</v>
      </c>
      <c r="M34" s="1">
        <v>1</v>
      </c>
      <c r="N34" s="1">
        <v>0.98210882293406399</v>
      </c>
      <c r="O34" s="1">
        <v>0.98904904531233395</v>
      </c>
      <c r="P34" s="1">
        <v>0.980733549429882</v>
      </c>
      <c r="Q34" s="1">
        <f t="shared" si="0"/>
        <v>0.99235301234893492</v>
      </c>
    </row>
    <row r="35" spans="1:17" ht="30" customHeight="1">
      <c r="A35" t="str">
        <f t="shared" si="1"/>
        <v>russian</v>
      </c>
      <c r="B35">
        <f>_xlfn.LET(_xlpm.c,_xlfn.SINGLE(Table1[condition]),IF(RIGHT(_xlpm.c,2)="1g",1,0))</f>
        <v>0</v>
      </c>
      <c r="C35" t="s">
        <v>58</v>
      </c>
      <c r="D35" s="1">
        <v>0.97502549754776902</v>
      </c>
      <c r="E35" s="1">
        <v>1</v>
      </c>
      <c r="F35" s="1">
        <v>1</v>
      </c>
      <c r="G35" s="1">
        <v>0.99098507459098695</v>
      </c>
      <c r="H35" s="1">
        <v>0.96327985091650503</v>
      </c>
      <c r="I35" s="1">
        <v>1</v>
      </c>
      <c r="J35" s="1">
        <v>1</v>
      </c>
      <c r="K35" s="1">
        <v>1</v>
      </c>
      <c r="L35" s="1">
        <v>0.88210119609184501</v>
      </c>
      <c r="M35" s="1">
        <v>0.97064987557823001</v>
      </c>
      <c r="N35" s="1">
        <v>0.97549266241294796</v>
      </c>
      <c r="O35" s="1">
        <v>0.99170812603648395</v>
      </c>
      <c r="P35" s="1">
        <v>0.97077525121273001</v>
      </c>
      <c r="Q35" s="1">
        <f t="shared" si="0"/>
        <v>0.97846288726057673</v>
      </c>
    </row>
    <row r="36" spans="1:17" ht="30" customHeight="1">
      <c r="A36" t="str">
        <f t="shared" si="1"/>
        <v>russian</v>
      </c>
      <c r="B36">
        <f>_xlfn.LET(_xlpm.c,_xlfn.SINGLE(Table1[condition]),IF(RIGHT(_xlpm.c,2)="1g",1,0))</f>
        <v>0</v>
      </c>
      <c r="C36" t="s">
        <v>59</v>
      </c>
      <c r="D36" s="1">
        <v>0.97192583118086195</v>
      </c>
      <c r="E36" s="1">
        <v>0.96456518269539804</v>
      </c>
      <c r="F36" s="1">
        <v>0.97315683220760796</v>
      </c>
      <c r="G36" s="1">
        <v>0.99607496382899596</v>
      </c>
      <c r="H36" s="1">
        <v>1</v>
      </c>
      <c r="I36" s="1">
        <v>0.99568280963523403</v>
      </c>
      <c r="J36" s="1">
        <v>0.95519948230458496</v>
      </c>
      <c r="K36" s="1">
        <v>0.75888524252829703</v>
      </c>
      <c r="L36" s="1">
        <v>0.91080185498895105</v>
      </c>
      <c r="M36" s="1">
        <v>0.98422119803330999</v>
      </c>
      <c r="N36" s="1">
        <v>0.93267677519509895</v>
      </c>
      <c r="O36" s="1">
        <v>0.67410605876957297</v>
      </c>
      <c r="P36" s="1">
        <v>0.83165640911107497</v>
      </c>
      <c r="Q36" s="1">
        <f t="shared" si="0"/>
        <v>0.91915020311376827</v>
      </c>
    </row>
    <row r="38" spans="1:17" ht="30" customHeight="1">
      <c r="C38" t="s">
        <v>44</v>
      </c>
    </row>
    <row r="39" spans="1:17" ht="30" customHeight="1">
      <c r="C39" t="s">
        <v>37</v>
      </c>
      <c r="D39" s="2">
        <f>_xlfn.LET(_xlpm.d,D$2:D$36,AVERAGE(_xlpm.d))</f>
        <v>0.84365333584763591</v>
      </c>
      <c r="E39" s="2">
        <f t="shared" ref="E39:Q39" si="4">_xlfn.LET(_xlpm.d,E$2:E$36,AVERAGE(_xlpm.d))</f>
        <v>0.81656177991078871</v>
      </c>
      <c r="F39" s="2">
        <f t="shared" si="4"/>
        <v>0.81094015288997445</v>
      </c>
      <c r="G39" s="2">
        <f t="shared" si="4"/>
        <v>0.78360889805444667</v>
      </c>
      <c r="H39" s="2">
        <f t="shared" si="4"/>
        <v>0.78879759930219728</v>
      </c>
      <c r="I39" s="2">
        <f t="shared" si="4"/>
        <v>0.76684080349628247</v>
      </c>
      <c r="J39" s="2">
        <f t="shared" si="4"/>
        <v>0.74324883645937334</v>
      </c>
      <c r="K39" s="2">
        <f t="shared" si="4"/>
        <v>0.73705399252011983</v>
      </c>
      <c r="L39" s="2">
        <f t="shared" si="4"/>
        <v>0.71090267961645748</v>
      </c>
      <c r="M39" s="2">
        <f t="shared" si="4"/>
        <v>0.70496795136555135</v>
      </c>
      <c r="N39" s="2">
        <f t="shared" si="4"/>
        <v>0.68450475195860749</v>
      </c>
      <c r="O39" s="2">
        <f t="shared" si="4"/>
        <v>0.62452930257165351</v>
      </c>
      <c r="P39" s="2">
        <f t="shared" si="4"/>
        <v>0.6697944039793049</v>
      </c>
      <c r="Q39" s="2">
        <f t="shared" si="4"/>
        <v>0.74503111445941494</v>
      </c>
    </row>
    <row r="40" spans="1:17" ht="30" customHeight="1">
      <c r="C40" t="s">
        <v>38</v>
      </c>
      <c r="D40" s="2" cm="1">
        <f t="array" ref="D40">_xlfn.LET(_xlpm.d,D$2:D$36,_xlpm.f,$A$2:$A$36,_xlpm.k,$C40,AVERAGE(_xlfn._xlws.FILTER(_xlpm.d,_xlpm.f=_xlpm.k)))</f>
        <v>0.99507271195007141</v>
      </c>
      <c r="E40" s="2" cm="1">
        <f t="array" ref="E40">_xlfn.LET(_xlpm.d,E$2:E$36,_xlpm.f,$A$2:$A$36,_xlpm.k,$C40,AVERAGE(_xlfn._xlws.FILTER(_xlpm.d,_xlpm.f=_xlpm.k)))</f>
        <v>0.99896372760136443</v>
      </c>
      <c r="F40" s="2" cm="1">
        <f t="array" ref="F40">_xlfn.LET(_xlpm.d,F$2:F$36,_xlpm.f,$A$2:$A$36,_xlpm.k,$C40,AVERAGE(_xlfn._xlws.FILTER(_xlpm.d,_xlpm.f=_xlpm.k)))</f>
        <v>0.99977535537574524</v>
      </c>
      <c r="G40" s="2" cm="1">
        <f t="array" ref="G40">_xlfn.LET(_xlpm.d,G$2:G$36,_xlpm.f,$A$2:$A$36,_xlpm.k,$C40,AVERAGE(_xlfn._xlws.FILTER(_xlpm.d,_xlpm.f=_xlpm.k)))</f>
        <v>0.99515683571471547</v>
      </c>
      <c r="H40" s="2" cm="1">
        <f t="array" ref="H40">_xlfn.LET(_xlpm.d,H$2:H$36,_xlpm.f,$A$2:$A$36,_xlpm.k,$C40,AVERAGE(_xlfn._xlws.FILTER(_xlpm.d,_xlpm.f=_xlpm.k)))</f>
        <v>0.99325371498673753</v>
      </c>
      <c r="I40" s="2" cm="1">
        <f t="array" ref="I40">_xlfn.LET(_xlpm.d,I$2:I$36,_xlpm.f,$A$2:$A$36,_xlpm.k,$C40,AVERAGE(_xlfn._xlws.FILTER(_xlpm.d,_xlpm.f=_xlpm.k)))</f>
        <v>0.99120170054455226</v>
      </c>
      <c r="J40" s="2" cm="1">
        <f t="array" ref="J40">_xlfn.LET(_xlpm.d,J$2:J$36,_xlpm.f,$A$2:$A$36,_xlpm.k,$C40,AVERAGE(_xlfn._xlws.FILTER(_xlpm.d,_xlpm.f=_xlpm.k)))</f>
        <v>0.99126687013564319</v>
      </c>
      <c r="K40" s="2" cm="1">
        <f t="array" ref="K40">_xlfn.LET(_xlpm.d,K$2:K$36,_xlpm.f,$A$2:$A$36,_xlpm.k,$C40,AVERAGE(_xlfn._xlws.FILTER(_xlpm.d,_xlpm.f=_xlpm.k)))</f>
        <v>0.99791560966337989</v>
      </c>
      <c r="L40" s="2" cm="1">
        <f t="array" ref="L40">_xlfn.LET(_xlpm.d,L$2:L$36,_xlpm.f,$A$2:$A$36,_xlpm.k,$C40,AVERAGE(_xlfn._xlws.FILTER(_xlpm.d,_xlpm.f=_xlpm.k)))</f>
        <v>0.99959435608589087</v>
      </c>
      <c r="M40" s="2" cm="1">
        <f t="array" ref="M40">_xlfn.LET(_xlpm.d,M$2:M$36,_xlpm.f,$A$2:$A$36,_xlpm.k,$C40,AVERAGE(_xlfn._xlws.FILTER(_xlpm.d,_xlpm.f=_xlpm.k)))</f>
        <v>0.99775896318158541</v>
      </c>
      <c r="N40" s="2" cm="1">
        <f t="array" ref="N40">_xlfn.LET(_xlpm.d,N$2:N$36,_xlpm.f,$A$2:$A$36,_xlpm.k,$C40,AVERAGE(_xlfn._xlws.FILTER(_xlpm.d,_xlpm.f=_xlpm.k)))</f>
        <v>0.99284547104931742</v>
      </c>
      <c r="O40" s="2" cm="1">
        <f t="array" ref="O40">_xlfn.LET(_xlpm.d,O$2:O$36,_xlpm.f,$A$2:$A$36,_xlpm.k,$C40,AVERAGE(_xlfn._xlws.FILTER(_xlpm.d,_xlpm.f=_xlpm.k)))</f>
        <v>0.95186714509730586</v>
      </c>
      <c r="P40" s="2" cm="1">
        <f t="array" ref="P40">_xlfn.LET(_xlpm.d,P$2:P$36,_xlpm.f,$A$2:$A$36,_xlpm.k,$C40,AVERAGE(_xlfn._xlws.FILTER(_xlpm.d,_xlpm.f=_xlpm.k)))</f>
        <v>0.97213778152333219</v>
      </c>
      <c r="Q40" s="2" cm="1">
        <f t="array" ref="Q40">_xlfn.LET(_xlpm.d,Q$2:Q$36,_xlpm.f,$A$2:$A$36,_xlpm.k,$C40,AVERAGE(_xlfn._xlws.FILTER(_xlpm.d,_xlpm.f=_xlpm.k)))</f>
        <v>0.99052386483920318</v>
      </c>
    </row>
    <row r="41" spans="1:17" ht="30" customHeight="1">
      <c r="C41" t="s">
        <v>39</v>
      </c>
      <c r="D41" s="2" cm="1">
        <f t="array" ref="D41">_xlfn.LET(_xlpm.d,D$2:D$36,_xlpm.f,$A$2:$A$36,_xlpm.k,$C41,AVERAGE(_xlfn._xlws.FILTER(_xlpm.d,_xlpm.f=_xlpm.k)))</f>
        <v>0.76134276284077806</v>
      </c>
      <c r="E41" s="2" cm="1">
        <f t="array" ref="E41">_xlfn.LET(_xlpm.d,E$2:E$36,_xlpm.f,$A$2:$A$36,_xlpm.k,$C41,AVERAGE(_xlfn._xlws.FILTER(_xlpm.d,_xlpm.f=_xlpm.k)))</f>
        <v>0.74121469277735075</v>
      </c>
      <c r="F41" s="2" cm="1">
        <f t="array" ref="F41">_xlfn.LET(_xlpm.d,F$2:F$36,_xlpm.f,$A$2:$A$36,_xlpm.k,$C41,AVERAGE(_xlfn._xlws.FILTER(_xlpm.d,_xlpm.f=_xlpm.k)))</f>
        <v>0.75174913315566616</v>
      </c>
      <c r="G41" s="2" cm="1">
        <f t="array" ref="G41">_xlfn.LET(_xlpm.d,G$2:G$36,_xlpm.f,$A$2:$A$36,_xlpm.k,$C41,AVERAGE(_xlfn._xlws.FILTER(_xlpm.d,_xlpm.f=_xlpm.k)))</f>
        <v>0.64034612465370322</v>
      </c>
      <c r="H41" s="2" cm="1">
        <f t="array" ref="H41">_xlfn.LET(_xlpm.d,H$2:H$36,_xlpm.f,$A$2:$A$36,_xlpm.k,$C41,AVERAGE(_xlfn._xlws.FILTER(_xlpm.d,_xlpm.f=_xlpm.k)))</f>
        <v>0.67669828009008892</v>
      </c>
      <c r="I41" s="2" cm="1">
        <f t="array" ref="I41">_xlfn.LET(_xlpm.d,I$2:I$36,_xlpm.f,$A$2:$A$36,_xlpm.k,$C41,AVERAGE(_xlfn._xlws.FILTER(_xlpm.d,_xlpm.f=_xlpm.k)))</f>
        <v>0.63520480158663128</v>
      </c>
      <c r="J41" s="2" cm="1">
        <f t="array" ref="J41">_xlfn.LET(_xlpm.d,J$2:J$36,_xlpm.f,$A$2:$A$36,_xlpm.k,$C41,AVERAGE(_xlfn._xlws.FILTER(_xlpm.d,_xlpm.f=_xlpm.k)))</f>
        <v>0.67998455188740803</v>
      </c>
      <c r="K41" s="2" cm="1">
        <f t="array" ref="K41">_xlfn.LET(_xlpm.d,K$2:K$36,_xlpm.f,$A$2:$A$36,_xlpm.k,$C41,AVERAGE(_xlfn._xlws.FILTER(_xlpm.d,_xlpm.f=_xlpm.k)))</f>
        <v>0.60202667101029506</v>
      </c>
      <c r="L41" s="2" cm="1">
        <f t="array" ref="L41">_xlfn.LET(_xlpm.d,L$2:L$36,_xlpm.f,$A$2:$A$36,_xlpm.k,$C41,AVERAGE(_xlfn._xlws.FILTER(_xlpm.d,_xlpm.f=_xlpm.k)))</f>
        <v>0.59102856025080064</v>
      </c>
      <c r="M41" s="2" cm="1">
        <f t="array" ref="M41">_xlfn.LET(_xlpm.d,M$2:M$36,_xlpm.f,$A$2:$A$36,_xlpm.k,$C41,AVERAGE(_xlfn._xlws.FILTER(_xlpm.d,_xlpm.f=_xlpm.k)))</f>
        <v>0.50501558699769322</v>
      </c>
      <c r="N41" s="2" cm="1">
        <f t="array" ref="N41">_xlfn.LET(_xlpm.d,N$2:N$36,_xlpm.f,$A$2:$A$36,_xlpm.k,$C41,AVERAGE(_xlfn._xlws.FILTER(_xlpm.d,_xlpm.f=_xlpm.k)))</f>
        <v>0.54426577044233027</v>
      </c>
      <c r="O41" s="2" cm="1">
        <f t="array" ref="O41">_xlfn.LET(_xlpm.d,O$2:O$36,_xlpm.f,$A$2:$A$36,_xlpm.k,$C41,AVERAGE(_xlfn._xlws.FILTER(_xlpm.d,_xlpm.f=_xlpm.k)))</f>
        <v>0.48046182216293881</v>
      </c>
      <c r="P41" s="2" cm="1">
        <f t="array" ref="P41">_xlfn.LET(_xlpm.d,P$2:P$36,_xlpm.f,$A$2:$A$36,_xlpm.k,$C41,AVERAGE(_xlfn._xlws.FILTER(_xlpm.d,_xlpm.f=_xlpm.k)))</f>
        <v>0.47727981396030739</v>
      </c>
      <c r="Q41" s="2" cm="1">
        <f t="array" ref="Q41">_xlfn.LET(_xlpm.d,Q$2:Q$36,_xlpm.f,$A$2:$A$36,_xlpm.k,$C41,AVERAGE(_xlfn._xlws.FILTER(_xlpm.d,_xlpm.f=_xlpm.k)))</f>
        <v>0.62204758244738401</v>
      </c>
    </row>
    <row r="42" spans="1:17" ht="30" customHeight="1">
      <c r="C42" t="s">
        <v>40</v>
      </c>
      <c r="D42" s="2" cm="1">
        <f t="array" ref="D42">_xlfn.LET(_xlpm.d,D$2:D$36,_xlpm.f,$A$2:$A$36,_xlpm.k,$C42,AVERAGE(_xlfn._xlws.FILTER(_xlpm.d,_xlpm.f=_xlpm.k)))</f>
        <v>0.70273974118180049</v>
      </c>
      <c r="E42" s="2" cm="1">
        <f t="array" ref="E42">_xlfn.LET(_xlpm.d,E$2:E$36,_xlpm.f,$A$2:$A$36,_xlpm.k,$C42,AVERAGE(_xlfn._xlws.FILTER(_xlpm.d,_xlpm.f=_xlpm.k)))</f>
        <v>0.68367164810933745</v>
      </c>
      <c r="F42" s="2" cm="1">
        <f t="array" ref="F42">_xlfn.LET(_xlpm.d,F$2:F$36,_xlpm.f,$A$2:$A$36,_xlpm.k,$C42,AVERAGE(_xlfn._xlws.FILTER(_xlpm.d,_xlpm.f=_xlpm.k)))</f>
        <v>0.61784995759620465</v>
      </c>
      <c r="G42" s="2" cm="1">
        <f t="array" ref="G42">_xlfn.LET(_xlpm.d,G$2:G$36,_xlpm.f,$A$2:$A$36,_xlpm.k,$C42,AVERAGE(_xlfn._xlws.FILTER(_xlpm.d,_xlpm.f=_xlpm.k)))</f>
        <v>0.64802592825787719</v>
      </c>
      <c r="H42" s="2" cm="1">
        <f t="array" ref="H42">_xlfn.LET(_xlpm.d,H$2:H$36,_xlpm.f,$A$2:$A$36,_xlpm.k,$C42,AVERAGE(_xlfn._xlws.FILTER(_xlpm.d,_xlpm.f=_xlpm.k)))</f>
        <v>0.67431636456177912</v>
      </c>
      <c r="I42" s="2" cm="1">
        <f t="array" ref="I42">_xlfn.LET(_xlpm.d,I$2:I$36,_xlpm.f,$A$2:$A$36,_xlpm.k,$C42,AVERAGE(_xlfn._xlws.FILTER(_xlpm.d,_xlpm.f=_xlpm.k)))</f>
        <v>0.60291843900756814</v>
      </c>
      <c r="J42" s="2" cm="1">
        <f t="array" ref="J42">_xlfn.LET(_xlpm.d,J$2:J$36,_xlpm.f,$A$2:$A$36,_xlpm.k,$C42,AVERAGE(_xlfn._xlws.FILTER(_xlpm.d,_xlpm.f=_xlpm.k)))</f>
        <v>0.52884127643040002</v>
      </c>
      <c r="K42" s="2" cm="1">
        <f t="array" ref="K42">_xlfn.LET(_xlpm.d,K$2:K$36,_xlpm.f,$A$2:$A$36,_xlpm.k,$C42,AVERAGE(_xlfn._xlws.FILTER(_xlpm.d,_xlpm.f=_xlpm.k)))</f>
        <v>0.57925991635777307</v>
      </c>
      <c r="L42" s="2" cm="1">
        <f t="array" ref="L42">_xlfn.LET(_xlpm.d,L$2:L$36,_xlpm.f,$A$2:$A$36,_xlpm.k,$C42,AVERAGE(_xlfn._xlws.FILTER(_xlpm.d,_xlpm.f=_xlpm.k)))</f>
        <v>0.46518520900482496</v>
      </c>
      <c r="M42" s="2" cm="1">
        <f t="array" ref="M42">_xlfn.LET(_xlpm.d,M$2:M$36,_xlpm.f,$A$2:$A$36,_xlpm.k,$C42,AVERAGE(_xlfn._xlws.FILTER(_xlpm.d,_xlpm.f=_xlpm.k)))</f>
        <v>0.51547467088924714</v>
      </c>
      <c r="N42" s="2" cm="1">
        <f t="array" ref="N42">_xlfn.LET(_xlpm.d,N$2:N$36,_xlpm.f,$A$2:$A$36,_xlpm.k,$C42,AVERAGE(_xlfn._xlws.FILTER(_xlpm.d,_xlpm.f=_xlpm.k)))</f>
        <v>0.41245628088942266</v>
      </c>
      <c r="O42" s="2" cm="1">
        <f t="array" ref="O42">_xlfn.LET(_xlpm.d,O$2:O$36,_xlpm.f,$A$2:$A$36,_xlpm.k,$C42,AVERAGE(_xlfn._xlws.FILTER(_xlpm.d,_xlpm.f=_xlpm.k)))</f>
        <v>0.35589342785094713</v>
      </c>
      <c r="P42" s="2" cm="1">
        <f t="array" ref="P42">_xlfn.LET(_xlpm.d,P$2:P$36,_xlpm.f,$A$2:$A$36,_xlpm.k,$C42,AVERAGE(_xlfn._xlws.FILTER(_xlpm.d,_xlpm.f=_xlpm.k)))</f>
        <v>0.49224440582858975</v>
      </c>
      <c r="Q42" s="2" cm="1">
        <f t="array" ref="Q42">_xlfn.LET(_xlpm.d,Q$2:Q$36,_xlpm.f,$A$2:$A$36,_xlpm.k,$C42,AVERAGE(_xlfn._xlws.FILTER(_xlpm.d,_xlpm.f=_xlpm.k)))</f>
        <v>0.55991363584352094</v>
      </c>
    </row>
    <row r="43" spans="1:17" ht="30" customHeight="1">
      <c r="C43" t="s">
        <v>41</v>
      </c>
      <c r="D43" s="2" cm="1">
        <f t="array" ref="D43">_xlfn.LET(_xlpm.d,D$2:D$36,_xlpm.f,$A$2:$A$36,_xlpm.k,$C43,AVERAGE(_xlfn._xlws.FILTER(_xlpm.d,_xlpm.f=_xlpm.k)))</f>
        <v>0.77050573348047791</v>
      </c>
      <c r="E43" s="2" cm="1">
        <f t="array" ref="E43">_xlfn.LET(_xlpm.d,E$2:E$36,_xlpm.f,$A$2:$A$36,_xlpm.k,$C43,AVERAGE(_xlfn._xlws.FILTER(_xlpm.d,_xlpm.f=_xlpm.k)))</f>
        <v>0.6669519441052435</v>
      </c>
      <c r="F43" s="2" cm="1">
        <f t="array" ref="F43">_xlfn.LET(_xlpm.d,F$2:F$36,_xlpm.f,$A$2:$A$36,_xlpm.k,$C43,AVERAGE(_xlfn._xlws.FILTER(_xlpm.d,_xlpm.f=_xlpm.k)))</f>
        <v>0.6891610565783125</v>
      </c>
      <c r="G43" s="2" cm="1">
        <f t="array" ref="G43">_xlfn.LET(_xlpm.d,G$2:G$36,_xlpm.f,$A$2:$A$36,_xlpm.k,$C43,AVERAGE(_xlfn._xlws.FILTER(_xlpm.d,_xlpm.f=_xlpm.k)))</f>
        <v>0.63677238417499127</v>
      </c>
      <c r="H43" s="2" cm="1">
        <f t="array" ref="H43">_xlfn.LET(_xlpm.d,H$2:H$36,_xlpm.f,$A$2:$A$36,_xlpm.k,$C43,AVERAGE(_xlfn._xlws.FILTER(_xlpm.d,_xlpm.f=_xlpm.k)))</f>
        <v>0.60496537245573734</v>
      </c>
      <c r="I43" s="2" cm="1">
        <f t="array" ref="I43">_xlfn.LET(_xlpm.d,I$2:I$36,_xlpm.f,$A$2:$A$36,_xlpm.k,$C43,AVERAGE(_xlfn._xlws.FILTER(_xlpm.d,_xlpm.f=_xlpm.k)))</f>
        <v>0.60549581782334205</v>
      </c>
      <c r="J43" s="2" cm="1">
        <f t="array" ref="J43">_xlfn.LET(_xlpm.d,J$2:J$36,_xlpm.f,$A$2:$A$36,_xlpm.k,$C43,AVERAGE(_xlfn._xlws.FILTER(_xlpm.d,_xlpm.f=_xlpm.k)))</f>
        <v>0.52272535020170863</v>
      </c>
      <c r="K43" s="2" cm="1">
        <f t="array" ref="K43">_xlfn.LET(_xlpm.d,K$2:K$36,_xlpm.f,$A$2:$A$36,_xlpm.k,$C43,AVERAGE(_xlfn._xlws.FILTER(_xlpm.d,_xlpm.f=_xlpm.k)))</f>
        <v>0.54550726398665528</v>
      </c>
      <c r="L43" s="2" cm="1">
        <f t="array" ref="L43">_xlfn.LET(_xlpm.d,L$2:L$36,_xlpm.f,$A$2:$A$36,_xlpm.k,$C43,AVERAGE(_xlfn._xlws.FILTER(_xlpm.d,_xlpm.f=_xlpm.k)))</f>
        <v>0.52829055115780033</v>
      </c>
      <c r="M43" s="2" cm="1">
        <f t="array" ref="M43">_xlfn.LET(_xlpm.d,M$2:M$36,_xlpm.f,$A$2:$A$36,_xlpm.k,$C43,AVERAGE(_xlfn._xlws.FILTER(_xlpm.d,_xlpm.f=_xlpm.k)))</f>
        <v>0.51324916917109831</v>
      </c>
      <c r="N43" s="2" cm="1">
        <f t="array" ref="N43">_xlfn.LET(_xlpm.d,N$2:N$36,_xlpm.f,$A$2:$A$36,_xlpm.k,$C43,AVERAGE(_xlfn._xlws.FILTER(_xlpm.d,_xlpm.f=_xlpm.k)))</f>
        <v>0.48863077162023677</v>
      </c>
      <c r="O43" s="2" cm="1">
        <f t="array" ref="O43">_xlfn.LET(_xlpm.d,O$2:O$36,_xlpm.f,$A$2:$A$36,_xlpm.k,$C43,AVERAGE(_xlfn._xlws.FILTER(_xlpm.d,_xlpm.f=_xlpm.k)))</f>
        <v>0.38397440856819232</v>
      </c>
      <c r="P43" s="2" cm="1">
        <f t="array" ref="P43">_xlfn.LET(_xlpm.d,P$2:P$36,_xlpm.f,$A$2:$A$36,_xlpm.k,$C43,AVERAGE(_xlfn._xlws.FILTER(_xlpm.d,_xlpm.f=_xlpm.k)))</f>
        <v>0.45912899344095653</v>
      </c>
      <c r="Q43" s="2" cm="1">
        <f t="array" ref="Q43">_xlfn.LET(_xlpm.d,Q$2:Q$36,_xlpm.f,$A$2:$A$36,_xlpm.k,$C43,AVERAGE(_xlfn._xlws.FILTER(_xlpm.d,_xlpm.f=_xlpm.k)))</f>
        <v>0.57041221667421171</v>
      </c>
    </row>
    <row r="44" spans="1:17" ht="30" customHeight="1">
      <c r="C44" t="s">
        <v>42</v>
      </c>
      <c r="D44" s="2" cm="1">
        <f t="array" ref="D44">_xlfn.LET(_xlpm.d,D$2:D$36,_xlpm.f,$A$2:$A$36,_xlpm.k,$C44,AVERAGE(_xlfn._xlws.FILTER(_xlpm.d,_xlpm.f=_xlpm.k)))</f>
        <v>0.98860572978505168</v>
      </c>
      <c r="E44" s="2" cm="1">
        <f t="array" ref="E44">_xlfn.LET(_xlpm.d,E$2:E$36,_xlpm.f,$A$2:$A$36,_xlpm.k,$C44,AVERAGE(_xlfn._xlws.FILTER(_xlpm.d,_xlpm.f=_xlpm.k)))</f>
        <v>0.99200688696064721</v>
      </c>
      <c r="F44" s="2" cm="1">
        <f t="array" ref="F44">_xlfn.LET(_xlpm.d,F$2:F$36,_xlpm.f,$A$2:$A$36,_xlpm.k,$C44,AVERAGE(_xlfn._xlws.FILTER(_xlpm.d,_xlpm.f=_xlpm.k)))</f>
        <v>0.99616526174394404</v>
      </c>
      <c r="G44" s="2" cm="1">
        <f t="array" ref="G44">_xlfn.LET(_xlpm.d,G$2:G$36,_xlpm.f,$A$2:$A$36,_xlpm.k,$C44,AVERAGE(_xlfn._xlws.FILTER(_xlpm.d,_xlpm.f=_xlpm.k)))</f>
        <v>0.99774321747094685</v>
      </c>
      <c r="H44" s="2" cm="1">
        <f t="array" ref="H44">_xlfn.LET(_xlpm.d,H$2:H$36,_xlpm.f,$A$2:$A$36,_xlpm.k,$C44,AVERAGE(_xlfn._xlws.FILTER(_xlpm.d,_xlpm.f=_xlpm.k)))</f>
        <v>0.99475426441664361</v>
      </c>
      <c r="I44" s="2" cm="1">
        <f t="array" ref="I44">_xlfn.LET(_xlpm.d,I$2:I$36,_xlpm.f,$A$2:$A$36,_xlpm.k,$C44,AVERAGE(_xlfn._xlws.FILTER(_xlpm.d,_xlpm.f=_xlpm.k)))</f>
        <v>0.99938325851931908</v>
      </c>
      <c r="J44" s="2" cm="1">
        <f t="array" ref="J44">_xlfn.LET(_xlpm.d,J$2:J$36,_xlpm.f,$A$2:$A$36,_xlpm.k,$C44,AVERAGE(_xlfn._xlws.FILTER(_xlpm.d,_xlpm.f=_xlpm.k)))</f>
        <v>0.99342613364170695</v>
      </c>
      <c r="K44" s="2" cm="1">
        <f t="array" ref="K44">_xlfn.LET(_xlpm.d,K$2:K$36,_xlpm.f,$A$2:$A$36,_xlpm.k,$C44,AVERAGE(_xlfn._xlws.FILTER(_xlpm.d,_xlpm.f=_xlpm.k)))</f>
        <v>0.96056050158249551</v>
      </c>
      <c r="L44" s="2" cm="1">
        <f t="array" ref="L44">_xlfn.LET(_xlpm.d,L$2:L$36,_xlpm.f,$A$2:$A$36,_xlpm.k,$C44,AVERAGE(_xlfn._xlws.FILTER(_xlpm.d,_xlpm.f=_xlpm.k)))</f>
        <v>0.97041472158297093</v>
      </c>
      <c r="M44" s="2" cm="1">
        <f t="array" ref="M44">_xlfn.LET(_xlpm.d,M$2:M$36,_xlpm.f,$A$2:$A$36,_xlpm.k,$C44,AVERAGE(_xlfn._xlws.FILTER(_xlpm.d,_xlpm.f=_xlpm.k)))</f>
        <v>0.99334136658813299</v>
      </c>
      <c r="N44" s="2" cm="1">
        <f t="array" ref="N44">_xlfn.LET(_xlpm.d,N$2:N$36,_xlpm.f,$A$2:$A$36,_xlpm.k,$C44,AVERAGE(_xlfn._xlws.FILTER(_xlpm.d,_xlpm.f=_xlpm.k)))</f>
        <v>0.98432546579173008</v>
      </c>
      <c r="O44" s="2" cm="1">
        <f t="array" ref="O44">_xlfn.LET(_xlpm.d,O$2:O$36,_xlpm.f,$A$2:$A$36,_xlpm.k,$C44,AVERAGE(_xlfn._xlws.FILTER(_xlpm.d,_xlpm.f=_xlpm.k)))</f>
        <v>0.95044970917888316</v>
      </c>
      <c r="P44" s="2" cm="1">
        <f t="array" ref="P44">_xlfn.LET(_xlpm.d,P$2:P$36,_xlpm.f,$A$2:$A$36,_xlpm.k,$C44,AVERAGE(_xlfn._xlws.FILTER(_xlpm.d,_xlpm.f=_xlpm.k)))</f>
        <v>0.9481810251433388</v>
      </c>
      <c r="Q44" s="2" cm="1">
        <f t="array" ref="Q44">_xlfn.LET(_xlpm.d,Q$2:Q$36,_xlpm.f,$A$2:$A$36,_xlpm.k,$C44,AVERAGE(_xlfn._xlws.FILTER(_xlpm.d,_xlpm.f=_xlpm.k)))</f>
        <v>0.98225827249275466</v>
      </c>
    </row>
    <row r="46" spans="1:17" ht="30" customHeight="1">
      <c r="C46" t="s">
        <v>45</v>
      </c>
    </row>
    <row r="47" spans="1:17" ht="30" customHeight="1">
      <c r="C47" t="s">
        <v>37</v>
      </c>
      <c r="D47" s="2" cm="1">
        <f t="array" ref="D47">_xlfn.LET(_xlpm.d,D$2:D$36,_xlpm.g,$B$2:$B$36,AVERAGE(_xlfn._xlws.FILTER(_xlpm.d,(_xlpm.g=0))))</f>
        <v>0.81759555848890852</v>
      </c>
      <c r="E47" s="2" cm="1">
        <f t="array" ref="E47">_xlfn.LET(_xlpm.d,E$2:E$36,_xlpm.g,$B$2:$B$36,AVERAGE(_xlfn._xlws.FILTER(_xlpm.d,(_xlpm.g=0))))</f>
        <v>0.79599976963622232</v>
      </c>
      <c r="F47" s="2" cm="1">
        <f t="array" ref="F47">_xlfn.LET(_xlpm.d,F$2:F$36,_xlpm.g,$B$2:$B$36,AVERAGE(_xlfn._xlws.FILTER(_xlpm.d,(_xlpm.g=0))))</f>
        <v>0.79177771809646558</v>
      </c>
      <c r="G47" s="2" cm="1">
        <f t="array" ref="G47">_xlfn.LET(_xlpm.d,G$2:G$36,_xlpm.g,$B$2:$B$36,AVERAGE(_xlfn._xlws.FILTER(_xlpm.d,(_xlpm.g=0))))</f>
        <v>0.76796054844196704</v>
      </c>
      <c r="H47" s="2" cm="1">
        <f t="array" ref="H47">_xlfn.LET(_xlpm.d,H$2:H$36,_xlpm.g,$B$2:$B$36,AVERAGE(_xlfn._xlws.FILTER(_xlpm.d,(_xlpm.g=0))))</f>
        <v>0.77489777732686993</v>
      </c>
      <c r="I47" s="2" cm="1">
        <f t="array" ref="I47">_xlfn.LET(_xlpm.d,I$2:I$36,_xlpm.g,$B$2:$B$36,AVERAGE(_xlfn._xlws.FILTER(_xlpm.d,(_xlpm.g=0))))</f>
        <v>0.76086235708309402</v>
      </c>
      <c r="J47" s="2" cm="1">
        <f t="array" ref="J47">_xlfn.LET(_xlpm.d,J$2:J$36,_xlpm.g,$B$2:$B$36,AVERAGE(_xlfn._xlws.FILTER(_xlpm.d,(_xlpm.g=0))))</f>
        <v>0.73228426097033172</v>
      </c>
      <c r="K47" s="2" cm="1">
        <f t="array" ref="K47">_xlfn.LET(_xlpm.d,K$2:K$36,_xlpm.g,$B$2:$B$36,AVERAGE(_xlfn._xlws.FILTER(_xlpm.d,(_xlpm.g=0))))</f>
        <v>0.72800714347962903</v>
      </c>
      <c r="L47" s="2" cm="1">
        <f t="array" ref="L47">_xlfn.LET(_xlpm.d,L$2:L$36,_xlpm.g,$B$2:$B$36,AVERAGE(_xlfn._xlws.FILTER(_xlpm.d,(_xlpm.g=0))))</f>
        <v>0.71206826329172235</v>
      </c>
      <c r="M47" s="2" cm="1">
        <f t="array" ref="M47">_xlfn.LET(_xlpm.d,M$2:M$36,_xlpm.g,$B$2:$B$36,AVERAGE(_xlfn._xlws.FILTER(_xlpm.d,(_xlpm.g=0))))</f>
        <v>0.7056131200838196</v>
      </c>
      <c r="N47" s="2" cm="1">
        <f t="array" ref="N47">_xlfn.LET(_xlpm.d,N$2:N$36,_xlpm.g,$B$2:$B$36,AVERAGE(_xlfn._xlws.FILTER(_xlpm.d,(_xlpm.g=0))))</f>
        <v>0.69983537699355147</v>
      </c>
      <c r="O47" s="2" cm="1">
        <f t="array" ref="O47">_xlfn.LET(_xlpm.d,O$2:O$36,_xlpm.g,$B$2:$B$36,AVERAGE(_xlfn._xlws.FILTER(_xlpm.d,(_xlpm.g=0))))</f>
        <v>0.62334664569535236</v>
      </c>
      <c r="P47" s="2" cm="1">
        <f t="array" ref="P47">_xlfn.LET(_xlpm.d,P$2:P$36,_xlpm.g,$B$2:$B$36,AVERAGE(_xlfn._xlws.FILTER(_xlpm.d,(_xlpm.g=0))))</f>
        <v>0.66928071581787474</v>
      </c>
      <c r="Q47" s="2" cm="1">
        <f t="array" ref="Q47">_xlfn.LET(_xlpm.d,Q$2:Q$36,_xlpm.g,$B$2:$B$36,AVERAGE(_xlfn._xlws.FILTER(_xlpm.d,(_xlpm.g=0))))</f>
        <v>0.73688686580044693</v>
      </c>
    </row>
    <row r="48" spans="1:17" ht="30" customHeight="1">
      <c r="C48" t="s">
        <v>38</v>
      </c>
      <c r="D48" s="2" cm="1">
        <f t="array" ref="D48">_xlfn.LET(_xlpm.d,D$2:D$36,_xlpm.f,$A$2:$A$36,_xlpm.g,$B$2:$B$36,_xlpm.k,$C48,AVERAGE(_xlfn._xlws.FILTER(_xlpm.d,(_xlpm.f=_xlpm.k)*(_xlpm.g=0))))</f>
        <v>0.99425149727508322</v>
      </c>
      <c r="E48" s="2" cm="1">
        <f t="array" ref="E48">_xlfn.LET(_xlpm.d,E$2:E$36,_xlpm.f,$A$2:$A$36,_xlpm.g,$B$2:$B$36,_xlpm.k,$C48,AVERAGE(_xlfn._xlws.FILTER(_xlpm.d,(_xlpm.f=_xlpm.k)*(_xlpm.g=0))))</f>
        <v>0.99879101553492511</v>
      </c>
      <c r="F48" s="2" cm="1">
        <f t="array" ref="F48">_xlfn.LET(_xlpm.d,F$2:F$36,_xlpm.f,$A$2:$A$36,_xlpm.g,$B$2:$B$36,_xlpm.k,$C48,AVERAGE(_xlfn._xlws.FILTER(_xlpm.d,(_xlpm.f=_xlpm.k)*(_xlpm.g=0))))</f>
        <v>0.99973791460503614</v>
      </c>
      <c r="G48" s="2" cm="1">
        <f t="array" ref="G48">_xlfn.LET(_xlpm.d,G$2:G$36,_xlpm.f,$A$2:$A$36,_xlpm.g,$B$2:$B$36,_xlpm.k,$C48,AVERAGE(_xlfn._xlws.FILTER(_xlpm.d,(_xlpm.f=_xlpm.k)*(_xlpm.g=0))))</f>
        <v>0.99434964166716799</v>
      </c>
      <c r="H48" s="2" cm="1">
        <f t="array" ref="H48">_xlfn.LET(_xlpm.d,H$2:H$36,_xlpm.f,$A$2:$A$36,_xlpm.g,$B$2:$B$36,_xlpm.k,$C48,AVERAGE(_xlfn._xlws.FILTER(_xlpm.d,(_xlpm.f=_xlpm.k)*(_xlpm.g=0))))</f>
        <v>0.99212933415119375</v>
      </c>
      <c r="I48" s="2" cm="1">
        <f t="array" ref="I48">_xlfn.LET(_xlpm.d,I$2:I$36,_xlpm.f,$A$2:$A$36,_xlpm.g,$B$2:$B$36,_xlpm.k,$C48,AVERAGE(_xlfn._xlws.FILTER(_xlpm.d,(_xlpm.f=_xlpm.k)*(_xlpm.g=0))))</f>
        <v>0.9897353173019775</v>
      </c>
      <c r="J48" s="2" cm="1">
        <f t="array" ref="J48">_xlfn.LET(_xlpm.d,J$2:J$36,_xlpm.f,$A$2:$A$36,_xlpm.g,$B$2:$B$36,_xlpm.k,$C48,AVERAGE(_xlfn._xlws.FILTER(_xlpm.d,(_xlpm.f=_xlpm.k)*(_xlpm.g=0))))</f>
        <v>0.98981134849158359</v>
      </c>
      <c r="K48" s="2" cm="1">
        <f t="array" ref="K48">_xlfn.LET(_xlpm.d,K$2:K$36,_xlpm.f,$A$2:$A$36,_xlpm.g,$B$2:$B$36,_xlpm.k,$C48,AVERAGE(_xlfn._xlws.FILTER(_xlpm.d,(_xlpm.f=_xlpm.k)*(_xlpm.g=0))))</f>
        <v>0.99756821127394313</v>
      </c>
      <c r="L48" s="2" cm="1">
        <f t="array" ref="L48">_xlfn.LET(_xlpm.d,L$2:L$36,_xlpm.f,$A$2:$A$36,_xlpm.g,$B$2:$B$36,_xlpm.k,$C48,AVERAGE(_xlfn._xlws.FILTER(_xlpm.d,(_xlpm.f=_xlpm.k)*(_xlpm.g=0))))</f>
        <v>0.99952674876687275</v>
      </c>
      <c r="M48" s="2" cm="1">
        <f t="array" ref="M48">_xlfn.LET(_xlpm.d,M$2:M$36,_xlpm.f,$A$2:$A$36,_xlpm.g,$B$2:$B$36,_xlpm.k,$C48,AVERAGE(_xlfn._xlws.FILTER(_xlpm.d,(_xlpm.f=_xlpm.k)*(_xlpm.g=0))))</f>
        <v>0.997385457045183</v>
      </c>
      <c r="N48" s="2" cm="1">
        <f t="array" ref="N48">_xlfn.LET(_xlpm.d,N$2:N$36,_xlpm.f,$A$2:$A$36,_xlpm.g,$B$2:$B$36,_xlpm.k,$C48,AVERAGE(_xlfn._xlws.FILTER(_xlpm.d,(_xlpm.f=_xlpm.k)*(_xlpm.g=0))))</f>
        <v>0.99165304955753697</v>
      </c>
      <c r="O48" s="2" cm="1">
        <f t="array" ref="O48">_xlfn.LET(_xlpm.d,O$2:O$36,_xlpm.f,$A$2:$A$36,_xlpm.g,$B$2:$B$36,_xlpm.k,$C48,AVERAGE(_xlfn._xlws.FILTER(_xlpm.d,(_xlpm.f=_xlpm.k)*(_xlpm.g=0))))</f>
        <v>0.94384500261352355</v>
      </c>
      <c r="P48" s="2" cm="1">
        <f t="array" ref="P48">_xlfn.LET(_xlpm.d,P$2:P$36,_xlpm.f,$A$2:$A$36,_xlpm.g,$B$2:$B$36,_xlpm.k,$C48,AVERAGE(_xlfn._xlws.FILTER(_xlpm.d,(_xlpm.f=_xlpm.k)*(_xlpm.g=0))))</f>
        <v>0.96749407844388768</v>
      </c>
      <c r="Q48" s="2" cm="1">
        <f t="array" ref="Q48">_xlfn.LET(_xlpm.d,Q$2:Q$36,_xlpm.f,$A$2:$A$36,_xlpm.g,$B$2:$B$36,_xlpm.k,$C48,AVERAGE(_xlfn._xlws.FILTER(_xlpm.d,(_xlpm.f=_xlpm.k)*(_xlpm.g=0))))</f>
        <v>0.98894450897907038</v>
      </c>
    </row>
    <row r="49" spans="3:17" ht="30" customHeight="1">
      <c r="C49" t="s">
        <v>40</v>
      </c>
      <c r="D49" s="2" cm="1">
        <f t="array" ref="D49">_xlfn.LET(_xlpm.d,D$2:D$36,_xlpm.f,$A$2:$A$36,_xlpm.g,$B$2:$B$36,_xlpm.k,$C49,AVERAGE(_xlfn._xlws.FILTER(_xlpm.d,(_xlpm.f=_xlpm.k)*(_xlpm.g=0))))</f>
        <v>0.65319636471210052</v>
      </c>
      <c r="E49" s="2" cm="1">
        <f t="array" ref="E49">_xlfn.LET(_xlpm.d,E$2:E$36,_xlpm.f,$A$2:$A$36,_xlpm.g,$B$2:$B$36,_xlpm.k,$C49,AVERAGE(_xlfn._xlws.FILTER(_xlpm.d,(_xlpm.f=_xlpm.k)*(_xlpm.g=0))))</f>
        <v>0.65059097815002864</v>
      </c>
      <c r="F49" s="2" cm="1">
        <f t="array" ref="F49">_xlfn.LET(_xlpm.d,F$2:F$36,_xlpm.f,$A$2:$A$36,_xlpm.g,$B$2:$B$36,_xlpm.k,$C49,AVERAGE(_xlfn._xlws.FILTER(_xlpm.d,(_xlpm.f=_xlpm.k)*(_xlpm.g=0))))</f>
        <v>0.58704651852456935</v>
      </c>
      <c r="G49" s="2" cm="1">
        <f t="array" ref="G49">_xlfn.LET(_xlpm.d,G$2:G$36,_xlpm.f,$A$2:$A$36,_xlpm.g,$B$2:$B$36,_xlpm.k,$C49,AVERAGE(_xlfn._xlws.FILTER(_xlpm.d,(_xlpm.f=_xlpm.k)*(_xlpm.g=0))))</f>
        <v>0.63216745727683532</v>
      </c>
      <c r="H49" s="2" cm="1">
        <f t="array" ref="H49">_xlfn.LET(_xlpm.d,H$2:H$36,_xlpm.f,$A$2:$A$36,_xlpm.g,$B$2:$B$36,_xlpm.k,$C49,AVERAGE(_xlfn._xlws.FILTER(_xlpm.d,(_xlpm.f=_xlpm.k)*(_xlpm.g=0))))</f>
        <v>0.68795754170197254</v>
      </c>
      <c r="I49" s="2" cm="1">
        <f t="array" ref="I49">_xlfn.LET(_xlpm.d,I$2:I$36,_xlpm.f,$A$2:$A$36,_xlpm.g,$B$2:$B$36,_xlpm.k,$C49,AVERAGE(_xlfn._xlws.FILTER(_xlpm.d,(_xlpm.f=_xlpm.k)*(_xlpm.g=0))))</f>
        <v>0.59695865333008369</v>
      </c>
      <c r="J49" s="2" cm="1">
        <f t="array" ref="J49">_xlfn.LET(_xlpm.d,J$2:J$36,_xlpm.f,$A$2:$A$36,_xlpm.g,$B$2:$B$36,_xlpm.k,$C49,AVERAGE(_xlfn._xlws.FILTER(_xlpm.d,(_xlpm.f=_xlpm.k)*(_xlpm.g=0))))</f>
        <v>0.51431921582248896</v>
      </c>
      <c r="K49" s="2" cm="1">
        <f t="array" ref="K49">_xlfn.LET(_xlpm.d,K$2:K$36,_xlpm.f,$A$2:$A$36,_xlpm.g,$B$2:$B$36,_xlpm.k,$C49,AVERAGE(_xlfn._xlws.FILTER(_xlpm.d,(_xlpm.f=_xlpm.k)*(_xlpm.g=0))))</f>
        <v>0.5661679217868395</v>
      </c>
      <c r="L49" s="2" cm="1">
        <f t="array" ref="L49">_xlfn.LET(_xlpm.d,L$2:L$36,_xlpm.f,$A$2:$A$36,_xlpm.g,$B$2:$B$36,_xlpm.k,$C49,AVERAGE(_xlfn._xlws.FILTER(_xlpm.d,(_xlpm.f=_xlpm.k)*(_xlpm.g=0))))</f>
        <v>0.45892202726002163</v>
      </c>
      <c r="M49" s="2" cm="1">
        <f t="array" ref="M49">_xlfn.LET(_xlpm.d,M$2:M$36,_xlpm.f,$A$2:$A$36,_xlpm.g,$B$2:$B$36,_xlpm.k,$C49,AVERAGE(_xlfn._xlws.FILTER(_xlpm.d,(_xlpm.f=_xlpm.k)*(_xlpm.g=0))))</f>
        <v>0.5044696261407895</v>
      </c>
      <c r="N49" s="2" cm="1">
        <f t="array" ref="N49">_xlfn.LET(_xlpm.d,N$2:N$36,_xlpm.f,$A$2:$A$36,_xlpm.g,$B$2:$B$36,_xlpm.k,$C49,AVERAGE(_xlfn._xlws.FILTER(_xlpm.d,(_xlpm.f=_xlpm.k)*(_xlpm.g=0))))</f>
        <v>0.4485825300136228</v>
      </c>
      <c r="O49" s="2" cm="1">
        <f t="array" ref="O49">_xlfn.LET(_xlpm.d,O$2:O$36,_xlpm.f,$A$2:$A$36,_xlpm.g,$B$2:$B$36,_xlpm.k,$C49,AVERAGE(_xlfn._xlws.FILTER(_xlpm.d,(_xlpm.f=_xlpm.k)*(_xlpm.g=0))))</f>
        <v>0.36789455611954452</v>
      </c>
      <c r="P49" s="2" cm="1">
        <f t="array" ref="P49">_xlfn.LET(_xlpm.d,P$2:P$36,_xlpm.f,$A$2:$A$36,_xlpm.g,$B$2:$B$36,_xlpm.k,$C49,AVERAGE(_xlfn._xlws.FILTER(_xlpm.d,(_xlpm.f=_xlpm.k)*(_xlpm.g=0))))</f>
        <v>0.46743568123700924</v>
      </c>
      <c r="Q49" s="2" cm="1">
        <f t="array" ref="Q49">_xlfn.LET(_xlpm.d,Q$2:Q$36,_xlpm.f,$A$2:$A$36,_xlpm.g,$B$2:$B$36,_xlpm.k,$C49,AVERAGE(_xlfn._xlws.FILTER(_xlpm.d,(_xlpm.f=_xlpm.k)*(_xlpm.g=0))))</f>
        <v>0.5489006978519928</v>
      </c>
    </row>
    <row r="50" spans="3:17" ht="30" customHeight="1">
      <c r="C50" t="s">
        <v>41</v>
      </c>
      <c r="D50" s="2" cm="1">
        <f t="array" ref="D50">_xlfn.LET(_xlpm.d,D$2:D$36,_xlpm.f,$A$2:$A$36,_xlpm.g,$B$2:$B$36,_xlpm.k,$C50,AVERAGE(_xlfn._xlws.FILTER(_xlpm.d,(_xlpm.f=_xlpm.k)*(_xlpm.g=0))))</f>
        <v>0.73225668906055752</v>
      </c>
      <c r="E50" s="2" cm="1">
        <f t="array" ref="E50">_xlfn.LET(_xlpm.d,E$2:E$36,_xlpm.f,$A$2:$A$36,_xlpm.g,$B$2:$B$36,_xlpm.k,$C50,AVERAGE(_xlfn._xlws.FILTER(_xlpm.d,(_xlpm.f=_xlpm.k)*(_xlpm.g=0))))</f>
        <v>0.63015980813476136</v>
      </c>
      <c r="F50" s="2" cm="1">
        <f t="array" ref="F50">_xlfn.LET(_xlpm.d,F$2:F$36,_xlpm.f,$A$2:$A$36,_xlpm.g,$B$2:$B$36,_xlpm.k,$C50,AVERAGE(_xlfn._xlws.FILTER(_xlpm.d,(_xlpm.f=_xlpm.k)*(_xlpm.g=0))))</f>
        <v>0.65066950844823257</v>
      </c>
      <c r="G50" s="2" cm="1">
        <f t="array" ref="G50">_xlfn.LET(_xlpm.d,G$2:G$36,_xlpm.f,$A$2:$A$36,_xlpm.g,$B$2:$B$36,_xlpm.k,$C50,AVERAGE(_xlfn._xlws.FILTER(_xlpm.d,(_xlpm.f=_xlpm.k)*(_xlpm.g=0))))</f>
        <v>0.60111088975836735</v>
      </c>
      <c r="H50" s="2" cm="1">
        <f t="array" ref="H50">_xlfn.LET(_xlpm.d,H$2:H$36,_xlpm.f,$A$2:$A$36,_xlpm.g,$B$2:$B$36,_xlpm.k,$C50,AVERAGE(_xlfn._xlws.FILTER(_xlpm.d,(_xlpm.f=_xlpm.k)*(_xlpm.g=0))))</f>
        <v>0.5554672625059105</v>
      </c>
      <c r="I50" s="2" cm="1">
        <f t="array" ref="I50">_xlfn.LET(_xlpm.d,I$2:I$36,_xlpm.f,$A$2:$A$36,_xlpm.g,$B$2:$B$36,_xlpm.k,$C50,AVERAGE(_xlfn._xlws.FILTER(_xlpm.d,(_xlpm.f=_xlpm.k)*(_xlpm.g=0))))</f>
        <v>0.5927576911366278</v>
      </c>
      <c r="J50" s="2" cm="1">
        <f t="array" ref="J50">_xlfn.LET(_xlpm.d,J$2:J$36,_xlpm.f,$A$2:$A$36,_xlpm.g,$B$2:$B$36,_xlpm.k,$C50,AVERAGE(_xlfn._xlws.FILTER(_xlpm.d,(_xlpm.f=_xlpm.k)*(_xlpm.g=0))))</f>
        <v>0.498485422451801</v>
      </c>
      <c r="K50" s="2" cm="1">
        <f t="array" ref="K50">_xlfn.LET(_xlpm.d,K$2:K$36,_xlpm.f,$A$2:$A$36,_xlpm.g,$B$2:$B$36,_xlpm.k,$C50,AVERAGE(_xlfn._xlws.FILTER(_xlpm.d,(_xlpm.f=_xlpm.k)*(_xlpm.g=0))))</f>
        <v>0.53909576854125929</v>
      </c>
      <c r="L50" s="2" cm="1">
        <f t="array" ref="L50">_xlfn.LET(_xlpm.d,L$2:L$36,_xlpm.f,$A$2:$A$36,_xlpm.g,$B$2:$B$36,_xlpm.k,$C50,AVERAGE(_xlfn._xlws.FILTER(_xlpm.d,(_xlpm.f=_xlpm.k)*(_xlpm.g=0))))</f>
        <v>0.53568900822449173</v>
      </c>
      <c r="M50" s="2" cm="1">
        <f t="array" ref="M50">_xlfn.LET(_xlpm.d,M$2:M$36,_xlpm.f,$A$2:$A$36,_xlpm.g,$B$2:$B$36,_xlpm.k,$C50,AVERAGE(_xlfn._xlws.FILTER(_xlpm.d,(_xlpm.f=_xlpm.k)*(_xlpm.g=0))))</f>
        <v>0.50096245264061012</v>
      </c>
      <c r="N50" s="2" cm="1">
        <f t="array" ref="N50">_xlfn.LET(_xlpm.d,N$2:N$36,_xlpm.f,$A$2:$A$36,_xlpm.g,$B$2:$B$36,_xlpm.k,$C50,AVERAGE(_xlfn._xlws.FILTER(_xlpm.d,(_xlpm.f=_xlpm.k)*(_xlpm.g=0))))</f>
        <v>0.52944439931070675</v>
      </c>
      <c r="O50" s="2" cm="1">
        <f t="array" ref="O50">_xlfn.LET(_xlpm.d,O$2:O$36,_xlpm.f,$A$2:$A$36,_xlpm.g,$B$2:$B$36,_xlpm.k,$C50,AVERAGE(_xlfn._xlws.FILTER(_xlpm.d,(_xlpm.f=_xlpm.k)*(_xlpm.g=0))))</f>
        <v>0.38206638920966857</v>
      </c>
      <c r="P50" s="2" cm="1">
        <f t="array" ref="P50">_xlfn.LET(_xlpm.d,P$2:P$36,_xlpm.f,$A$2:$A$36,_xlpm.g,$B$2:$B$36,_xlpm.k,$C50,AVERAGE(_xlfn._xlws.FILTER(_xlpm.d,(_xlpm.f=_xlpm.k)*(_xlpm.g=0))))</f>
        <v>0.49950856106468483</v>
      </c>
      <c r="Q50" s="2" cm="1">
        <f t="array" ref="Q50">_xlfn.LET(_xlpm.d,Q$2:Q$36,_xlpm.f,$A$2:$A$36,_xlpm.g,$B$2:$B$36,_xlpm.k,$C50,AVERAGE(_xlfn._xlws.FILTER(_xlpm.d,(_xlpm.f=_xlpm.k)*(_xlpm.g=0))))</f>
        <v>0.55751337311443694</v>
      </c>
    </row>
    <row r="51" spans="3:17" ht="30" customHeight="1">
      <c r="C51" t="s">
        <v>39</v>
      </c>
      <c r="D51" s="2" cm="1">
        <f t="array" ref="D51">_xlfn.LET(_xlpm.d,D$2:D$36,_xlpm.f,$A$2:$A$36,_xlpm.g,$B$2:$B$36,_xlpm.k,$C51,AVERAGE(_xlfn._xlws.FILTER(_xlpm.d,(_xlpm.f=_xlpm.k)*(_xlpm.g=0))))</f>
        <v>0.72156655664757441</v>
      </c>
      <c r="E51" s="2" cm="1">
        <f t="array" ref="E51">_xlfn.LET(_xlpm.d,E$2:E$36,_xlpm.f,$A$2:$A$36,_xlpm.g,$B$2:$B$36,_xlpm.k,$C51,AVERAGE(_xlfn._xlws.FILTER(_xlpm.d,(_xlpm.f=_xlpm.k)*(_xlpm.g=0))))</f>
        <v>0.70978234490730852</v>
      </c>
      <c r="F51" s="2" cm="1">
        <f t="array" ref="F51">_xlfn.LET(_xlpm.d,F$2:F$36,_xlpm.f,$A$2:$A$36,_xlpm.g,$B$2:$B$36,_xlpm.k,$C51,AVERAGE(_xlfn._xlws.FILTER(_xlpm.d,(_xlpm.f=_xlpm.k)*(_xlpm.g=0))))</f>
        <v>0.72590851020322245</v>
      </c>
      <c r="G51" s="2" cm="1">
        <f t="array" ref="G51">_xlfn.LET(_xlpm.d,G$2:G$36,_xlpm.f,$A$2:$A$36,_xlpm.g,$B$2:$B$36,_xlpm.k,$C51,AVERAGE(_xlfn._xlws.FILTER(_xlpm.d,(_xlpm.f=_xlpm.k)*(_xlpm.g=0))))</f>
        <v>0.61480766645802698</v>
      </c>
      <c r="H51" s="2" cm="1">
        <f t="array" ref="H51">_xlfn.LET(_xlpm.d,H$2:H$36,_xlpm.f,$A$2:$A$36,_xlpm.g,$B$2:$B$36,_xlpm.k,$C51,AVERAGE(_xlfn._xlws.FILTER(_xlpm.d,(_xlpm.f=_xlpm.k)*(_xlpm.g=0))))</f>
        <v>0.64505477312252191</v>
      </c>
      <c r="I51" s="2" cm="1">
        <f t="array" ref="I51">_xlfn.LET(_xlpm.d,I$2:I$36,_xlpm.f,$A$2:$A$36,_xlpm.g,$B$2:$B$36,_xlpm.k,$C51,AVERAGE(_xlfn._xlws.FILTER(_xlpm.d,(_xlpm.f=_xlpm.k)*(_xlpm.g=0))))</f>
        <v>0.62557965537424209</v>
      </c>
      <c r="J51" s="2" cm="1">
        <f t="array" ref="J51">_xlfn.LET(_xlpm.d,J$2:J$36,_xlpm.f,$A$2:$A$36,_xlpm.g,$B$2:$B$36,_xlpm.k,$C51,AVERAGE(_xlfn._xlws.FILTER(_xlpm.d,(_xlpm.f=_xlpm.k)*(_xlpm.g=0))))</f>
        <v>0.66647482883712661</v>
      </c>
      <c r="K51" s="2" cm="1">
        <f t="array" ref="K51">_xlfn.LET(_xlpm.d,K$2:K$36,_xlpm.f,$A$2:$A$36,_xlpm.g,$B$2:$B$36,_xlpm.k,$C51,AVERAGE(_xlfn._xlws.FILTER(_xlpm.d,(_xlpm.f=_xlpm.k)*(_xlpm.g=0))))</f>
        <v>0.58321656394985855</v>
      </c>
      <c r="L51" s="2" cm="1">
        <f t="array" ref="L51">_xlfn.LET(_xlpm.d,L$2:L$36,_xlpm.f,$A$2:$A$36,_xlpm.g,$B$2:$B$36,_xlpm.k,$C51,AVERAGE(_xlfn._xlws.FILTER(_xlpm.d,(_xlpm.f=_xlpm.k)*(_xlpm.g=0))))</f>
        <v>0.60071969036042638</v>
      </c>
      <c r="M51" s="2" cm="1">
        <f t="array" ref="M51">_xlfn.LET(_xlpm.d,M$2:M$36,_xlpm.f,$A$2:$A$36,_xlpm.g,$B$2:$B$36,_xlpm.k,$C51,AVERAGE(_xlfn._xlws.FILTER(_xlpm.d,(_xlpm.f=_xlpm.k)*(_xlpm.g=0))))</f>
        <v>0.53301647023969367</v>
      </c>
      <c r="N51" s="2" cm="1">
        <f t="array" ref="N51">_xlfn.LET(_xlpm.d,N$2:N$36,_xlpm.f,$A$2:$A$36,_xlpm.g,$B$2:$B$36,_xlpm.k,$C51,AVERAGE(_xlfn._xlws.FILTER(_xlpm.d,(_xlpm.f=_xlpm.k)*(_xlpm.g=0))))</f>
        <v>0.54778386266220636</v>
      </c>
      <c r="O51" s="2" cm="1">
        <f t="array" ref="O51">_xlfn.LET(_xlpm.d,O$2:O$36,_xlpm.f,$A$2:$A$36,_xlpm.g,$B$2:$B$36,_xlpm.k,$C51,AVERAGE(_xlfn._xlws.FILTER(_xlpm.d,(_xlpm.f=_xlpm.k)*(_xlpm.g=0))))</f>
        <v>0.48073595315866152</v>
      </c>
      <c r="P51" s="2" cm="1">
        <f t="array" ref="P51">_xlfn.LET(_xlpm.d,P$2:P$36,_xlpm.f,$A$2:$A$36,_xlpm.g,$B$2:$B$36,_xlpm.k,$C51,AVERAGE(_xlfn._xlws.FILTER(_xlpm.d,(_xlpm.f=_xlpm.k)*(_xlpm.g=0))))</f>
        <v>0.47242072900989712</v>
      </c>
      <c r="Q51" s="2" cm="1">
        <f t="array" ref="Q51">_xlfn.LET(_xlpm.d,Q$2:Q$36,_xlpm.f,$A$2:$A$36,_xlpm.g,$B$2:$B$36,_xlpm.k,$C51,AVERAGE(_xlfn._xlws.FILTER(_xlpm.d,(_xlpm.f=_xlpm.k)*(_xlpm.g=0))))</f>
        <v>0.60977443114852059</v>
      </c>
    </row>
    <row r="52" spans="3:17" ht="30" customHeight="1">
      <c r="C52" t="s">
        <v>42</v>
      </c>
      <c r="D52" s="2" cm="1">
        <f t="array" ref="D52">_xlfn.LET(_xlpm.d,D$2:D$36,_xlpm.f,$A$2:$A$36,_xlpm.g,$B$2:$B$36,_xlpm.k,$C52,AVERAGE(_xlfn._xlws.FILTER(_xlpm.d,(_xlpm.f=_xlpm.k)*(_xlpm.g=0))))</f>
        <v>0.98670668474922696</v>
      </c>
      <c r="E52" s="2" cm="1">
        <f t="array" ref="E52">_xlfn.LET(_xlpm.d,E$2:E$36,_xlpm.f,$A$2:$A$36,_xlpm.g,$B$2:$B$36,_xlpm.k,$C52,AVERAGE(_xlfn._xlws.FILTER(_xlpm.d,(_xlpm.f=_xlpm.k)*(_xlpm.g=0))))</f>
        <v>0.99067470145408842</v>
      </c>
      <c r="F52" s="2" cm="1">
        <f t="array" ref="F52">_xlfn.LET(_xlpm.d,F$2:F$36,_xlpm.f,$A$2:$A$36,_xlpm.g,$B$2:$B$36,_xlpm.k,$C52,AVERAGE(_xlfn._xlws.FILTER(_xlpm.d,(_xlpm.f=_xlpm.k)*(_xlpm.g=0))))</f>
        <v>0.99552613870126805</v>
      </c>
      <c r="G52" s="2" cm="1">
        <f t="array" ref="G52">_xlfn.LET(_xlpm.d,G$2:G$36,_xlpm.f,$A$2:$A$36,_xlpm.g,$B$2:$B$36,_xlpm.k,$C52,AVERAGE(_xlfn._xlws.FILTER(_xlpm.d,(_xlpm.f=_xlpm.k)*(_xlpm.g=0))))</f>
        <v>0.99736708704943799</v>
      </c>
      <c r="H52" s="2" cm="1">
        <f t="array" ref="H52">_xlfn.LET(_xlpm.d,H$2:H$36,_xlpm.f,$A$2:$A$36,_xlpm.g,$B$2:$B$36,_xlpm.k,$C52,AVERAGE(_xlfn._xlws.FILTER(_xlpm.d,(_xlpm.f=_xlpm.k)*(_xlpm.g=0))))</f>
        <v>0.99387997515275084</v>
      </c>
      <c r="I52" s="2" cm="1">
        <f t="array" ref="I52">_xlfn.LET(_xlpm.d,I$2:I$36,_xlpm.f,$A$2:$A$36,_xlpm.g,$B$2:$B$36,_xlpm.k,$C52,AVERAGE(_xlfn._xlws.FILTER(_xlpm.d,(_xlpm.f=_xlpm.k)*(_xlpm.g=0))))</f>
        <v>0.99928046827253902</v>
      </c>
      <c r="J52" s="2" cm="1">
        <f t="array" ref="J52">_xlfn.LET(_xlpm.d,J$2:J$36,_xlpm.f,$A$2:$A$36,_xlpm.g,$B$2:$B$36,_xlpm.k,$C52,AVERAGE(_xlfn._xlws.FILTER(_xlpm.d,(_xlpm.f=_xlpm.k)*(_xlpm.g=0))))</f>
        <v>0.9923304892486583</v>
      </c>
      <c r="K52" s="2" cm="1">
        <f t="array" ref="K52">_xlfn.LET(_xlpm.d,K$2:K$36,_xlpm.f,$A$2:$A$36,_xlpm.g,$B$2:$B$36,_xlpm.k,$C52,AVERAGE(_xlfn._xlws.FILTER(_xlpm.d,(_xlpm.f=_xlpm.k)*(_xlpm.g=0))))</f>
        <v>0.95398725184624478</v>
      </c>
      <c r="L52" s="2" cm="1">
        <f t="array" ref="L52">_xlfn.LET(_xlpm.d,L$2:L$36,_xlpm.f,$A$2:$A$36,_xlpm.g,$B$2:$B$36,_xlpm.k,$C52,AVERAGE(_xlfn._xlws.FILTER(_xlpm.d,(_xlpm.f=_xlpm.k)*(_xlpm.g=0))))</f>
        <v>0.96548384184679936</v>
      </c>
      <c r="M52" s="2" cm="1">
        <f t="array" ref="M52">_xlfn.LET(_xlpm.d,M$2:M$36,_xlpm.f,$A$2:$A$36,_xlpm.g,$B$2:$B$36,_xlpm.k,$C52,AVERAGE(_xlfn._xlws.FILTER(_xlpm.d,(_xlpm.f=_xlpm.k)*(_xlpm.g=0))))</f>
        <v>0.99223159435282182</v>
      </c>
      <c r="N52" s="2" cm="1">
        <f t="array" ref="N52">_xlfn.LET(_xlpm.d,N$2:N$36,_xlpm.f,$A$2:$A$36,_xlpm.g,$B$2:$B$36,_xlpm.k,$C52,AVERAGE(_xlfn._xlws.FILTER(_xlpm.d,(_xlpm.f=_xlpm.k)*(_xlpm.g=0))))</f>
        <v>0.98171304342368515</v>
      </c>
      <c r="O52" s="2" cm="1">
        <f t="array" ref="O52">_xlfn.LET(_xlpm.d,O$2:O$36,_xlpm.f,$A$2:$A$36,_xlpm.g,$B$2:$B$36,_xlpm.k,$C52,AVERAGE(_xlfn._xlws.FILTER(_xlpm.d,(_xlpm.f=_xlpm.k)*(_xlpm.g=0))))</f>
        <v>0.9421913273753636</v>
      </c>
      <c r="P52" s="2" cm="1">
        <f t="array" ref="P52">_xlfn.LET(_xlpm.d,P$2:P$36,_xlpm.f,$A$2:$A$36,_xlpm.g,$B$2:$B$36,_xlpm.k,$C52,AVERAGE(_xlfn._xlws.FILTER(_xlpm.d,(_xlpm.f=_xlpm.k)*(_xlpm.g=0))))</f>
        <v>0.93954452933389521</v>
      </c>
      <c r="Q52" s="2" cm="1">
        <f t="array" ref="Q52">_xlfn.LET(_xlpm.d,Q$2:Q$36,_xlpm.f,$A$2:$A$36,_xlpm.g,$B$2:$B$36,_xlpm.k,$C52,AVERAGE(_xlfn._xlws.FILTER(_xlpm.d,(_xlpm.f=_xlpm.k)*(_xlpm.g=0))))</f>
        <v>0.97930131790821384</v>
      </c>
    </row>
  </sheetData>
  <phoneticPr fontId="1" type="noConversion"/>
  <conditionalFormatting sqref="D2:P36">
    <cfRule type="colorScale" priority="5">
      <colorScale>
        <cfvo type="num" val="0"/>
        <cfvo type="percentile" val="50"/>
        <cfvo type="num" val="1"/>
        <color rgb="FFFF7128"/>
        <color theme="0"/>
        <color theme="6" tint="0.59999389629810485"/>
      </colorScale>
    </cfRule>
  </conditionalFormatting>
  <conditionalFormatting sqref="D39:Q44">
    <cfRule type="colorScale" priority="4">
      <colorScale>
        <cfvo type="num" val="0"/>
        <cfvo type="percentile" val="50"/>
        <cfvo type="num" val="1"/>
        <color rgb="FFFF7128"/>
        <color theme="0"/>
        <color theme="6" tint="0.59999389629810485"/>
      </colorScale>
    </cfRule>
  </conditionalFormatting>
  <conditionalFormatting sqref="D47:Q47">
    <cfRule type="colorScale" priority="2">
      <colorScale>
        <cfvo type="num" val="0"/>
        <cfvo type="percentile" val="50"/>
        <cfvo type="num" val="1"/>
        <color rgb="FFFF7128"/>
        <color theme="0"/>
        <color theme="6" tint="0.59999389629810485"/>
      </colorScale>
    </cfRule>
  </conditionalFormatting>
  <conditionalFormatting sqref="D48:Q52">
    <cfRule type="colorScale" priority="3">
      <colorScale>
        <cfvo type="num" val="0"/>
        <cfvo type="percentile" val="50"/>
        <cfvo type="num" val="1"/>
        <color rgb="FFFF7128"/>
        <color theme="0"/>
        <color theme="6" tint="0.59999389629810485"/>
      </colorScale>
    </cfRule>
  </conditionalFormatting>
  <conditionalFormatting sqref="Q2:Q36">
    <cfRule type="colorScale" priority="1">
      <colorScale>
        <cfvo type="num" val="0"/>
        <cfvo type="percentile" val="50"/>
        <cfvo type="num" val="1"/>
        <color rgb="FFFF7128"/>
        <color theme="0"/>
        <color theme="6" tint="0.59999389629810485"/>
      </colorScale>
    </cfRule>
  </conditionalFormatting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aNA.xsk-free</vt:lpstr>
      <vt:lpstr>aNA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Kuroda, Kow</dc:creator>
  <cp:keywords/>
  <dc:description/>
  <cp:lastModifiedBy>Kow Kuroda</cp:lastModifiedBy>
  <dcterms:created xsi:type="dcterms:W3CDTF">2025-07-10T05:42:18Z</dcterms:created>
  <dcterms:modified xsi:type="dcterms:W3CDTF">2025-09-11T05:35:20Z</dcterms:modified>
  <cp:category/>
</cp:coreProperties>
</file>