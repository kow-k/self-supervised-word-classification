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CA46209B-6D1A-DF43-A370-781F12BA2F3B}" xr6:coauthVersionLast="47" xr6:coauthVersionMax="47" xr10:uidLastSave="{00000000-0000-0000-0000-000000000000}"/>
  <bookViews>
    <workbookView xWindow="3280" yWindow="820" windowWidth="29320" windowHeight="17360" xr2:uid="{AAB55906-58C7-F940-B4CF-E7AFA13CA4FF}"/>
  </bookViews>
  <sheets>
    <sheet name="aNA.xsk-free" sheetId="3" r:id="rId1"/>
    <sheet name="a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3" l="1"/>
  <c r="O29" i="3"/>
  <c r="N29" i="3"/>
  <c r="M29" i="3"/>
  <c r="L29" i="3"/>
  <c r="K29" i="3"/>
  <c r="J29" i="3"/>
  <c r="I29" i="3"/>
  <c r="H29" i="3"/>
  <c r="G29" i="3"/>
  <c r="F29" i="3"/>
  <c r="E29" i="3"/>
  <c r="D29" i="3"/>
  <c r="Q26" i="3"/>
  <c r="B26" i="3"/>
  <c r="A26" i="3"/>
  <c r="Q25" i="3"/>
  <c r="B25" i="3"/>
  <c r="A25" i="3"/>
  <c r="Q24" i="3"/>
  <c r="B24" i="3"/>
  <c r="A24" i="3"/>
  <c r="Q23" i="3"/>
  <c r="B23" i="3"/>
  <c r="A23" i="3"/>
  <c r="Q22" i="3"/>
  <c r="B22" i="3"/>
  <c r="A22" i="3"/>
  <c r="Q21" i="3"/>
  <c r="B21" i="3"/>
  <c r="A21" i="3"/>
  <c r="Q20" i="3"/>
  <c r="B20" i="3"/>
  <c r="A20" i="3"/>
  <c r="Q19" i="3"/>
  <c r="B19" i="3"/>
  <c r="A19" i="3"/>
  <c r="Q18" i="3"/>
  <c r="B18" i="3"/>
  <c r="A18" i="3"/>
  <c r="Q17" i="3"/>
  <c r="B17" i="3"/>
  <c r="A17" i="3"/>
  <c r="Q16" i="3"/>
  <c r="B16" i="3"/>
  <c r="A16" i="3"/>
  <c r="Q15" i="3"/>
  <c r="B15" i="3"/>
  <c r="A15" i="3"/>
  <c r="Q14" i="3"/>
  <c r="B14" i="3"/>
  <c r="A14" i="3"/>
  <c r="Q13" i="3"/>
  <c r="B13" i="3"/>
  <c r="A13" i="3"/>
  <c r="Q12" i="3"/>
  <c r="B12" i="3"/>
  <c r="A12" i="3"/>
  <c r="Q11" i="3"/>
  <c r="B11" i="3"/>
  <c r="A11" i="3"/>
  <c r="Q10" i="3"/>
  <c r="B10" i="3"/>
  <c r="A10" i="3"/>
  <c r="Q9" i="3"/>
  <c r="B9" i="3"/>
  <c r="A9" i="3"/>
  <c r="Q8" i="3"/>
  <c r="B8" i="3"/>
  <c r="A8" i="3"/>
  <c r="Q7" i="3"/>
  <c r="B7" i="3"/>
  <c r="A7" i="3"/>
  <c r="Q6" i="3"/>
  <c r="B6" i="3"/>
  <c r="A6" i="3"/>
  <c r="Q5" i="3"/>
  <c r="B5" i="3"/>
  <c r="A5" i="3"/>
  <c r="Q4" i="3"/>
  <c r="B4" i="3"/>
  <c r="A4" i="3"/>
  <c r="Q3" i="3"/>
  <c r="B3" i="3"/>
  <c r="A3" i="3"/>
  <c r="Q2" i="3"/>
  <c r="B2" i="3"/>
  <c r="A2" i="3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M47" i="1" a="1"/>
  <c r="M47" i="1" s="1"/>
  <c r="N47" i="1" a="1"/>
  <c r="N47" i="1" s="1"/>
  <c r="O47" i="1" a="1"/>
  <c r="O47" i="1" s="1"/>
  <c r="P47" i="1" a="1"/>
  <c r="P47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E39" i="1"/>
  <c r="F39" i="1"/>
  <c r="G39" i="1"/>
  <c r="H39" i="1"/>
  <c r="I39" i="1"/>
  <c r="J39" i="1"/>
  <c r="K39" i="1"/>
  <c r="L39" i="1"/>
  <c r="M39" i="1"/>
  <c r="N39" i="1"/>
  <c r="O39" i="1"/>
  <c r="P39" i="1"/>
  <c r="E40" i="1" a="1"/>
  <c r="E40" i="1" s="1"/>
  <c r="F40" i="1" a="1"/>
  <c r="F40" i="1" s="1"/>
  <c r="G40" i="1" a="1"/>
  <c r="G40" i="1" s="1"/>
  <c r="H40" i="1" a="1"/>
  <c r="H40" i="1" s="1"/>
  <c r="I40" i="1" a="1"/>
  <c r="I40" i="1" s="1"/>
  <c r="J40" i="1" a="1"/>
  <c r="J40" i="1" s="1"/>
  <c r="K40" i="1" a="1"/>
  <c r="K40" i="1" s="1"/>
  <c r="L40" i="1" a="1"/>
  <c r="L40" i="1"/>
  <c r="M40" i="1" a="1"/>
  <c r="M40" i="1"/>
  <c r="N40" i="1" a="1"/>
  <c r="N40" i="1" s="1"/>
  <c r="O40" i="1" a="1"/>
  <c r="O40" i="1" s="1"/>
  <c r="P40" i="1" a="1"/>
  <c r="P40" i="1"/>
  <c r="E41" i="1" a="1"/>
  <c r="E41" i="1" s="1"/>
  <c r="F41" i="1" a="1"/>
  <c r="F41" i="1" s="1"/>
  <c r="G41" i="1" a="1"/>
  <c r="G41" i="1" s="1"/>
  <c r="H41" i="1" a="1"/>
  <c r="H41" i="1" s="1"/>
  <c r="I41" i="1" a="1"/>
  <c r="I41" i="1" s="1"/>
  <c r="J41" i="1" a="1"/>
  <c r="J41" i="1" s="1"/>
  <c r="K41" i="1" a="1"/>
  <c r="K41" i="1" s="1"/>
  <c r="L41" i="1" a="1"/>
  <c r="L41" i="1" s="1"/>
  <c r="M41" i="1" a="1"/>
  <c r="M41" i="1" s="1"/>
  <c r="N41" i="1" a="1"/>
  <c r="N41" i="1" s="1"/>
  <c r="O41" i="1" a="1"/>
  <c r="O41" i="1" s="1"/>
  <c r="P41" i="1" a="1"/>
  <c r="P41" i="1"/>
  <c r="E42" i="1" a="1"/>
  <c r="E42" i="1" s="1"/>
  <c r="F42" i="1" a="1"/>
  <c r="F42" i="1" s="1"/>
  <c r="G42" i="1" a="1"/>
  <c r="G42" i="1" s="1"/>
  <c r="H42" i="1" a="1"/>
  <c r="H42" i="1" s="1"/>
  <c r="I42" i="1" a="1"/>
  <c r="I42" i="1" s="1"/>
  <c r="J42" i="1" a="1"/>
  <c r="J42" i="1" s="1"/>
  <c r="K42" i="1" a="1"/>
  <c r="K42" i="1" s="1"/>
  <c r="L42" i="1" a="1"/>
  <c r="L42" i="1" s="1"/>
  <c r="M42" i="1" a="1"/>
  <c r="M42" i="1" s="1"/>
  <c r="N42" i="1" a="1"/>
  <c r="N42" i="1"/>
  <c r="O42" i="1" a="1"/>
  <c r="O42" i="1" s="1"/>
  <c r="P42" i="1" a="1"/>
  <c r="P42" i="1" s="1"/>
  <c r="E43" i="1" a="1"/>
  <c r="E43" i="1" s="1"/>
  <c r="F43" i="1" a="1"/>
  <c r="F43" i="1" s="1"/>
  <c r="G43" i="1" a="1"/>
  <c r="G43" i="1" s="1"/>
  <c r="H43" i="1" a="1"/>
  <c r="H43" i="1" s="1"/>
  <c r="I43" i="1" a="1"/>
  <c r="I43" i="1" s="1"/>
  <c r="J43" i="1" a="1"/>
  <c r="J43" i="1"/>
  <c r="K43" i="1" a="1"/>
  <c r="K43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E44" i="1" a="1"/>
  <c r="E44" i="1" s="1"/>
  <c r="F44" i="1" a="1"/>
  <c r="F44" i="1" s="1"/>
  <c r="G44" i="1" a="1"/>
  <c r="G44" i="1" s="1"/>
  <c r="H44" i="1" a="1"/>
  <c r="H44" i="1"/>
  <c r="I44" i="1" a="1"/>
  <c r="I44" i="1" s="1"/>
  <c r="J44" i="1" a="1"/>
  <c r="J44" i="1" s="1"/>
  <c r="K44" i="1" a="1"/>
  <c r="K44" i="1" s="1"/>
  <c r="L44" i="1" a="1"/>
  <c r="L44" i="1" s="1"/>
  <c r="M44" i="1" a="1"/>
  <c r="M44" i="1"/>
  <c r="N44" i="1" a="1"/>
  <c r="N44" i="1" s="1"/>
  <c r="O44" i="1" a="1"/>
  <c r="O44" i="1" s="1"/>
  <c r="P44" i="1" a="1"/>
  <c r="P44" i="1" s="1"/>
  <c r="A16" i="1"/>
  <c r="A17" i="1"/>
  <c r="A18" i="1"/>
  <c r="A19" i="1"/>
  <c r="A20" i="1"/>
  <c r="A21" i="1"/>
  <c r="A22" i="1"/>
  <c r="A23" i="1"/>
  <c r="A24" i="1"/>
  <c r="A25" i="1"/>
  <c r="B16" i="1"/>
  <c r="B17" i="1"/>
  <c r="B18" i="1"/>
  <c r="B19" i="1"/>
  <c r="B20" i="1"/>
  <c r="B21" i="1"/>
  <c r="B22" i="1"/>
  <c r="B23" i="1"/>
  <c r="B24" i="1"/>
  <c r="B25" i="1"/>
  <c r="Q16" i="1"/>
  <c r="Q17" i="1"/>
  <c r="Q18" i="1"/>
  <c r="Q19" i="1"/>
  <c r="Q20" i="1"/>
  <c r="Q21" i="1"/>
  <c r="Q22" i="1"/>
  <c r="Q23" i="1"/>
  <c r="Q24" i="1"/>
  <c r="Q2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6" i="1"/>
  <c r="Q27" i="1"/>
  <c r="Q28" i="1"/>
  <c r="Q29" i="1"/>
  <c r="Q30" i="1"/>
  <c r="Q31" i="1"/>
  <c r="Q32" i="1"/>
  <c r="Q33" i="1"/>
  <c r="Q34" i="1"/>
  <c r="Q35" i="1"/>
  <c r="Q36" i="1"/>
  <c r="D39" i="1"/>
  <c r="A36" i="1"/>
  <c r="A35" i="1"/>
  <c r="A34" i="1"/>
  <c r="A33" i="1"/>
  <c r="A32" i="1"/>
  <c r="A31" i="1"/>
  <c r="A30" i="1"/>
  <c r="A29" i="1"/>
  <c r="A28" i="1"/>
  <c r="A27" i="1"/>
  <c r="A2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6" i="1"/>
  <c r="B27" i="1"/>
  <c r="B28" i="1"/>
  <c r="B29" i="1"/>
  <c r="B30" i="1"/>
  <c r="B31" i="1"/>
  <c r="B32" i="1"/>
  <c r="B33" i="1"/>
  <c r="B34" i="1"/>
  <c r="B35" i="1"/>
  <c r="B36" i="1"/>
  <c r="A2" i="1"/>
  <c r="F38" i="3" l="1" a="1"/>
  <c r="F38" i="3" s="1"/>
  <c r="M37" i="3" a="1"/>
  <c r="M37" i="3" s="1"/>
  <c r="D32" i="3" a="1"/>
  <c r="D32" i="3" s="1"/>
  <c r="L32" i="3" a="1"/>
  <c r="L32" i="3" s="1"/>
  <c r="F34" i="3" a="1"/>
  <c r="F34" i="3" s="1"/>
  <c r="L42" i="3" a="1"/>
  <c r="L42" i="3" s="1"/>
  <c r="F30" i="3" a="1"/>
  <c r="F30" i="3" s="1"/>
  <c r="N33" i="3" a="1"/>
  <c r="N33" i="3" s="1"/>
  <c r="Q29" i="3"/>
  <c r="O37" i="3" a="1"/>
  <c r="O37" i="3" s="1"/>
  <c r="L30" i="3" a="1"/>
  <c r="L30" i="3" s="1"/>
  <c r="J38" i="3" a="1"/>
  <c r="J38" i="3" s="1"/>
  <c r="L37" i="3" a="1"/>
  <c r="L37" i="3" s="1"/>
  <c r="I33" i="3" a="1"/>
  <c r="I33" i="3" s="1"/>
  <c r="P34" i="3" a="1"/>
  <c r="P34" i="3" s="1"/>
  <c r="E31" i="3" a="1"/>
  <c r="E31" i="3" s="1"/>
  <c r="J39" i="3" a="1"/>
  <c r="J39" i="3" s="1"/>
  <c r="K38" i="3" a="1"/>
  <c r="K38" i="3" s="1"/>
  <c r="L39" i="3" a="1"/>
  <c r="L39" i="3" s="1"/>
  <c r="N40" i="3" a="1"/>
  <c r="N40" i="3" s="1"/>
  <c r="P41" i="3" a="1"/>
  <c r="P41" i="3" s="1"/>
  <c r="N41" i="3" a="1"/>
  <c r="N41" i="3" s="1"/>
  <c r="G30" i="3" a="1"/>
  <c r="G30" i="3" s="1"/>
  <c r="L31" i="3" a="1"/>
  <c r="L31" i="3" s="1"/>
  <c r="F32" i="3" a="1"/>
  <c r="F32" i="3" s="1"/>
  <c r="N32" i="3" a="1"/>
  <c r="N32" i="3" s="1"/>
  <c r="J33" i="3" a="1"/>
  <c r="J33" i="3" s="1"/>
  <c r="G34" i="3" a="1"/>
  <c r="G34" i="3" s="1"/>
  <c r="D37" i="3" a="1"/>
  <c r="D37" i="3" s="1"/>
  <c r="N37" i="3" a="1"/>
  <c r="N37" i="3" s="1"/>
  <c r="N30" i="3" a="1"/>
  <c r="N30" i="3" s="1"/>
  <c r="F31" i="3" a="1"/>
  <c r="F31" i="3" s="1"/>
  <c r="M31" i="3" a="1"/>
  <c r="M31" i="3" s="1"/>
  <c r="G32" i="3" a="1"/>
  <c r="G32" i="3" s="1"/>
  <c r="O32" i="3" a="1"/>
  <c r="O32" i="3" s="1"/>
  <c r="L33" i="3" a="1"/>
  <c r="L33" i="3" s="1"/>
  <c r="H34" i="3" a="1"/>
  <c r="H34" i="3" s="1"/>
  <c r="E37" i="3" a="1"/>
  <c r="E37" i="3" s="1"/>
  <c r="P37" i="3" a="1"/>
  <c r="P37" i="3" s="1"/>
  <c r="L38" i="3" a="1"/>
  <c r="L38" i="3" s="1"/>
  <c r="N39" i="3" a="1"/>
  <c r="N39" i="3" s="1"/>
  <c r="P40" i="3" a="1"/>
  <c r="P40" i="3" s="1"/>
  <c r="D42" i="3" a="1"/>
  <c r="D42" i="3" s="1"/>
  <c r="O30" i="3" a="1"/>
  <c r="O30" i="3" s="1"/>
  <c r="P32" i="3" a="1"/>
  <c r="P32" i="3" s="1"/>
  <c r="M33" i="3" a="1"/>
  <c r="M33" i="3" s="1"/>
  <c r="J34" i="3" a="1"/>
  <c r="J34" i="3" s="1"/>
  <c r="F37" i="3" a="1"/>
  <c r="F37" i="3" s="1"/>
  <c r="Q37" i="3" a="1"/>
  <c r="Q37" i="3" s="1"/>
  <c r="N38" i="3" a="1"/>
  <c r="N38" i="3" s="1"/>
  <c r="P39" i="3" a="1"/>
  <c r="P39" i="3" s="1"/>
  <c r="D41" i="3" a="1"/>
  <c r="D41" i="3" s="1"/>
  <c r="F42" i="3" a="1"/>
  <c r="F42" i="3" s="1"/>
  <c r="D33" i="3" a="1"/>
  <c r="D33" i="3" s="1"/>
  <c r="K34" i="3" a="1"/>
  <c r="K34" i="3" s="1"/>
  <c r="P38" i="3" a="1"/>
  <c r="P38" i="3" s="1"/>
  <c r="D40" i="3" a="1"/>
  <c r="D40" i="3" s="1"/>
  <c r="F41" i="3" a="1"/>
  <c r="F41" i="3" s="1"/>
  <c r="H42" i="3" a="1"/>
  <c r="H42" i="3" s="1"/>
  <c r="J32" i="3" a="1"/>
  <c r="J32" i="3" s="1"/>
  <c r="D39" i="3" a="1"/>
  <c r="D39" i="3" s="1"/>
  <c r="F40" i="3" a="1"/>
  <c r="F40" i="3" s="1"/>
  <c r="H41" i="3" a="1"/>
  <c r="H41" i="3" s="1"/>
  <c r="J42" i="3" a="1"/>
  <c r="J42" i="3" s="1"/>
  <c r="L40" i="3" a="1"/>
  <c r="L40" i="3" s="1"/>
  <c r="H30" i="3" a="1"/>
  <c r="H30" i="3" s="1"/>
  <c r="N31" i="3" a="1"/>
  <c r="N31" i="3" s="1"/>
  <c r="D38" i="3" a="1"/>
  <c r="D38" i="3" s="1"/>
  <c r="J30" i="3" a="1"/>
  <c r="J30" i="3" s="1"/>
  <c r="I31" i="3" a="1"/>
  <c r="I31" i="3" s="1"/>
  <c r="E33" i="3" a="1"/>
  <c r="E33" i="3" s="1"/>
  <c r="L34" i="3" a="1"/>
  <c r="L34" i="3" s="1"/>
  <c r="I37" i="3" a="1"/>
  <c r="I37" i="3" s="1"/>
  <c r="D30" i="3" a="1"/>
  <c r="D30" i="3" s="1"/>
  <c r="K30" i="3" a="1"/>
  <c r="K30" i="3" s="1"/>
  <c r="Q31" i="3" a="1"/>
  <c r="Q31" i="3" s="1"/>
  <c r="K32" i="3" a="1"/>
  <c r="K32" i="3" s="1"/>
  <c r="F33" i="3" a="1"/>
  <c r="F33" i="3" s="1"/>
  <c r="Q33" i="3" a="1"/>
  <c r="Q33" i="3" s="1"/>
  <c r="N34" i="3" a="1"/>
  <c r="N34" i="3" s="1"/>
  <c r="J37" i="3" a="1"/>
  <c r="J37" i="3" s="1"/>
  <c r="G38" i="3" a="1"/>
  <c r="G38" i="3" s="1"/>
  <c r="F39" i="3" a="1"/>
  <c r="F39" i="3" s="1"/>
  <c r="H40" i="3" a="1"/>
  <c r="H40" i="3" s="1"/>
  <c r="J41" i="3" a="1"/>
  <c r="J41" i="3" s="1"/>
  <c r="H31" i="3" a="1"/>
  <c r="H31" i="3" s="1"/>
  <c r="H32" i="3" a="1"/>
  <c r="H32" i="3" s="1"/>
  <c r="H37" i="3" a="1"/>
  <c r="H37" i="3" s="1"/>
  <c r="P30" i="3" a="1"/>
  <c r="P30" i="3" s="1"/>
  <c r="P31" i="3" a="1"/>
  <c r="P31" i="3" s="1"/>
  <c r="P33" i="3" a="1"/>
  <c r="P33" i="3" s="1"/>
  <c r="O39" i="3" a="1"/>
  <c r="O39" i="3" s="1"/>
  <c r="Q38" i="3" a="1"/>
  <c r="Q38" i="3" s="1"/>
  <c r="I38" i="3" a="1"/>
  <c r="I38" i="3" s="1"/>
  <c r="Q34" i="3" a="1"/>
  <c r="Q34" i="3" s="1"/>
  <c r="I34" i="3" a="1"/>
  <c r="I34" i="3" s="1"/>
  <c r="O33" i="3" a="1"/>
  <c r="O33" i="3" s="1"/>
  <c r="G33" i="3" a="1"/>
  <c r="G33" i="3" s="1"/>
  <c r="M32" i="3" a="1"/>
  <c r="M32" i="3" s="1"/>
  <c r="E32" i="3" a="1"/>
  <c r="E32" i="3" s="1"/>
  <c r="K31" i="3" a="1"/>
  <c r="K31" i="3" s="1"/>
  <c r="Q30" i="3" a="1"/>
  <c r="Q30" i="3" s="1"/>
  <c r="I30" i="3" a="1"/>
  <c r="I30" i="3" s="1"/>
  <c r="Q42" i="3" a="1"/>
  <c r="Q42" i="3" s="1"/>
  <c r="M42" i="3" a="1"/>
  <c r="M42" i="3" s="1"/>
  <c r="I42" i="3" a="1"/>
  <c r="I42" i="3" s="1"/>
  <c r="E42" i="3" a="1"/>
  <c r="E42" i="3" s="1"/>
  <c r="O41" i="3" a="1"/>
  <c r="O41" i="3" s="1"/>
  <c r="K41" i="3" a="1"/>
  <c r="K41" i="3" s="1"/>
  <c r="G41" i="3" a="1"/>
  <c r="G41" i="3" s="1"/>
  <c r="Q40" i="3" a="1"/>
  <c r="Q40" i="3" s="1"/>
  <c r="M40" i="3" a="1"/>
  <c r="M40" i="3" s="1"/>
  <c r="I40" i="3" a="1"/>
  <c r="I40" i="3" s="1"/>
  <c r="E40" i="3" a="1"/>
  <c r="E40" i="3" s="1"/>
  <c r="K39" i="3" a="1"/>
  <c r="K39" i="3" s="1"/>
  <c r="G39" i="3" a="1"/>
  <c r="G39" i="3" s="1"/>
  <c r="M38" i="3" a="1"/>
  <c r="M38" i="3" s="1"/>
  <c r="E38" i="3" a="1"/>
  <c r="E38" i="3" s="1"/>
  <c r="M34" i="3" a="1"/>
  <c r="M34" i="3" s="1"/>
  <c r="E34" i="3" a="1"/>
  <c r="E34" i="3" s="1"/>
  <c r="K33" i="3" a="1"/>
  <c r="K33" i="3" s="1"/>
  <c r="Q32" i="3" a="1"/>
  <c r="Q32" i="3" s="1"/>
  <c r="I32" i="3" a="1"/>
  <c r="I32" i="3" s="1"/>
  <c r="O31" i="3" a="1"/>
  <c r="O31" i="3" s="1"/>
  <c r="G31" i="3" a="1"/>
  <c r="G31" i="3" s="1"/>
  <c r="M30" i="3" a="1"/>
  <c r="M30" i="3" s="1"/>
  <c r="E30" i="3" a="1"/>
  <c r="E30" i="3" s="1"/>
  <c r="P42" i="3" a="1"/>
  <c r="P42" i="3" s="1"/>
  <c r="O42" i="3" a="1"/>
  <c r="O42" i="3" s="1"/>
  <c r="K42" i="3" a="1"/>
  <c r="K42" i="3" s="1"/>
  <c r="G42" i="3" a="1"/>
  <c r="G42" i="3" s="1"/>
  <c r="Q41" i="3" a="1"/>
  <c r="Q41" i="3" s="1"/>
  <c r="M41" i="3" a="1"/>
  <c r="M41" i="3" s="1"/>
  <c r="I41" i="3" a="1"/>
  <c r="I41" i="3" s="1"/>
  <c r="E41" i="3" a="1"/>
  <c r="E41" i="3" s="1"/>
  <c r="O40" i="3" a="1"/>
  <c r="O40" i="3" s="1"/>
  <c r="K40" i="3" a="1"/>
  <c r="K40" i="3" s="1"/>
  <c r="G40" i="3" a="1"/>
  <c r="G40" i="3" s="1"/>
  <c r="Q39" i="3" a="1"/>
  <c r="Q39" i="3" s="1"/>
  <c r="M39" i="3" a="1"/>
  <c r="M39" i="3" s="1"/>
  <c r="I39" i="3" a="1"/>
  <c r="I39" i="3" s="1"/>
  <c r="E39" i="3" a="1"/>
  <c r="E39" i="3" s="1"/>
  <c r="O38" i="3" a="1"/>
  <c r="O38" i="3" s="1"/>
  <c r="D31" i="3" a="1"/>
  <c r="D31" i="3" s="1"/>
  <c r="J31" i="3" a="1"/>
  <c r="J31" i="3" s="1"/>
  <c r="H33" i="3" a="1"/>
  <c r="H33" i="3" s="1"/>
  <c r="D34" i="3" a="1"/>
  <c r="D34" i="3" s="1"/>
  <c r="O34" i="3" a="1"/>
  <c r="O34" i="3" s="1"/>
  <c r="H38" i="3" a="1"/>
  <c r="H38" i="3" s="1"/>
  <c r="H39" i="3" a="1"/>
  <c r="H39" i="3" s="1"/>
  <c r="J40" i="3" a="1"/>
  <c r="J40" i="3" s="1"/>
  <c r="L41" i="3" a="1"/>
  <c r="L41" i="3" s="1"/>
  <c r="N42" i="3" a="1"/>
  <c r="N42" i="3" s="1"/>
  <c r="K37" i="3" a="1"/>
  <c r="K37" i="3" s="1"/>
  <c r="G37" i="3" a="1"/>
  <c r="G37" i="3" s="1"/>
  <c r="Q50" i="1" a="1"/>
  <c r="Q50" i="1" s="1"/>
  <c r="Q42" i="1" a="1"/>
  <c r="Q42" i="1" s="1"/>
  <c r="Q51" i="1" a="1"/>
  <c r="Q51" i="1" s="1"/>
  <c r="Q49" i="1" a="1"/>
  <c r="Q49" i="1" s="1"/>
  <c r="Q44" i="1" a="1"/>
  <c r="Q44" i="1" s="1"/>
  <c r="Q40" i="1" a="1"/>
  <c r="Q40" i="1" s="1"/>
  <c r="Q48" i="1" a="1"/>
  <c r="Q48" i="1" s="1"/>
  <c r="Q47" i="1" a="1"/>
  <c r="Q47" i="1" s="1"/>
  <c r="Q52" i="1" a="1"/>
  <c r="Q52" i="1" s="1"/>
  <c r="Q39" i="1"/>
  <c r="Q41" i="1" a="1"/>
  <c r="Q41" i="1" s="1"/>
  <c r="Q43" i="1" a="1"/>
  <c r="Q43" i="1" s="1"/>
  <c r="D47" i="1" a="1"/>
  <c r="D47" i="1" s="1"/>
  <c r="F48" i="1" a="1"/>
  <c r="F48" i="1" s="1"/>
  <c r="D52" i="1" a="1"/>
  <c r="D52" i="1" s="1"/>
  <c r="E50" i="1" a="1"/>
  <c r="E50" i="1" s="1"/>
  <c r="D48" i="1" a="1"/>
  <c r="D48" i="1" s="1"/>
  <c r="D43" i="1" a="1"/>
  <c r="D43" i="1" s="1"/>
  <c r="E51" i="1" a="1"/>
  <c r="E51" i="1" s="1"/>
  <c r="D44" i="1" a="1"/>
  <c r="D44" i="1" s="1"/>
  <c r="F47" i="1" a="1"/>
  <c r="F47" i="1" s="1"/>
  <c r="D40" i="1" a="1"/>
  <c r="D40" i="1" s="1"/>
  <c r="D49" i="1" a="1"/>
  <c r="D49" i="1" s="1"/>
  <c r="E52" i="1" a="1"/>
  <c r="E52" i="1" s="1"/>
  <c r="D41" i="1" a="1"/>
  <c r="D41" i="1" s="1"/>
  <c r="D50" i="1" a="1"/>
  <c r="D50" i="1" s="1"/>
  <c r="E49" i="1" a="1"/>
  <c r="E49" i="1" s="1"/>
  <c r="D51" i="1" a="1"/>
  <c r="D51" i="1" s="1"/>
  <c r="F50" i="1" a="1"/>
  <c r="F50" i="1" s="1"/>
  <c r="E48" i="1" a="1"/>
  <c r="E48" i="1" s="1"/>
  <c r="F52" i="1" a="1"/>
  <c r="F52" i="1" s="1"/>
  <c r="F49" i="1" a="1"/>
  <c r="F49" i="1" s="1"/>
  <c r="E47" i="1" a="1"/>
  <c r="E47" i="1" s="1"/>
  <c r="D42" i="1" a="1"/>
  <c r="D42" i="1" s="1"/>
  <c r="F51" i="1" a="1"/>
  <c r="F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<sst xmlns="http://schemas.openxmlformats.org/spreadsheetml/2006/main" count="124" uniqueCount="61">
  <si>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</si>
  <si>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</si>
  <si>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</si>
  <si>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</si>
  <si>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</si>
  <si>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</si>
  <si>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</si>
  <si>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</si>
  <si>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</si>
  <si>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</si>
  <si>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</si>
  <si>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</si>
  <si>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</si>
  <si>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</si>
  <si>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</si>
  <si>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</si>
  <si>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</si>
  <si>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</si>
  <si>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</si>
  <si>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</si>
  <si>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</si>
  <si>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</si>
  <si>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</si>
  <si>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</si>
  <si>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</si>
  <si>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</si>
  <si>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</si>
  <si>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</si>
  <si>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</si>
  <si>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</si>
  <si>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</si>
  <si>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</si>
  <si>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</si>
  <si>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</si>
  <si>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</si>
  <si>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</si>
  <si>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Note</t>
  </si>
  <si>
    <t>lang</t>
  </si>
  <si>
    <t>1g</t>
  </si>
  <si>
    <t>1g included</t>
  </si>
  <si>
    <t>all</t>
  </si>
  <si>
    <t>arabic</t>
  </si>
  <si>
    <t>english</t>
  </si>
  <si>
    <t>french</t>
  </si>
  <si>
    <t>german</t>
  </si>
  <si>
    <t>russian</t>
  </si>
  <si>
    <t>1g excluded</t>
  </si>
  <si>
    <t>average</t>
  </si>
  <si>
    <t>11</t>
  </si>
  <si>
    <t>13</t>
  </si>
  <si>
    <t>14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</si>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</sst>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3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37C82E-425A-524C-9ADB-EDD107E5CD3F}" name="Table13" displayName="Table13" ref="A1:R26" totalsRowShown="0">
  <autoFilter ref="A1:R26" xr:uid="{CFFBF5C2-C562-4A4E-B95B-091D1721BBE3}"/>
  <tableColumns count="18">
    <tableColumn id="1" xr3:uid="{F9216860-274A-E845-BD75-D37C849ABBE4}" name="lang">
      <calculatedColumnFormula>_xlfn.LET(_xlpm.c,_xlfn.SINGLE(Table13[condition]),_xlfn.TEXTBEFORE(_xlpm.c,"-"))</calculatedColumnFormula>
    </tableColumn>
    <tableColumn id="14" xr3:uid="{4A6BFFA9-BA2C-034D-86E5-6C907D830BE2}" name="1g" dataDxfId="15">
      <calculatedColumnFormula>_xlfn.LET(_xlpm.c,_xlfn.SINGLE(Table13[condition]),IF(RIGHT(_xlpm.c,2)="1g",1,0))</calculatedColumnFormula>
    </tableColumn>
    <tableColumn id="13" xr3:uid="{DEDAAE9F-08DB-974F-85B1-707002DC0A15}" name="condition"/>
    <tableColumn id="2" xr3:uid="{C0B5AB6F-793F-684E-94EE-A27772130AC6}" name="3" dataDxfId="14"/>
    <tableColumn id="3" xr3:uid="{5E0273ED-3A72-904B-8502-0E81051558C2}" name="4" dataDxfId="13"/>
    <tableColumn id="4" xr3:uid="{A906D840-01FD-F94E-AEFF-5A373A8AE60A}" name="5" dataDxfId="12"/>
    <tableColumn id="5" xr3:uid="{AA2C5BDA-1ABD-4D4C-9A56-C041EE681DE9}" name="6" dataDxfId="11"/>
    <tableColumn id="6" xr3:uid="{7FCEB23E-F7B2-1A43-A7F4-8BF9B16C7575}" name="7" dataDxfId="10"/>
    <tableColumn id="7" xr3:uid="{2AA8DBBA-D3A2-6543-A3B3-0FDCC16D8428}" name="8" dataDxfId="9"/>
    <tableColumn id="8" xr3:uid="{5429A02C-7C24-774C-BA98-CDDB02DDCE67}" name="9" dataDxfId="8"/>
    <tableColumn id="9" xr3:uid="{72B8D07D-3AF1-4D45-8027-FD672534C115}" name="10" dataDxfId="7"/>
    <tableColumn id="16" xr3:uid="{C91F752A-5076-9D42-9B06-38C8A9EE75D3}" name="11" dataDxfId="6"/>
    <tableColumn id="10" xr3:uid="{FF7BC5B6-01A4-D448-A850-01CCEB9E1697}" name="12" dataDxfId="5"/>
    <tableColumn id="17" xr3:uid="{AD5D84F6-B008-3D45-83CB-8EB83692EBBE}" name="13" dataDxfId="4"/>
    <tableColumn id="18" xr3:uid="{F8C791A7-C15B-3D47-BBAF-7C2FDF35CA4C}" name="14" dataDxfId="3"/>
    <tableColumn id="11" xr3:uid="{D2440AD5-1CD9-2143-B3ED-398AF3B7E197}" name="15" dataDxfId="2"/>
    <tableColumn id="15" xr3:uid="{0D627EEB-6E12-ED44-A09E-F865D859BE5A}" name="average" dataDxfId="1">
      <calculatedColumnFormula>_xlfn.LET(_xlpm.d,$D2:$P2,AVERAGE(_xlpm.d))</calculatedColumnFormula>
    </tableColumn>
    <tableColumn id="12" xr3:uid="{FACBE2DB-6E30-3949-8F52-CF4C3689BCEF}" name="No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R36" totalsRowShown="0">
  <autoFilter ref="A1:R36" xr:uid="{CFFBF5C2-C562-4A4E-B95B-091D1721BBE3}"/>
  <tableColumns count="18">
    <tableColumn id="1" xr3:uid="{B965C989-233C-BA49-B251-382897A2BABE}" name="lang">
      <calculatedColumnFormula>_xlfn.LET(_xlpm.c,_xlfn.SINGLE(Table1[condition]),_xlfn.TEXTBEFORE(_xlpm.c,"-"))</calculatedColumnFormula>
    </tableColumn>
    <tableColumn id="14" xr3:uid="{5B025105-E7B9-EC44-A23C-B49A45A79092}" name="1g" dataDxfId="31">
      <calculatedColumnFormula>_xlfn.LET(_xlpm.c,_xlfn.SINGLE(Table1[condition]),IF(RIGHT(_xlpm.c,2)="1g",1,0))</calculatedColumnFormula>
    </tableColumn>
    <tableColumn id="13" xr3:uid="{8340960A-BC53-B144-9330-B572B3C5A7D0}" name="condition"/>
    <tableColumn id="2" xr3:uid="{E49E0B59-37B0-284D-BE77-40B5319AB755}" name="3" dataDxfId="30"/>
    <tableColumn id="3" xr3:uid="{12F044D8-6B04-8146-9059-0DD6BE8C153F}" name="4" dataDxfId="29"/>
    <tableColumn id="4" xr3:uid="{28314014-34F8-EF4B-AF7B-FC88FF8A6DA9}" name="5" dataDxfId="28"/>
    <tableColumn id="5" xr3:uid="{0BD4A703-F893-784A-B65E-DB2D1E798103}" name="6" dataDxfId="27"/>
    <tableColumn id="6" xr3:uid="{50D9F421-0114-CF41-9767-B830E35DC34D}" name="7" dataDxfId="26"/>
    <tableColumn id="7" xr3:uid="{E0DD0445-0346-1E47-9A2C-83486C4A03C4}" name="8" dataDxfId="25"/>
    <tableColumn id="8" xr3:uid="{5556115A-B62B-C140-944D-BADBB061EBB5}" name="9" dataDxfId="24"/>
    <tableColumn id="9" xr3:uid="{1B92E407-F94E-544F-B76D-B160EB3BC0AB}" name="10" dataDxfId="23"/>
    <tableColumn id="16" xr3:uid="{477FCE05-50AC-E041-A19F-AE885A129281}" name="11" dataDxfId="22"/>
    <tableColumn id="10" xr3:uid="{6871B4E2-64FC-EF4F-91D7-DFBFD9EFB3C2}" name="12" dataDxfId="21"/>
    <tableColumn id="17" xr3:uid="{6C15AEDE-928C-3D4B-A704-A41F23D110B9}" name="13" dataDxfId="20"/>
    <tableColumn id="18" xr3:uid="{E6B0F013-5306-024F-B507-0CA2696995F1}" name="14" dataDxfId="19"/>
    <tableColumn id="11" xr3:uid="{059EBDD8-5269-D041-AFDD-56AB88BB8F27}" name="15" dataDxfId="18"/>
    <tableColumn id="15" xr3:uid="{10A0FF2E-0DFB-EB42-B7BA-5361345C2746}" name="average" dataDxfId="17">
      <calculatedColumnFormula>_xlfn.LET(_xlpm.d,$D2:$P2,AVERAGE(_xlpm.d))</calculatedColumnFormula>
    </tableColumn>
    <tableColumn id="12" xr3:uid="{A6241437-628E-B649-BE98-72F550E42AC5}" name="Note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0ADB-3FBC-4946-87CC-0BB78E9DBD22}">
  <dimension ref="A1:R42"/>
  <sheetViews>
    <sheetView tabSelected="1" workbookViewId="0">
      <pane xSplit="9080" ySplit="3520" topLeftCell="A23" activePane="bottomRight"/>
      <selection activeCell="D2" sqref="D2:D36"/>
      <selection pane="topRight" activeCell="O2" sqref="O2:O36"/>
      <selection pane="bottomLeft" activeCell="A27" sqref="A27:XFD28"/>
      <selection pane="bottomRight" activeCell="C24" sqref="C24"/>
    </sheetView>
  </sheetViews>
  <sheetFormatPr baseColWidth="10" defaultRowHeight="30" customHeight="1"/>
  <cols>
    <col min="1" max="1" width="10.375" customWidth="1"/>
    <col min="2" max="2" width="7.125" customWidth="1"/>
    <col min="3" max="3" width="12.875" customWidth="1"/>
    <col min="4" max="17" width="5.875" customWidth="1"/>
  </cols>
  <sheetData>
    <row r="1" spans="1:18" ht="30" customHeight="1">
      <c r="A1" t="s">
        <v>37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48</v>
      </c>
      <c r="M1" t="s">
        <v>9</v>
      </c>
      <c r="N1" t="s">
        <v>49</v>
      </c>
      <c r="O1" t="s">
        <v>50</v>
      </c>
      <c r="P1" t="s">
        <v>10</v>
      </c>
      <c r="Q1" t="s">
        <v>47</v>
      </c>
      <c r="R1" t="s">
        <v>36</v>
      </c>
    </row>
    <row r="2" spans="1:18" ht="30" customHeight="1">
      <c r="A2" t="str">
        <f>_xlfn.LET(_xlpm.c,_xlfn.SINGLE(Table13[condition]),_xlfn.TEXTBEFORE(_xlpm.c,"-"))</f>
        <v>arabic</v>
      </c>
      <c r="B2">
        <f>_xlfn.LET(_xlpm.c,_xlfn.SINGLE(Table13[condition]),IF(RIGHT(_xlpm.c,2)="1g",1,0))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 t="shared" ref="Q2:Q26" si="0">_xlfn.LET(_xlpm.d,$D2:$P2,AVERAGE(_xlpm.d))</f>
        <v>1</v>
      </c>
      <c r="R2" s="1"/>
    </row>
    <row r="3" spans="1:18" ht="30" customHeight="1">
      <c r="A3" t="str">
        <f>_xlfn.LET(_xlpm.c,_xlfn.SINGLE(Table13[condition]),_xlfn.TEXTBEFORE(_xlpm.c,"-"))</f>
        <v>arabic</v>
      </c>
      <c r="B3">
        <f>_xlfn.LET(_xlpm.c,_xlfn.SINGLE(Table13[condition]),IF(RIGHT(_xlpm.c,2)="1g",1,0))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si="0"/>
        <v>1</v>
      </c>
      <c r="R3" s="1"/>
    </row>
    <row r="4" spans="1:18" ht="30" customHeight="1">
      <c r="A4" t="str">
        <f>_xlfn.LET(_xlpm.c,_xlfn.SINGLE(Table13[condition]),_xlfn.TEXTBEFORE(_xlpm.c,"-"))</f>
        <v>arabic</v>
      </c>
      <c r="B4">
        <f>_xlfn.LET(_xlpm.c,_xlfn.SINGLE(Table13[condition]),IF(RIGHT(_xlpm.c,2)="1g",1,0))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0.98985745911693301</v>
      </c>
      <c r="P4" s="1">
        <v>1</v>
      </c>
      <c r="Q4" s="1">
        <f t="shared" si="0"/>
        <v>0.9992198045474564</v>
      </c>
      <c r="R4" s="1"/>
    </row>
    <row r="5" spans="1:18" ht="30" customHeight="1">
      <c r="A5" t="str">
        <f>_xlfn.LET(_xlpm.c,_xlfn.SINGLE(Table13[condition]),_xlfn.TEXTBEFORE(_xlpm.c,"-"))</f>
        <v>arabic</v>
      </c>
      <c r="B5">
        <f>_xlfn.LET(_xlpm.c,_xlfn.SINGLE(Table13[condition]),IF(RIGHT(_xlpm.c,2)="1g",1,0))</f>
        <v>0</v>
      </c>
      <c r="C5" t="s">
        <v>14</v>
      </c>
      <c r="D5" s="1">
        <v>1</v>
      </c>
      <c r="E5" s="1">
        <v>1</v>
      </c>
      <c r="F5" s="1">
        <v>1</v>
      </c>
      <c r="G5" s="1">
        <v>1</v>
      </c>
      <c r="H5" s="1">
        <v>0.97421241817354798</v>
      </c>
      <c r="I5" s="1">
        <v>1</v>
      </c>
      <c r="J5" s="1">
        <v>0.96535651033562897</v>
      </c>
      <c r="K5" s="1">
        <v>1</v>
      </c>
      <c r="L5" s="1">
        <v>1</v>
      </c>
      <c r="M5" s="1">
        <v>1</v>
      </c>
      <c r="N5" s="1">
        <v>0.97669130702136098</v>
      </c>
      <c r="O5" s="1">
        <v>0.97725722724702602</v>
      </c>
      <c r="P5" s="1">
        <v>1</v>
      </c>
      <c r="Q5" s="1">
        <f t="shared" si="0"/>
        <v>0.99180903559827405</v>
      </c>
      <c r="R5" s="1"/>
    </row>
    <row r="6" spans="1:18" ht="30" customHeight="1">
      <c r="A6" t="str">
        <f>_xlfn.LET(_xlpm.c,_xlfn.SINGLE(Table13[condition]),_xlfn.TEXTBEFORE(_xlpm.c,"-"))</f>
        <v>arabic</v>
      </c>
      <c r="B6">
        <f>_xlfn.LET(_xlpm.c,_xlfn.SINGLE(Table13[condition]),IF(RIGHT(_xlpm.c,2)="1g",1,0))</f>
        <v>0</v>
      </c>
      <c r="C6" t="s">
        <v>15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0.99870122641009995</v>
      </c>
      <c r="M6" s="1">
        <v>0.99846141828072399</v>
      </c>
      <c r="N6" s="1">
        <v>1</v>
      </c>
      <c r="O6" s="1">
        <v>0.99599363096053195</v>
      </c>
      <c r="P6" s="1">
        <v>1</v>
      </c>
      <c r="Q6" s="1">
        <f t="shared" si="0"/>
        <v>0.99947355966548901</v>
      </c>
      <c r="R6" s="1"/>
    </row>
    <row r="7" spans="1:18" ht="30" customHeight="1">
      <c r="A7" t="str">
        <f>_xlfn.LET(_xlpm.c,_xlfn.SINGLE(Table13[condition]),_xlfn.TEXTBEFORE(_xlpm.c,"-"))</f>
        <v>english</v>
      </c>
      <c r="B7">
        <f>_xlfn.LET(_xlpm.c,_xlfn.SINGLE(Table13[condition]),IF(RIGHT(_xlpm.c,2)="1g",1,0))</f>
        <v>1</v>
      </c>
      <c r="C7" t="s">
        <v>16</v>
      </c>
      <c r="D7" s="1">
        <v>1</v>
      </c>
      <c r="E7" s="1">
        <v>0.89834333684801704</v>
      </c>
      <c r="F7" s="1">
        <v>0.93905855996239795</v>
      </c>
      <c r="G7" s="1">
        <v>0.91571308421250097</v>
      </c>
      <c r="H7" s="1">
        <v>0.79226683850860802</v>
      </c>
      <c r="I7" s="1">
        <v>0.87438190735010801</v>
      </c>
      <c r="J7" s="1">
        <v>0.85055437090408104</v>
      </c>
      <c r="K7" s="1">
        <v>0.81182395703453802</v>
      </c>
      <c r="L7" s="1">
        <v>0.65992268757726102</v>
      </c>
      <c r="M7" s="1">
        <v>0.70167856511465099</v>
      </c>
      <c r="N7" s="1">
        <v>0.80785160222173802</v>
      </c>
      <c r="O7" s="1">
        <v>0.77310100347595601</v>
      </c>
      <c r="P7" s="1">
        <v>0.79983572747920895</v>
      </c>
      <c r="Q7" s="1">
        <f t="shared" si="0"/>
        <v>0.83265628005300507</v>
      </c>
      <c r="R7" s="1"/>
    </row>
    <row r="8" spans="1:18" ht="30" customHeight="1">
      <c r="A8" t="str">
        <f>_xlfn.LET(_xlpm.c,_xlfn.SINGLE(Table13[condition]),_xlfn.TEXTBEFORE(_xlpm.c,"-"))</f>
        <v>english</v>
      </c>
      <c r="B8">
        <f>_xlfn.LET(_xlpm.c,_xlfn.SINGLE(Table13[condition]),IF(RIGHT(_xlpm.c,2)="1g",1,0))</f>
        <v>0</v>
      </c>
      <c r="C8" t="s">
        <v>17</v>
      </c>
      <c r="D8" s="1">
        <v>0.70298006237652599</v>
      </c>
      <c r="E8" s="1">
        <v>0.75382430566891601</v>
      </c>
      <c r="F8" s="1">
        <v>0.71223883198594695</v>
      </c>
      <c r="G8" s="1">
        <v>0.74414404953067803</v>
      </c>
      <c r="H8" s="1">
        <v>0.77804339395865096</v>
      </c>
      <c r="I8" s="1">
        <v>0.73666953952829695</v>
      </c>
      <c r="J8" s="1">
        <v>0.70994475887499597</v>
      </c>
      <c r="K8" s="1">
        <v>0.75859842554107704</v>
      </c>
      <c r="L8" s="1">
        <v>0.85562207082451303</v>
      </c>
      <c r="M8" s="1">
        <v>0.66504840058873904</v>
      </c>
      <c r="N8" s="1">
        <v>0.54485049833887</v>
      </c>
      <c r="O8" s="1">
        <v>0.68534227133525505</v>
      </c>
      <c r="P8" s="1">
        <v>0.566777209087586</v>
      </c>
      <c r="Q8" s="1">
        <f t="shared" si="0"/>
        <v>0.70877567828000398</v>
      </c>
      <c r="R8" s="1"/>
    </row>
    <row r="9" spans="1:18" ht="30" customHeight="1">
      <c r="A9" t="str">
        <f>_xlfn.LET(_xlpm.c,_xlfn.SINGLE(Table13[condition]),_xlfn.TEXTBEFORE(_xlpm.c,"-"))</f>
        <v>english</v>
      </c>
      <c r="B9">
        <f>_xlfn.LET(_xlpm.c,_xlfn.SINGLE(Table13[condition]),IF(RIGHT(_xlpm.c,2)="1g",1,0))</f>
        <v>0</v>
      </c>
      <c r="C9" t="s">
        <v>18</v>
      </c>
      <c r="D9" s="1">
        <v>0.71201156241404995</v>
      </c>
      <c r="E9" s="1">
        <v>0.76025744859454103</v>
      </c>
      <c r="F9" s="1">
        <v>0.74430453080469705</v>
      </c>
      <c r="G9" s="1">
        <v>0.808883007951538</v>
      </c>
      <c r="H9" s="1">
        <v>0.763372941988539</v>
      </c>
      <c r="I9" s="1">
        <v>0.73889710029260303</v>
      </c>
      <c r="J9" s="1">
        <v>0.73557321980733203</v>
      </c>
      <c r="K9" s="1">
        <v>0.70782848606279103</v>
      </c>
      <c r="L9" s="1">
        <v>0.73694735954634305</v>
      </c>
      <c r="M9" s="1">
        <v>0.68634784174572605</v>
      </c>
      <c r="N9" s="1">
        <v>0.64565481454872198</v>
      </c>
      <c r="O9" s="1">
        <v>0.74772135955462904</v>
      </c>
      <c r="P9" s="1">
        <v>0.75768109961816998</v>
      </c>
      <c r="Q9" s="1">
        <f t="shared" si="0"/>
        <v>0.73426775176382164</v>
      </c>
      <c r="R9" s="1"/>
    </row>
    <row r="10" spans="1:18" ht="30" customHeight="1">
      <c r="A10" t="str">
        <f>_xlfn.LET(_xlpm.c,_xlfn.SINGLE(Table13[condition]),_xlfn.TEXTBEFORE(_xlpm.c,"-"))</f>
        <v>english</v>
      </c>
      <c r="B10">
        <f>_xlfn.LET(_xlpm.c,_xlfn.SINGLE(Table13[condition]),IF(RIGHT(_xlpm.c,2)="1g",1,0))</f>
        <v>0</v>
      </c>
      <c r="C10" t="s">
        <v>19</v>
      </c>
      <c r="D10" s="1">
        <v>0.86083812832946804</v>
      </c>
      <c r="E10" s="1">
        <v>0.85907176734163604</v>
      </c>
      <c r="F10" s="1">
        <v>0.89031650636727699</v>
      </c>
      <c r="G10" s="1">
        <v>0.79400003777693495</v>
      </c>
      <c r="H10" s="1">
        <v>0.86435590551298802</v>
      </c>
      <c r="I10" s="1">
        <v>0.72572535631221702</v>
      </c>
      <c r="J10" s="1">
        <v>0.73373307106137897</v>
      </c>
      <c r="K10" s="1">
        <v>0.769138997087221</v>
      </c>
      <c r="L10" s="1">
        <v>0.67046073024745201</v>
      </c>
      <c r="M10" s="1">
        <v>0.699725151344195</v>
      </c>
      <c r="N10" s="1">
        <v>0.75195114720164602</v>
      </c>
      <c r="O10" s="1">
        <v>0.73054410040791395</v>
      </c>
      <c r="P10" s="1">
        <v>0.838286818484828</v>
      </c>
      <c r="Q10" s="1">
        <f t="shared" si="0"/>
        <v>0.783703670575012</v>
      </c>
      <c r="R10" s="1"/>
    </row>
    <row r="11" spans="1:18" ht="30" customHeight="1">
      <c r="A11" t="str">
        <f>_xlfn.LET(_xlpm.c,_xlfn.SINGLE(Table13[condition]),_xlfn.TEXTBEFORE(_xlpm.c,"-"))</f>
        <v>english</v>
      </c>
      <c r="B11">
        <f>_xlfn.LET(_xlpm.c,_xlfn.SINGLE(Table13[condition]),IF(RIGHT(_xlpm.c,2)="1g",1,0))</f>
        <v>0</v>
      </c>
      <c r="C11" t="s">
        <v>20</v>
      </c>
      <c r="D11" s="1">
        <v>0.88742099865935098</v>
      </c>
      <c r="E11" s="1">
        <v>0.79461150194061703</v>
      </c>
      <c r="F11" s="1">
        <v>0.792903996451787</v>
      </c>
      <c r="G11" s="1">
        <v>0.78023117517847995</v>
      </c>
      <c r="H11" s="1">
        <v>0.76825992356013195</v>
      </c>
      <c r="I11" s="1">
        <v>0.78827390343419201</v>
      </c>
      <c r="J11" s="1">
        <v>0.79400592979145901</v>
      </c>
      <c r="K11" s="1">
        <v>0.77601619692942303</v>
      </c>
      <c r="L11" s="1">
        <v>0.80387701215485097</v>
      </c>
      <c r="M11" s="1">
        <v>0.69194798152856196</v>
      </c>
      <c r="N11" s="1">
        <v>0.61019225754756101</v>
      </c>
      <c r="O11" s="1">
        <v>0.65247623915157305</v>
      </c>
      <c r="P11" s="1">
        <v>0.72328777661393695</v>
      </c>
      <c r="Q11" s="1">
        <f t="shared" si="0"/>
        <v>0.75873114561091737</v>
      </c>
      <c r="R11" s="1"/>
    </row>
    <row r="12" spans="1:18" ht="30" customHeight="1">
      <c r="A12" t="str">
        <f>_xlfn.LET(_xlpm.c,_xlfn.SINGLE(Table13[condition]),_xlfn.TEXTBEFORE(_xlpm.c,"-"))</f>
        <v>french</v>
      </c>
      <c r="B12">
        <f>_xlfn.LET(_xlpm.c,_xlfn.SINGLE(Table13[condition]),IF(RIGHT(_xlpm.c,2)="1g",1,0))</f>
        <v>1</v>
      </c>
      <c r="C12" t="s">
        <v>21</v>
      </c>
      <c r="D12" s="1">
        <v>1</v>
      </c>
      <c r="E12" s="1">
        <v>0.95670538250060999</v>
      </c>
      <c r="F12" s="1">
        <v>0.88028597175907797</v>
      </c>
      <c r="G12" s="1">
        <v>0.91480382175821595</v>
      </c>
      <c r="H12" s="1">
        <v>0.87438190735010801</v>
      </c>
      <c r="I12" s="1">
        <v>0.89683062075589104</v>
      </c>
      <c r="J12" s="1">
        <v>0.79345937663430499</v>
      </c>
      <c r="K12" s="1">
        <v>0.85266807779318499</v>
      </c>
      <c r="L12" s="1">
        <v>0.77864910507445395</v>
      </c>
      <c r="M12" s="1">
        <v>0.85313597784294204</v>
      </c>
      <c r="N12" s="1">
        <v>0.78690259843390697</v>
      </c>
      <c r="O12" s="1">
        <v>0.79870914640663804</v>
      </c>
      <c r="P12" s="1">
        <v>0.80814395334178701</v>
      </c>
      <c r="Q12" s="1">
        <f t="shared" si="0"/>
        <v>0.86112891843470152</v>
      </c>
      <c r="R12" s="1"/>
    </row>
    <row r="13" spans="1:18" ht="30" customHeight="1">
      <c r="A13" t="str">
        <f>_xlfn.LET(_xlpm.c,_xlfn.SINGLE(Table13[condition]),_xlfn.TEXTBEFORE(_xlpm.c,"-"))</f>
        <v>french</v>
      </c>
      <c r="B13">
        <f>_xlfn.LET(_xlpm.c,_xlfn.SINGLE(Table13[condition]),IF(RIGHT(_xlpm.c,2)="1g",1,0))</f>
        <v>0</v>
      </c>
      <c r="C13" t="s">
        <v>22</v>
      </c>
      <c r="D13" s="1">
        <v>0.75050239390361295</v>
      </c>
      <c r="E13" s="1">
        <v>0.79600815807648995</v>
      </c>
      <c r="F13" s="1">
        <v>0.760066624681627</v>
      </c>
      <c r="G13" s="1">
        <v>0.78638708971315396</v>
      </c>
      <c r="H13" s="1">
        <v>0.76832410531770701</v>
      </c>
      <c r="I13" s="1">
        <v>0.75272083960537295</v>
      </c>
      <c r="J13" s="1">
        <v>0.77431808492061205</v>
      </c>
      <c r="K13" s="1">
        <v>0.81975113593430005</v>
      </c>
      <c r="L13" s="1">
        <v>0.68024551336855199</v>
      </c>
      <c r="M13" s="1">
        <v>0.80904851695041502</v>
      </c>
      <c r="N13" s="1">
        <v>0.668156435733818</v>
      </c>
      <c r="O13" s="1">
        <v>0.70668971373145895</v>
      </c>
      <c r="P13" s="1">
        <v>0.70847190269062899</v>
      </c>
      <c r="Q13" s="1">
        <f t="shared" si="0"/>
        <v>0.75236080881751921</v>
      </c>
      <c r="R13" s="1"/>
    </row>
    <row r="14" spans="1:18" ht="30" customHeight="1">
      <c r="A14" t="str">
        <f>_xlfn.LET(_xlpm.c,_xlfn.SINGLE(Table13[condition]),_xlfn.TEXTBEFORE(_xlpm.c,"-"))</f>
        <v>french</v>
      </c>
      <c r="B14">
        <f>_xlfn.LET(_xlpm.c,_xlfn.SINGLE(Table13[condition]),IF(RIGHT(_xlpm.c,2)="1g",1,0))</f>
        <v>0</v>
      </c>
      <c r="C14" t="s">
        <v>23</v>
      </c>
      <c r="D14" s="1">
        <v>0.75476096399437498</v>
      </c>
      <c r="E14" s="1">
        <v>0.77187090600840602</v>
      </c>
      <c r="F14" s="1">
        <v>0.76071204669523795</v>
      </c>
      <c r="G14" s="1">
        <v>0.81353078031020098</v>
      </c>
      <c r="H14" s="1">
        <v>0.77345606293589897</v>
      </c>
      <c r="I14" s="1">
        <v>0.77402005108493199</v>
      </c>
      <c r="J14" s="1">
        <v>0.74528580531756194</v>
      </c>
      <c r="K14" s="1">
        <v>0.80052527989617395</v>
      </c>
      <c r="L14" s="1">
        <v>0.78216900289023605</v>
      </c>
      <c r="M14" s="1">
        <v>0.74083669577183797</v>
      </c>
      <c r="N14" s="1">
        <v>0.69539065069203798</v>
      </c>
      <c r="O14" s="1">
        <v>0.72600798287710699</v>
      </c>
      <c r="P14" s="1">
        <v>0.69557310122720195</v>
      </c>
      <c r="Q14" s="1">
        <f t="shared" si="0"/>
        <v>0.75647225613086222</v>
      </c>
      <c r="R14" s="1"/>
    </row>
    <row r="15" spans="1:18" ht="30" customHeight="1">
      <c r="A15" t="str">
        <f>_xlfn.LET(_xlpm.c,_xlfn.SINGLE(Table13[condition]),_xlfn.TEXTBEFORE(_xlpm.c,"-"))</f>
        <v>french</v>
      </c>
      <c r="B15">
        <f>_xlfn.LET(_xlpm.c,_xlfn.SINGLE(Table13[condition]),IF(RIGHT(_xlpm.c,2)="1g",1,0))</f>
        <v>0</v>
      </c>
      <c r="C15" t="s">
        <v>24</v>
      </c>
      <c r="D15" s="1">
        <v>0.82899829198757202</v>
      </c>
      <c r="E15" s="1">
        <v>0.81238840282178004</v>
      </c>
      <c r="F15" s="1">
        <v>0.84428081808911204</v>
      </c>
      <c r="G15" s="1">
        <v>0.89161842741313901</v>
      </c>
      <c r="H15" s="1">
        <v>0.79730526820785097</v>
      </c>
      <c r="I15" s="1">
        <v>0.79111950062627201</v>
      </c>
      <c r="J15" s="1">
        <v>0.82822544777307605</v>
      </c>
      <c r="K15" s="1">
        <v>0.75694595052353297</v>
      </c>
      <c r="L15" s="1">
        <v>0.82370067459317098</v>
      </c>
      <c r="M15" s="1">
        <v>0.73968698407002498</v>
      </c>
      <c r="N15" s="1">
        <v>0.81829760848446698</v>
      </c>
      <c r="O15" s="1">
        <v>0.79012929249684505</v>
      </c>
      <c r="P15" s="1">
        <v>0.76648712990730905</v>
      </c>
      <c r="Q15" s="1">
        <f t="shared" si="0"/>
        <v>0.80686029207647336</v>
      </c>
      <c r="R15" s="1"/>
    </row>
    <row r="16" spans="1:18" ht="30" customHeight="1">
      <c r="A16" t="str">
        <f>_xlfn.LET(_xlpm.c,_xlfn.SINGLE(Table13[condition]),_xlfn.TEXTBEFORE(_xlpm.c,"-"))</f>
        <v>french</v>
      </c>
      <c r="B16">
        <f>_xlfn.LET(_xlpm.c,_xlfn.SINGLE(Table13[condition]),IF(RIGHT(_xlpm.c,2)="1g",1,0))</f>
        <v>0</v>
      </c>
      <c r="C16" t="s">
        <v>25</v>
      </c>
      <c r="D16" s="1">
        <v>0.91391572412824695</v>
      </c>
      <c r="E16" s="1">
        <v>0.84583483336038701</v>
      </c>
      <c r="F16" s="1">
        <v>0.87106993909646202</v>
      </c>
      <c r="G16" s="1">
        <v>0.80712887562205204</v>
      </c>
      <c r="H16" s="1">
        <v>0.85315087139991597</v>
      </c>
      <c r="I16" s="1">
        <v>0.82434738517022199</v>
      </c>
      <c r="J16" s="1">
        <v>0.75339718488236995</v>
      </c>
      <c r="K16" s="1">
        <v>0.804523851666335</v>
      </c>
      <c r="L16" s="1">
        <v>0.78420089712317098</v>
      </c>
      <c r="M16" s="1">
        <v>0.74543844153240102</v>
      </c>
      <c r="N16" s="1">
        <v>0.82648489506105305</v>
      </c>
      <c r="O16" s="1">
        <v>0.80305094443673797</v>
      </c>
      <c r="P16" s="1">
        <v>0.71251349448384305</v>
      </c>
      <c r="Q16" s="1">
        <f t="shared" si="0"/>
        <v>0.81115825676639985</v>
      </c>
      <c r="R16" s="1"/>
    </row>
    <row r="17" spans="1:18" ht="30" customHeight="1">
      <c r="A17" t="str">
        <f>_xlfn.LET(_xlpm.c,_xlfn.SINGLE(Table13[condition]),_xlfn.TEXTBEFORE(_xlpm.c,"-"))</f>
        <v>german</v>
      </c>
      <c r="B17">
        <f>_xlfn.LET(_xlpm.c,_xlfn.SINGLE(Table13[condition]),IF(RIGHT(_xlpm.c,2)="1g",1,0))</f>
        <v>1</v>
      </c>
      <c r="C17" t="s">
        <v>26</v>
      </c>
      <c r="D17" s="1">
        <v>1</v>
      </c>
      <c r="E17" s="1">
        <v>0.94646378444566504</v>
      </c>
      <c r="F17" s="1">
        <v>0.91658723456998203</v>
      </c>
      <c r="G17" s="1">
        <v>0.88380763709514898</v>
      </c>
      <c r="H17" s="1">
        <v>0.79858874065086805</v>
      </c>
      <c r="I17" s="1">
        <v>0.86106455203010501</v>
      </c>
      <c r="J17" s="1">
        <v>0.79208855966654601</v>
      </c>
      <c r="K17" s="1">
        <v>0.74623931140363498</v>
      </c>
      <c r="L17" s="1">
        <v>0.77521775387084102</v>
      </c>
      <c r="M17" s="1">
        <v>0.74826120000458496</v>
      </c>
      <c r="N17" s="1">
        <v>0.86572351301838701</v>
      </c>
      <c r="O17" s="1">
        <v>0.76040444474880198</v>
      </c>
      <c r="P17" s="1">
        <v>0.81333969569995102</v>
      </c>
      <c r="Q17" s="1">
        <f t="shared" si="0"/>
        <v>0.83906049440034747</v>
      </c>
      <c r="R17" s="1"/>
    </row>
    <row r="18" spans="1:18" ht="30" customHeight="1">
      <c r="A18" t="str">
        <f>_xlfn.LET(_xlpm.c,_xlfn.SINGLE(Table13[condition]),_xlfn.TEXTBEFORE(_xlpm.c,"-"))</f>
        <v>german</v>
      </c>
      <c r="B18">
        <f>_xlfn.LET(_xlpm.c,_xlfn.SINGLE(Table13[condition]),IF(RIGHT(_xlpm.c,2)="1g",1,0))</f>
        <v>0</v>
      </c>
      <c r="C18" t="s">
        <v>27</v>
      </c>
      <c r="D18" s="1">
        <v>0.83640311239162901</v>
      </c>
      <c r="E18" s="1">
        <v>0.79367879824407095</v>
      </c>
      <c r="F18" s="1">
        <v>0.73625384012532502</v>
      </c>
      <c r="G18" s="1">
        <v>0.74120306092655996</v>
      </c>
      <c r="H18" s="1">
        <v>0.78469244692036999</v>
      </c>
      <c r="I18" s="1">
        <v>0.88434925315862301</v>
      </c>
      <c r="J18" s="1">
        <v>0.838202135633769</v>
      </c>
      <c r="K18" s="1">
        <v>0.75919796511314896</v>
      </c>
      <c r="L18" s="1">
        <v>0.68257221984181604</v>
      </c>
      <c r="M18" s="1">
        <v>0.68198984446258004</v>
      </c>
      <c r="N18" s="1">
        <v>0.74217544500417898</v>
      </c>
      <c r="O18" s="1">
        <v>0.79397427978838098</v>
      </c>
      <c r="P18" s="1">
        <v>0.87800698408177102</v>
      </c>
      <c r="Q18" s="1">
        <f t="shared" si="0"/>
        <v>0.78097687582247866</v>
      </c>
      <c r="R18" s="1"/>
    </row>
    <row r="19" spans="1:18" ht="30" customHeight="1">
      <c r="A19" t="str">
        <f>_xlfn.LET(_xlpm.c,_xlfn.SINGLE(Table13[condition]),_xlfn.TEXTBEFORE(_xlpm.c,"-"))</f>
        <v>german</v>
      </c>
      <c r="B19">
        <f>_xlfn.LET(_xlpm.c,_xlfn.SINGLE(Table13[condition]),IF(RIGHT(_xlpm.c,2)="1g",1,0))</f>
        <v>0</v>
      </c>
      <c r="C19" t="s">
        <v>28</v>
      </c>
      <c r="D19" s="1">
        <v>0.90655093191815705</v>
      </c>
      <c r="E19" s="1">
        <v>0.78119338146498796</v>
      </c>
      <c r="F19" s="1">
        <v>0.84542375487916399</v>
      </c>
      <c r="G19" s="1">
        <v>0.78135287627482997</v>
      </c>
      <c r="H19" s="1">
        <v>0.78060139772464099</v>
      </c>
      <c r="I19" s="1">
        <v>0.75157995887350304</v>
      </c>
      <c r="J19" s="1">
        <v>0.75541567722361103</v>
      </c>
      <c r="K19" s="1">
        <v>0.81832344239094601</v>
      </c>
      <c r="L19" s="1">
        <v>0.83609699080150801</v>
      </c>
      <c r="M19" s="1">
        <v>0.80133502584593996</v>
      </c>
      <c r="N19" s="1">
        <v>0.72050286619860804</v>
      </c>
      <c r="O19" s="1">
        <v>0.715242000462191</v>
      </c>
      <c r="P19" s="1">
        <v>0.733920534148364</v>
      </c>
      <c r="Q19" s="1">
        <f t="shared" si="0"/>
        <v>0.78673375678511148</v>
      </c>
      <c r="R19" s="1"/>
    </row>
    <row r="20" spans="1:18" ht="30" customHeight="1">
      <c r="A20" t="str">
        <f>_xlfn.LET(_xlpm.c,_xlfn.SINGLE(Table13[condition]),_xlfn.TEXTBEFORE(_xlpm.c,"-"))</f>
        <v>german</v>
      </c>
      <c r="B20">
        <f>_xlfn.LET(_xlpm.c,_xlfn.SINGLE(Table13[condition]),IF(RIGHT(_xlpm.c,2)="1g",1,0))</f>
        <v>0</v>
      </c>
      <c r="C20" t="s">
        <v>29</v>
      </c>
      <c r="D20" s="1">
        <v>0.81580817639782499</v>
      </c>
      <c r="E20" s="1">
        <v>0.79156338842279494</v>
      </c>
      <c r="F20" s="1">
        <v>0.801324639047026</v>
      </c>
      <c r="G20" s="1">
        <v>0.73362821199264605</v>
      </c>
      <c r="H20" s="1">
        <v>0.762063849545767</v>
      </c>
      <c r="I20" s="1">
        <v>0.76836379227457097</v>
      </c>
      <c r="J20" s="1">
        <v>0.81495209309034899</v>
      </c>
      <c r="K20" s="1">
        <v>0.67965367393075204</v>
      </c>
      <c r="L20" s="1">
        <v>0.71430683041634502</v>
      </c>
      <c r="M20" s="1">
        <v>0.81582547867854904</v>
      </c>
      <c r="N20" s="1">
        <v>0.72119287375985897</v>
      </c>
      <c r="O20" s="1">
        <v>0.76937226244790402</v>
      </c>
      <c r="P20" s="1">
        <v>0.64176644277717199</v>
      </c>
      <c r="Q20" s="1">
        <f t="shared" si="0"/>
        <v>0.75614013175242778</v>
      </c>
      <c r="R20" s="1"/>
    </row>
    <row r="21" spans="1:18" ht="30" customHeight="1">
      <c r="A21" t="str">
        <f>_xlfn.LET(_xlpm.c,_xlfn.SINGLE(Table13[condition]),_xlfn.TEXTBEFORE(_xlpm.c,"-"))</f>
        <v>german</v>
      </c>
      <c r="B21">
        <f>_xlfn.LET(_xlpm.c,_xlfn.SINGLE(Table13[condition]),IF(RIGHT(_xlpm.c,2)="1g",1,0))</f>
        <v>0</v>
      </c>
      <c r="C21" t="s">
        <v>30</v>
      </c>
      <c r="D21" s="1">
        <v>0.81492438387503796</v>
      </c>
      <c r="E21" s="1">
        <v>0.810280196528264</v>
      </c>
      <c r="F21" s="1">
        <v>0.81197447468463502</v>
      </c>
      <c r="G21" s="1">
        <v>0.85708758346374103</v>
      </c>
      <c r="H21" s="1">
        <v>0.82305467217713302</v>
      </c>
      <c r="I21" s="1">
        <v>0.77307420827317797</v>
      </c>
      <c r="J21" s="1">
        <v>0.74240045768874097</v>
      </c>
      <c r="K21" s="1">
        <v>0.750910503326636</v>
      </c>
      <c r="L21" s="1">
        <v>0.76570651253266697</v>
      </c>
      <c r="M21" s="1">
        <v>0.77375221551370099</v>
      </c>
      <c r="N21" s="1">
        <v>0.61724390031240395</v>
      </c>
      <c r="O21" s="1">
        <v>0.70233989278403497</v>
      </c>
      <c r="P21" s="1">
        <v>0.72459253137280599</v>
      </c>
      <c r="Q21" s="1">
        <f t="shared" si="0"/>
        <v>0.76671857942561372</v>
      </c>
      <c r="R21" s="1"/>
    </row>
    <row r="22" spans="1:18" ht="30" customHeight="1">
      <c r="A22" t="str">
        <f>_xlfn.LET(_xlpm.c,_xlfn.SINGLE(Table13[condition]),_xlfn.TEXTBEFORE(_xlpm.c,"-"))</f>
        <v>russian</v>
      </c>
      <c r="B22">
        <f>_xlfn.LET(_xlpm.c,_xlfn.SINGLE(Table13[condition]),IF(RIGHT(_xlpm.c,2)="1g",1,0))</f>
        <v>1</v>
      </c>
      <c r="C22" t="s">
        <v>31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f t="shared" si="0"/>
        <v>1</v>
      </c>
      <c r="R22" s="1"/>
    </row>
    <row r="23" spans="1:18" ht="30" customHeight="1">
      <c r="A23" t="str">
        <f>_xlfn.LET(_xlpm.c,_xlfn.SINGLE(Table13[condition]),_xlfn.TEXTBEFORE(_xlpm.c,"-"))</f>
        <v>russian</v>
      </c>
      <c r="B23">
        <f>_xlfn.LET(_xlpm.c,_xlfn.SINGLE(Table13[condition]),IF(RIGHT(_xlpm.c,2)="1g",1,0))</f>
        <v>0</v>
      </c>
      <c r="C23" t="s">
        <v>32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f t="shared" si="0"/>
        <v>1</v>
      </c>
      <c r="R23" s="1"/>
    </row>
    <row r="24" spans="1:18" ht="30" customHeight="1">
      <c r="A24" t="str">
        <f>_xlfn.LET(_xlpm.c,_xlfn.SINGLE(Table13[condition]),_xlfn.TEXTBEFORE(_xlpm.c,"-"))</f>
        <v>russian</v>
      </c>
      <c r="B24">
        <f>_xlfn.LET(_xlpm.c,_xlfn.SINGLE(Table13[condition]),IF(RIGHT(_xlpm.c,2)="1g",1,0))</f>
        <v>0</v>
      </c>
      <c r="C24" t="s">
        <v>33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 t="shared" si="0"/>
        <v>1</v>
      </c>
      <c r="R24" s="1"/>
    </row>
    <row r="25" spans="1:18" ht="30" customHeight="1">
      <c r="A25" t="str">
        <f>_xlfn.LET(_xlpm.c,_xlfn.SINGLE(Table13[condition]),_xlfn.TEXTBEFORE(_xlpm.c,"-"))</f>
        <v>russian</v>
      </c>
      <c r="B25">
        <f>_xlfn.LET(_xlpm.c,_xlfn.SINGLE(Table13[condition]),IF(RIGHT(_xlpm.c,2)="1g",1,0))</f>
        <v>0</v>
      </c>
      <c r="C25" t="s">
        <v>34</v>
      </c>
      <c r="D25" s="1">
        <v>1</v>
      </c>
      <c r="E25" s="1">
        <v>1</v>
      </c>
      <c r="F25" s="1">
        <v>0.99731090143447798</v>
      </c>
      <c r="G25" s="1">
        <v>1</v>
      </c>
      <c r="H25" s="1">
        <v>1</v>
      </c>
      <c r="I25" s="1">
        <v>1</v>
      </c>
      <c r="J25" s="1">
        <v>0.98697776782947799</v>
      </c>
      <c r="K25" s="1">
        <v>1</v>
      </c>
      <c r="L25" s="1">
        <v>0.99122018263692002</v>
      </c>
      <c r="M25" s="1">
        <v>0.97906019231322605</v>
      </c>
      <c r="N25" s="1">
        <v>0.98979485566356196</v>
      </c>
      <c r="O25" s="1">
        <v>1</v>
      </c>
      <c r="P25" s="1">
        <v>0.96405523348253896</v>
      </c>
      <c r="Q25" s="1">
        <f t="shared" si="0"/>
        <v>0.99295531795078473</v>
      </c>
      <c r="R25" s="1"/>
    </row>
    <row r="26" spans="1:18" ht="30" customHeight="1">
      <c r="A26" t="str">
        <f>_xlfn.LET(_xlpm.c,_xlfn.SINGLE(Table13[condition]),_xlfn.TEXTBEFORE(_xlpm.c,"-"))</f>
        <v>russian</v>
      </c>
      <c r="B26">
        <f>_xlfn.LET(_xlpm.c,_xlfn.SINGLE(Table13[condition]),IF(RIGHT(_xlpm.c,2)="1g",1,0))</f>
        <v>0</v>
      </c>
      <c r="C26" t="s">
        <v>35</v>
      </c>
      <c r="D26" s="1">
        <v>1</v>
      </c>
      <c r="E26" s="1">
        <v>0.980355388232097</v>
      </c>
      <c r="F26" s="1">
        <v>0.99341506295121595</v>
      </c>
      <c r="G26" s="1">
        <v>1</v>
      </c>
      <c r="H26" s="1">
        <v>0.98962630104902005</v>
      </c>
      <c r="I26" s="1">
        <v>1</v>
      </c>
      <c r="J26" s="1">
        <v>0.95296263304560103</v>
      </c>
      <c r="K26" s="1">
        <v>1</v>
      </c>
      <c r="L26" s="1">
        <v>0.95698133971150401</v>
      </c>
      <c r="M26" s="1">
        <v>1</v>
      </c>
      <c r="N26" s="1">
        <v>0.95544514963322802</v>
      </c>
      <c r="O26" s="1">
        <v>0.92168837284602201</v>
      </c>
      <c r="P26" s="1">
        <v>0.754365052314664</v>
      </c>
      <c r="Q26" s="1">
        <f t="shared" si="0"/>
        <v>0.96191071536795014</v>
      </c>
      <c r="R26" s="1"/>
    </row>
    <row r="28" spans="1:18" ht="30" customHeight="1">
      <c r="C28" t="s">
        <v>39</v>
      </c>
    </row>
    <row r="29" spans="1:18" ht="30" customHeight="1">
      <c r="C29" t="s">
        <v>40</v>
      </c>
      <c r="D29" s="2">
        <f>_xlfn.LET(_xlpm.d,D$2:D$26,AVERAGE(_xlpm.d))</f>
        <v>0.91140458921503409</v>
      </c>
      <c r="E29" s="2">
        <f>_xlfn.LET(_xlpm.d,E$2:E$26,AVERAGE(_xlpm.d))</f>
        <v>0.89409803921997122</v>
      </c>
      <c r="F29" s="2">
        <f>_xlfn.LET(_xlpm.d,F$2:F$26,AVERAGE(_xlpm.d))</f>
        <v>0.89190110934341793</v>
      </c>
      <c r="G29" s="2">
        <f>_xlfn.LET(_xlpm.d,G$2:G$26,AVERAGE(_xlpm.d))</f>
        <v>0.89014078876879277</v>
      </c>
      <c r="H29" s="2">
        <f>_xlfn.LET(_xlpm.d,H$2:H$26,AVERAGE(_xlpm.d))</f>
        <v>0.87783028179926992</v>
      </c>
      <c r="I29" s="2">
        <f>_xlfn.LET(_xlpm.d,I$2:I$26,AVERAGE(_xlpm.d))</f>
        <v>0.87765671875080353</v>
      </c>
      <c r="J29" s="2">
        <f>_xlfn.LET(_xlpm.d,J$2:J$26,AVERAGE(_xlpm.d))</f>
        <v>0.86267412337923588</v>
      </c>
      <c r="K29" s="2">
        <f>_xlfn.LET(_xlpm.d,K$2:K$26,AVERAGE(_xlpm.d))</f>
        <v>0.86448581018534787</v>
      </c>
      <c r="L29" s="2">
        <f>_xlfn.LET(_xlpm.d,L$2:L$26,AVERAGE(_xlpm.d))</f>
        <v>0.85186392438486802</v>
      </c>
      <c r="M29" s="2">
        <f>_xlfn.LET(_xlpm.d,M$2:M$26,AVERAGE(_xlpm.d))</f>
        <v>0.84526319726355192</v>
      </c>
      <c r="N29" s="2">
        <f>_xlfn.LET(_xlpm.d,N$2:N$26,AVERAGE(_xlpm.d))</f>
        <v>0.82978009675501641</v>
      </c>
      <c r="O29" s="2">
        <f>_xlfn.LET(_xlpm.d,O$2:O$26,AVERAGE(_xlpm.d))</f>
        <v>0.84159606497103756</v>
      </c>
      <c r="P29" s="2">
        <f>_xlfn.LET(_xlpm.d,P$2:P$26,AVERAGE(_xlpm.d))</f>
        <v>0.83548418747247089</v>
      </c>
      <c r="Q29" s="2">
        <f>_xlfn.LET(_xlpm.d,Q$2:Q$26,AVERAGE(_xlpm.d))</f>
        <v>0.86724453319298589</v>
      </c>
    </row>
    <row r="30" spans="1:18" ht="30" customHeight="1">
      <c r="C30" t="s">
        <v>41</v>
      </c>
      <c r="D30" s="2" cm="1">
        <f t="array" ref="D30">_xlfn.LET(_xlpm.d,D$2:D$26,_xlpm.f,$A$2:$A$26,_xlpm.k,$C30,AVERAGE(_xlfn._xlws.FILTER(_xlpm.d,_xlpm.f=_xlpm.k)))</f>
        <v>1</v>
      </c>
      <c r="E30" s="2" cm="1">
        <f t="array" ref="E30">_xlfn.LET(_xlpm.d,E$2:E$26,_xlpm.f,$A$2:$A$26,_xlpm.k,$C30,AVERAGE(_xlfn._xlws.FILTER(_xlpm.d,_xlpm.f=_xlpm.k)))</f>
        <v>1</v>
      </c>
      <c r="F30" s="2" cm="1">
        <f t="array" ref="F30">_xlfn.LET(_xlpm.d,F$2:F$26,_xlpm.f,$A$2:$A$26,_xlpm.k,$C30,AVERAGE(_xlfn._xlws.FILTER(_xlpm.d,_xlpm.f=_xlpm.k)))</f>
        <v>1</v>
      </c>
      <c r="G30" s="2" cm="1">
        <f t="array" ref="G30">_xlfn.LET(_xlpm.d,G$2:G$26,_xlpm.f,$A$2:$A$26,_xlpm.k,$C30,AVERAGE(_xlfn._xlws.FILTER(_xlpm.d,_xlpm.f=_xlpm.k)))</f>
        <v>1</v>
      </c>
      <c r="H30" s="2" cm="1">
        <f t="array" ref="H30">_xlfn.LET(_xlpm.d,H$2:H$26,_xlpm.f,$A$2:$A$26,_xlpm.k,$C30,AVERAGE(_xlfn._xlws.FILTER(_xlpm.d,_xlpm.f=_xlpm.k)))</f>
        <v>0.99484248363470962</v>
      </c>
      <c r="I30" s="2" cm="1">
        <f t="array" ref="I30">_xlfn.LET(_xlpm.d,I$2:I$26,_xlpm.f,$A$2:$A$26,_xlpm.k,$C30,AVERAGE(_xlfn._xlws.FILTER(_xlpm.d,_xlpm.f=_xlpm.k)))</f>
        <v>1</v>
      </c>
      <c r="J30" s="2" cm="1">
        <f t="array" ref="J30">_xlfn.LET(_xlpm.d,J$2:J$26,_xlpm.f,$A$2:$A$26,_xlpm.k,$C30,AVERAGE(_xlfn._xlws.FILTER(_xlpm.d,_xlpm.f=_xlpm.k)))</f>
        <v>0.99307130206712579</v>
      </c>
      <c r="K30" s="2" cm="1">
        <f t="array" ref="K30">_xlfn.LET(_xlpm.d,K$2:K$26,_xlpm.f,$A$2:$A$26,_xlpm.k,$C30,AVERAGE(_xlfn._xlws.FILTER(_xlpm.d,_xlpm.f=_xlpm.k)))</f>
        <v>1</v>
      </c>
      <c r="L30" s="2" cm="1">
        <f t="array" ref="L30">_xlfn.LET(_xlpm.d,L$2:L$26,_xlpm.f,$A$2:$A$26,_xlpm.k,$C30,AVERAGE(_xlfn._xlws.FILTER(_xlpm.d,_xlpm.f=_xlpm.k)))</f>
        <v>0.99974024528201999</v>
      </c>
      <c r="M30" s="2" cm="1">
        <f t="array" ref="M30">_xlfn.LET(_xlpm.d,M$2:M$26,_xlpm.f,$A$2:$A$26,_xlpm.k,$C30,AVERAGE(_xlfn._xlws.FILTER(_xlpm.d,_xlpm.f=_xlpm.k)))</f>
        <v>0.99969228365614471</v>
      </c>
      <c r="N30" s="2" cm="1">
        <f t="array" ref="N30">_xlfn.LET(_xlpm.d,N$2:N$26,_xlpm.f,$A$2:$A$26,_xlpm.k,$C30,AVERAGE(_xlfn._xlws.FILTER(_xlpm.d,_xlpm.f=_xlpm.k)))</f>
        <v>0.99533826140427217</v>
      </c>
      <c r="O30" s="2" cm="1">
        <f t="array" ref="O30">_xlfn.LET(_xlpm.d,O$2:O$26,_xlpm.f,$A$2:$A$26,_xlpm.k,$C30,AVERAGE(_xlfn._xlws.FILTER(_xlpm.d,_xlpm.f=_xlpm.k)))</f>
        <v>0.99262166346489822</v>
      </c>
      <c r="P30" s="2" cm="1">
        <f t="array" ref="P30">_xlfn.LET(_xlpm.d,P$2:P$26,_xlpm.f,$A$2:$A$26,_xlpm.k,$C30,AVERAGE(_xlfn._xlws.FILTER(_xlpm.d,_xlpm.f=_xlpm.k)))</f>
        <v>1</v>
      </c>
      <c r="Q30" s="2" cm="1">
        <f t="array" ref="Q30">_xlfn.LET(_xlpm.d,Q$2:Q$26,_xlpm.f,$A$2:$A$26,_xlpm.k,$C30,AVERAGE(_xlfn._xlws.FILTER(_xlpm.d,_xlpm.f=_xlpm.k)))</f>
        <v>0.99810047996224383</v>
      </c>
    </row>
    <row r="31" spans="1:18" ht="30" customHeight="1">
      <c r="C31" t="s">
        <v>42</v>
      </c>
      <c r="D31" s="2" cm="1">
        <f t="array" ref="D31">_xlfn.LET(_xlpm.d,D$2:D$26,_xlpm.f,$A$2:$A$26,_xlpm.k,$C31,AVERAGE(_xlfn._xlws.FILTER(_xlpm.d,_xlpm.f=_xlpm.k)))</f>
        <v>0.83265015035587897</v>
      </c>
      <c r="E31" s="2" cm="1">
        <f t="array" ref="E31">_xlfn.LET(_xlpm.d,E$2:E$26,_xlpm.f,$A$2:$A$26,_xlpm.k,$C31,AVERAGE(_xlfn._xlws.FILTER(_xlpm.d,_xlpm.f=_xlpm.k)))</f>
        <v>0.81322167207874541</v>
      </c>
      <c r="F31" s="2" cm="1">
        <f t="array" ref="F31">_xlfn.LET(_xlpm.d,F$2:F$26,_xlpm.f,$A$2:$A$26,_xlpm.k,$C31,AVERAGE(_xlfn._xlws.FILTER(_xlpm.d,_xlpm.f=_xlpm.k)))</f>
        <v>0.81576448511442123</v>
      </c>
      <c r="G31" s="2" cm="1">
        <f t="array" ref="G31">_xlfn.LET(_xlpm.d,G$2:G$26,_xlpm.f,$A$2:$A$26,_xlpm.k,$C31,AVERAGE(_xlfn._xlws.FILTER(_xlpm.d,_xlpm.f=_xlpm.k)))</f>
        <v>0.80859427093002645</v>
      </c>
      <c r="H31" s="2" cm="1">
        <f t="array" ref="H31">_xlfn.LET(_xlpm.d,H$2:H$26,_xlpm.f,$A$2:$A$26,_xlpm.k,$C31,AVERAGE(_xlfn._xlws.FILTER(_xlpm.d,_xlpm.f=_xlpm.k)))</f>
        <v>0.79325980070578361</v>
      </c>
      <c r="I31" s="2" cm="1">
        <f t="array" ref="I31">_xlfn.LET(_xlpm.d,I$2:I$26,_xlpm.f,$A$2:$A$26,_xlpm.k,$C31,AVERAGE(_xlfn._xlws.FILTER(_xlpm.d,_xlpm.f=_xlpm.k)))</f>
        <v>0.77278956138348343</v>
      </c>
      <c r="J31" s="2" cm="1">
        <f t="array" ref="J31">_xlfn.LET(_xlpm.d,J$2:J$26,_xlpm.f,$A$2:$A$26,_xlpm.k,$C31,AVERAGE(_xlfn._xlws.FILTER(_xlpm.d,_xlpm.f=_xlpm.k)))</f>
        <v>0.76476227008784936</v>
      </c>
      <c r="K31" s="2" cm="1">
        <f t="array" ref="K31">_xlfn.LET(_xlpm.d,K$2:K$26,_xlpm.f,$A$2:$A$26,_xlpm.k,$C31,AVERAGE(_xlfn._xlws.FILTER(_xlpm.d,_xlpm.f=_xlpm.k)))</f>
        <v>0.76468121253101007</v>
      </c>
      <c r="L31" s="2" cm="1">
        <f t="array" ref="L31">_xlfn.LET(_xlpm.d,L$2:L$26,_xlpm.f,$A$2:$A$26,_xlpm.k,$C31,AVERAGE(_xlfn._xlws.FILTER(_xlpm.d,_xlpm.f=_xlpm.k)))</f>
        <v>0.74536597207008404</v>
      </c>
      <c r="M31" s="2" cm="1">
        <f t="array" ref="M31">_xlfn.LET(_xlpm.d,M$2:M$26,_xlpm.f,$A$2:$A$26,_xlpm.k,$C31,AVERAGE(_xlfn._xlws.FILTER(_xlpm.d,_xlpm.f=_xlpm.k)))</f>
        <v>0.68894958806437456</v>
      </c>
      <c r="N31" s="2" cm="1">
        <f t="array" ref="N31">_xlfn.LET(_xlpm.d,N$2:N$26,_xlpm.f,$A$2:$A$26,_xlpm.k,$C31,AVERAGE(_xlfn._xlws.FILTER(_xlpm.d,_xlpm.f=_xlpm.k)))</f>
        <v>0.67210006397170752</v>
      </c>
      <c r="O31" s="2" cm="1">
        <f t="array" ref="O31">_xlfn.LET(_xlpm.d,O$2:O$26,_xlpm.f,$A$2:$A$26,_xlpm.k,$C31,AVERAGE(_xlfn._xlws.FILTER(_xlpm.d,_xlpm.f=_xlpm.k)))</f>
        <v>0.71783699478506546</v>
      </c>
      <c r="P31" s="2" cm="1">
        <f t="array" ref="P31">_xlfn.LET(_xlpm.d,P$2:P$26,_xlpm.f,$A$2:$A$26,_xlpm.k,$C31,AVERAGE(_xlfn._xlws.FILTER(_xlpm.d,_xlpm.f=_xlpm.k)))</f>
        <v>0.73717372625674604</v>
      </c>
      <c r="Q31" s="2" cm="1">
        <f t="array" ref="Q31">_xlfn.LET(_xlpm.d,Q$2:Q$26,_xlpm.f,$A$2:$A$26,_xlpm.k,$C31,AVERAGE(_xlfn._xlws.FILTER(_xlpm.d,_xlpm.f=_xlpm.k)))</f>
        <v>0.76362690525655208</v>
      </c>
    </row>
    <row r="32" spans="1:18" ht="30" customHeight="1">
      <c r="C32" t="s">
        <v>43</v>
      </c>
      <c r="D32" s="2" cm="1">
        <f t="array" ref="D32">_xlfn.LET(_xlpm.d,D$2:D$26,_xlpm.f,$A$2:$A$26,_xlpm.k,$C32,AVERAGE(_xlfn._xlws.FILTER(_xlpm.d,_xlpm.f=_xlpm.k)))</f>
        <v>0.84963547480276136</v>
      </c>
      <c r="E32" s="2" cm="1">
        <f t="array" ref="E32">_xlfn.LET(_xlpm.d,E$2:E$26,_xlpm.f,$A$2:$A$26,_xlpm.k,$C32,AVERAGE(_xlfn._xlws.FILTER(_xlpm.d,_xlpm.f=_xlpm.k)))</f>
        <v>0.8365615365535346</v>
      </c>
      <c r="F32" s="2" cm="1">
        <f t="array" ref="F32">_xlfn.LET(_xlpm.d,F$2:F$26,_xlpm.f,$A$2:$A$26,_xlpm.k,$C32,AVERAGE(_xlfn._xlws.FILTER(_xlpm.d,_xlpm.f=_xlpm.k)))</f>
        <v>0.82328308006430329</v>
      </c>
      <c r="G32" s="2" cm="1">
        <f t="array" ref="G32">_xlfn.LET(_xlpm.d,G$2:G$26,_xlpm.f,$A$2:$A$26,_xlpm.k,$C32,AVERAGE(_xlfn._xlws.FILTER(_xlpm.d,_xlpm.f=_xlpm.k)))</f>
        <v>0.84269379896335239</v>
      </c>
      <c r="H32" s="2" cm="1">
        <f t="array" ref="H32">_xlfn.LET(_xlpm.d,H$2:H$26,_xlpm.f,$A$2:$A$26,_xlpm.k,$C32,AVERAGE(_xlfn._xlws.FILTER(_xlpm.d,_xlpm.f=_xlpm.k)))</f>
        <v>0.8133236430422961</v>
      </c>
      <c r="I32" s="2" cm="1">
        <f t="array" ref="I32">_xlfn.LET(_xlpm.d,I$2:I$26,_xlpm.f,$A$2:$A$26,_xlpm.k,$C32,AVERAGE(_xlfn._xlws.FILTER(_xlpm.d,_xlpm.f=_xlpm.k)))</f>
        <v>0.80780767944853804</v>
      </c>
      <c r="J32" s="2" cm="1">
        <f t="array" ref="J32">_xlfn.LET(_xlpm.d,J$2:J$26,_xlpm.f,$A$2:$A$26,_xlpm.k,$C32,AVERAGE(_xlfn._xlws.FILTER(_xlpm.d,_xlpm.f=_xlpm.k)))</f>
        <v>0.77893717990558498</v>
      </c>
      <c r="K32" s="2" cm="1">
        <f t="array" ref="K32">_xlfn.LET(_xlpm.d,K$2:K$26,_xlpm.f,$A$2:$A$26,_xlpm.k,$C32,AVERAGE(_xlfn._xlws.FILTER(_xlpm.d,_xlpm.f=_xlpm.k)))</f>
        <v>0.80688285916270552</v>
      </c>
      <c r="L32" s="2" cm="1">
        <f t="array" ref="L32">_xlfn.LET(_xlpm.d,L$2:L$26,_xlpm.f,$A$2:$A$26,_xlpm.k,$C32,AVERAGE(_xlfn._xlws.FILTER(_xlpm.d,_xlpm.f=_xlpm.k)))</f>
        <v>0.76979303860991688</v>
      </c>
      <c r="M32" s="2" cm="1">
        <f t="array" ref="M32">_xlfn.LET(_xlpm.d,M$2:M$26,_xlpm.f,$A$2:$A$26,_xlpm.k,$C32,AVERAGE(_xlfn._xlws.FILTER(_xlpm.d,_xlpm.f=_xlpm.k)))</f>
        <v>0.77762932323352418</v>
      </c>
      <c r="N32" s="2" cm="1">
        <f t="array" ref="N32">_xlfn.LET(_xlpm.d,N$2:N$26,_xlpm.f,$A$2:$A$26,_xlpm.k,$C32,AVERAGE(_xlfn._xlws.FILTER(_xlpm.d,_xlpm.f=_xlpm.k)))</f>
        <v>0.75904643768105662</v>
      </c>
      <c r="O32" s="2" cm="1">
        <f t="array" ref="O32">_xlfn.LET(_xlpm.d,O$2:O$26,_xlpm.f,$A$2:$A$26,_xlpm.k,$C32,AVERAGE(_xlfn._xlws.FILTER(_xlpm.d,_xlpm.f=_xlpm.k)))</f>
        <v>0.76491741598975738</v>
      </c>
      <c r="P32" s="2" cm="1">
        <f t="array" ref="P32">_xlfn.LET(_xlpm.d,P$2:P$26,_xlpm.f,$A$2:$A$26,_xlpm.k,$C32,AVERAGE(_xlfn._xlws.FILTER(_xlpm.d,_xlpm.f=_xlpm.k)))</f>
        <v>0.73823791633015401</v>
      </c>
      <c r="Q32" s="2" cm="1">
        <f t="array" ref="Q32">_xlfn.LET(_xlpm.d,Q$2:Q$26,_xlpm.f,$A$2:$A$26,_xlpm.k,$C32,AVERAGE(_xlfn._xlws.FILTER(_xlpm.d,_xlpm.f=_xlpm.k)))</f>
        <v>0.79759610644519119</v>
      </c>
    </row>
    <row r="33" spans="3:17" ht="30" customHeight="1">
      <c r="C33" t="s">
        <v>44</v>
      </c>
      <c r="D33" s="2" cm="1">
        <f t="array" ref="D33">_xlfn.LET(_xlpm.d,D$2:D$26,_xlpm.f,$A$2:$A$26,_xlpm.k,$C33,AVERAGE(_xlfn._xlws.FILTER(_xlpm.d,_xlpm.f=_xlpm.k)))</f>
        <v>0.87473732091652978</v>
      </c>
      <c r="E33" s="2" cm="1">
        <f t="array" ref="E33">_xlfn.LET(_xlpm.d,E$2:E$26,_xlpm.f,$A$2:$A$26,_xlpm.k,$C33,AVERAGE(_xlfn._xlws.FILTER(_xlpm.d,_xlpm.f=_xlpm.k)))</f>
        <v>0.82463590982115664</v>
      </c>
      <c r="F33" s="2" cm="1">
        <f t="array" ref="F33">_xlfn.LET(_xlpm.d,F$2:F$26,_xlpm.f,$A$2:$A$26,_xlpm.k,$C33,AVERAGE(_xlfn._xlws.FILTER(_xlpm.d,_xlpm.f=_xlpm.k)))</f>
        <v>0.82231278866122648</v>
      </c>
      <c r="G33" s="2" cm="1">
        <f t="array" ref="G33">_xlfn.LET(_xlpm.d,G$2:G$26,_xlpm.f,$A$2:$A$26,_xlpm.k,$C33,AVERAGE(_xlfn._xlws.FILTER(_xlpm.d,_xlpm.f=_xlpm.k)))</f>
        <v>0.79941587395058522</v>
      </c>
      <c r="H33" s="2" cm="1">
        <f t="array" ref="H33">_xlfn.LET(_xlpm.d,H$2:H$26,_xlpm.f,$A$2:$A$26,_xlpm.k,$C33,AVERAGE(_xlfn._xlws.FILTER(_xlpm.d,_xlpm.f=_xlpm.k)))</f>
        <v>0.78980022140375583</v>
      </c>
      <c r="I33" s="2" cm="1">
        <f t="array" ref="I33">_xlfn.LET(_xlpm.d,I$2:I$26,_xlpm.f,$A$2:$A$26,_xlpm.k,$C33,AVERAGE(_xlfn._xlws.FILTER(_xlpm.d,_xlpm.f=_xlpm.k)))</f>
        <v>0.80768635292199598</v>
      </c>
      <c r="J33" s="2" cm="1">
        <f t="array" ref="J33">_xlfn.LET(_xlpm.d,J$2:J$26,_xlpm.f,$A$2:$A$26,_xlpm.k,$C33,AVERAGE(_xlfn._xlws.FILTER(_xlpm.d,_xlpm.f=_xlpm.k)))</f>
        <v>0.78861178466060333</v>
      </c>
      <c r="K33" s="2" cm="1">
        <f t="array" ref="K33">_xlfn.LET(_xlpm.d,K$2:K$26,_xlpm.f,$A$2:$A$26,_xlpm.k,$C33,AVERAGE(_xlfn._xlws.FILTER(_xlpm.d,_xlpm.f=_xlpm.k)))</f>
        <v>0.75086497923302364</v>
      </c>
      <c r="L33" s="2" cm="1">
        <f t="array" ref="L33">_xlfn.LET(_xlpm.d,L$2:L$26,_xlpm.f,$A$2:$A$26,_xlpm.k,$C33,AVERAGE(_xlfn._xlws.FILTER(_xlpm.d,_xlpm.f=_xlpm.k)))</f>
        <v>0.75478006149263543</v>
      </c>
      <c r="M33" s="2" cm="1">
        <f t="array" ref="M33">_xlfn.LET(_xlpm.d,M$2:M$26,_xlpm.f,$A$2:$A$26,_xlpm.k,$C33,AVERAGE(_xlfn._xlws.FILTER(_xlpm.d,_xlpm.f=_xlpm.k)))</f>
        <v>0.76423275290107096</v>
      </c>
      <c r="N33" s="2" cm="1">
        <f t="array" ref="N33">_xlfn.LET(_xlpm.d,N$2:N$26,_xlpm.f,$A$2:$A$26,_xlpm.k,$C33,AVERAGE(_xlfn._xlws.FILTER(_xlpm.d,_xlpm.f=_xlpm.k)))</f>
        <v>0.73336771965868741</v>
      </c>
      <c r="O33" s="2" cm="1">
        <f t="array" ref="O33">_xlfn.LET(_xlpm.d,O$2:O$26,_xlpm.f,$A$2:$A$26,_xlpm.k,$C33,AVERAGE(_xlfn._xlws.FILTER(_xlpm.d,_xlpm.f=_xlpm.k)))</f>
        <v>0.74826657604626257</v>
      </c>
      <c r="P33" s="2" cm="1">
        <f t="array" ref="P33">_xlfn.LET(_xlpm.d,P$2:P$26,_xlpm.f,$A$2:$A$26,_xlpm.k,$C33,AVERAGE(_xlfn._xlws.FILTER(_xlpm.d,_xlpm.f=_xlpm.k)))</f>
        <v>0.75832523761601278</v>
      </c>
      <c r="Q33" s="2" cm="1">
        <f t="array" ref="Q33">_xlfn.LET(_xlpm.d,Q$2:Q$26,_xlpm.f,$A$2:$A$26,_xlpm.k,$C33,AVERAGE(_xlfn._xlws.FILTER(_xlpm.d,_xlpm.f=_xlpm.k)))</f>
        <v>0.7859259676371958</v>
      </c>
    </row>
    <row r="34" spans="3:17" ht="30" customHeight="1">
      <c r="C34" t="s">
        <v>45</v>
      </c>
      <c r="D34" s="2" cm="1">
        <f t="array" ref="D34">_xlfn.LET(_xlpm.d,D$2:D$26,_xlpm.f,$A$2:$A$26,_xlpm.k,$C34,AVERAGE(_xlfn._xlws.FILTER(_xlpm.d,_xlpm.f=_xlpm.k)))</f>
        <v>1</v>
      </c>
      <c r="E34" s="2" cm="1">
        <f t="array" ref="E34">_xlfn.LET(_xlpm.d,E$2:E$26,_xlpm.f,$A$2:$A$26,_xlpm.k,$C34,AVERAGE(_xlfn._xlws.FILTER(_xlpm.d,_xlpm.f=_xlpm.k)))</f>
        <v>0.99607107764641933</v>
      </c>
      <c r="F34" s="2" cm="1">
        <f t="array" ref="F34">_xlfn.LET(_xlpm.d,F$2:F$26,_xlpm.f,$A$2:$A$26,_xlpm.k,$C34,AVERAGE(_xlfn._xlws.FILTER(_xlpm.d,_xlpm.f=_xlpm.k)))</f>
        <v>0.99814519287713888</v>
      </c>
      <c r="G34" s="2" cm="1">
        <f t="array" ref="G34">_xlfn.LET(_xlpm.d,G$2:G$26,_xlpm.f,$A$2:$A$26,_xlpm.k,$C34,AVERAGE(_xlfn._xlws.FILTER(_xlpm.d,_xlpm.f=_xlpm.k)))</f>
        <v>1</v>
      </c>
      <c r="H34" s="2" cm="1">
        <f t="array" ref="H34">_xlfn.LET(_xlpm.d,H$2:H$26,_xlpm.f,$A$2:$A$26,_xlpm.k,$C34,AVERAGE(_xlfn._xlws.FILTER(_xlpm.d,_xlpm.f=_xlpm.k)))</f>
        <v>0.99792526020980399</v>
      </c>
      <c r="I34" s="2" cm="1">
        <f t="array" ref="I34">_xlfn.LET(_xlpm.d,I$2:I$26,_xlpm.f,$A$2:$A$26,_xlpm.k,$C34,AVERAGE(_xlfn._xlws.FILTER(_xlpm.d,_xlpm.f=_xlpm.k)))</f>
        <v>1</v>
      </c>
      <c r="J34" s="2" cm="1">
        <f t="array" ref="J34">_xlfn.LET(_xlpm.d,J$2:J$26,_xlpm.f,$A$2:$A$26,_xlpm.k,$C34,AVERAGE(_xlfn._xlws.FILTER(_xlpm.d,_xlpm.f=_xlpm.k)))</f>
        <v>0.98798808017501583</v>
      </c>
      <c r="K34" s="2" cm="1">
        <f t="array" ref="K34">_xlfn.LET(_xlpm.d,K$2:K$26,_xlpm.f,$A$2:$A$26,_xlpm.k,$C34,AVERAGE(_xlfn._xlws.FILTER(_xlpm.d,_xlpm.f=_xlpm.k)))</f>
        <v>1</v>
      </c>
      <c r="L34" s="2" cm="1">
        <f t="array" ref="L34">_xlfn.LET(_xlpm.d,L$2:L$26,_xlpm.f,$A$2:$A$26,_xlpm.k,$C34,AVERAGE(_xlfn._xlws.FILTER(_xlpm.d,_xlpm.f=_xlpm.k)))</f>
        <v>0.98964030446968487</v>
      </c>
      <c r="M34" s="2" cm="1">
        <f t="array" ref="M34">_xlfn.LET(_xlpm.d,M$2:M$26,_xlpm.f,$A$2:$A$26,_xlpm.k,$C34,AVERAGE(_xlfn._xlws.FILTER(_xlpm.d,_xlpm.f=_xlpm.k)))</f>
        <v>0.99581203846264521</v>
      </c>
      <c r="N34" s="2" cm="1">
        <f t="array" ref="N34">_xlfn.LET(_xlpm.d,N$2:N$26,_xlpm.f,$A$2:$A$26,_xlpm.k,$C34,AVERAGE(_xlfn._xlws.FILTER(_xlpm.d,_xlpm.f=_xlpm.k)))</f>
        <v>0.98904800105935797</v>
      </c>
      <c r="O34" s="2" cm="1">
        <f t="array" ref="O34">_xlfn.LET(_xlpm.d,O$2:O$26,_xlpm.f,$A$2:$A$26,_xlpm.k,$C34,AVERAGE(_xlfn._xlws.FILTER(_xlpm.d,_xlpm.f=_xlpm.k)))</f>
        <v>0.9843376745692044</v>
      </c>
      <c r="P34" s="2" cm="1">
        <f t="array" ref="P34">_xlfn.LET(_xlpm.d,P$2:P$26,_xlpm.f,$A$2:$A$26,_xlpm.k,$C34,AVERAGE(_xlfn._xlws.FILTER(_xlpm.d,_xlpm.f=_xlpm.k)))</f>
        <v>0.94368405715944059</v>
      </c>
      <c r="Q34" s="2" cm="1">
        <f t="array" ref="Q34">_xlfn.LET(_xlpm.d,Q$2:Q$26,_xlpm.f,$A$2:$A$26,_xlpm.k,$C34,AVERAGE(_xlfn._xlws.FILTER(_xlpm.d,_xlpm.f=_xlpm.k)))</f>
        <v>0.99097320666374689</v>
      </c>
    </row>
    <row r="36" spans="3:17" ht="30" customHeight="1">
      <c r="C36" t="s">
        <v>46</v>
      </c>
    </row>
    <row r="37" spans="3:17" ht="30" customHeight="1">
      <c r="C37" t="s">
        <v>40</v>
      </c>
      <c r="D37" s="2" cm="1">
        <f t="array" ref="D37">_xlfn.LET(_xlpm.d,D$2:D$26,_xlpm.g,$B$2:$B$26,_xlpm.k,$C37,AVERAGE(_xlfn._xlws.FILTER(_xlpm.d,(_xlpm.g=0))))</f>
        <v>0.88925573651879264</v>
      </c>
      <c r="E37" s="2" cm="1">
        <f t="array" ref="E37">_xlfn.LET(_xlpm.d,E$2:E$26,_xlpm.g,$B$2:$B$26,_xlpm.k,$C37,AVERAGE(_xlfn._xlws.FILTER(_xlpm.d,(_xlpm.g=0))))</f>
        <v>0.87754692383524946</v>
      </c>
      <c r="F37" s="2" cm="1">
        <f t="array" ref="F37">_xlfn.LET(_xlpm.d,F$2:F$26,_xlpm.g,$B$2:$B$26,_xlpm.k,$C37,AVERAGE(_xlfn._xlws.FILTER(_xlpm.d,(_xlpm.g=0))))</f>
        <v>0.87807979836469952</v>
      </c>
      <c r="G37" s="2" cm="1">
        <f t="array" ref="G37">_xlfn.LET(_xlpm.d,G$2:G$26,_xlpm.g,$B$2:$B$26,_xlpm.k,$C37,AVERAGE(_xlfn._xlws.FILTER(_xlpm.d,(_xlpm.g=0))))</f>
        <v>0.87695975880769761</v>
      </c>
      <c r="H37" s="2" cm="1">
        <f t="array" ref="H37">_xlfn.LET(_xlpm.d,H$2:H$26,_xlpm.g,$B$2:$B$26,_xlpm.k,$C37,AVERAGE(_xlfn._xlws.FILTER(_xlpm.d,(_xlpm.g=0))))</f>
        <v>0.87402597792360803</v>
      </c>
      <c r="I37" s="2" cm="1">
        <f t="array" ref="I37">_xlfn.LET(_xlpm.d,I$2:I$26,_xlpm.g,$B$2:$B$26,_xlpm.k,$C37,AVERAGE(_xlfn._xlws.FILTER(_xlpm.d,(_xlpm.g=0))))</f>
        <v>0.86545704443169902</v>
      </c>
      <c r="J37" s="2" cm="1">
        <f t="array" ref="J37">_xlfn.LET(_xlpm.d,J$2:J$26,_xlpm.g,$B$2:$B$26,_xlpm.k,$C37,AVERAGE(_xlfn._xlws.FILTER(_xlpm.d,(_xlpm.g=0))))</f>
        <v>0.85653753886379813</v>
      </c>
      <c r="K37" s="2" cm="1">
        <f t="array" ref="K37">_xlfn.LET(_xlpm.d,K$2:K$26,_xlpm.g,$B$2:$B$26,_xlpm.k,$C37,AVERAGE(_xlfn._xlws.FILTER(_xlpm.d,(_xlpm.g=0))))</f>
        <v>0.86007069542011683</v>
      </c>
      <c r="L37" s="2" cm="1">
        <f t="array" ref="L37">_xlfn.LET(_xlpm.d,L$2:L$26,_xlpm.g,$B$2:$B$26,_xlpm.k,$C37,AVERAGE(_xlfn._xlws.FILTER(_xlpm.d,(_xlpm.g=0))))</f>
        <v>0.8541404281549575</v>
      </c>
      <c r="M37" s="2" cm="1">
        <f t="array" ref="M37">_xlfn.LET(_xlpm.d,M$2:M$26,_xlpm.g,$B$2:$B$26,_xlpm.k,$C37,AVERAGE(_xlfn._xlws.FILTER(_xlpm.d,(_xlpm.g=0))))</f>
        <v>0.84142520943133103</v>
      </c>
      <c r="N37" s="2" cm="1">
        <f t="array" ref="N37">_xlfn.LET(_xlpm.d,N$2:N$26,_xlpm.g,$B$2:$B$26,_xlpm.k,$C37,AVERAGE(_xlfn._xlws.FILTER(_xlpm.d,(_xlpm.g=0))))</f>
        <v>0.81420123526006871</v>
      </c>
      <c r="O37" s="2" cm="1">
        <f t="array" ref="O37">_xlfn.LET(_xlpm.d,O$2:O$26,_xlpm.g,$B$2:$B$26,_xlpm.k,$C37,AVERAGE(_xlfn._xlws.FILTER(_xlpm.d,(_xlpm.g=0))))</f>
        <v>0.83538435148222712</v>
      </c>
      <c r="P37" s="2" cm="1">
        <f t="array" ref="P37">_xlfn.LET(_xlpm.d,P$2:P$26,_xlpm.g,$B$2:$B$26,_xlpm.k,$C37,AVERAGE(_xlfn._xlws.FILTER(_xlpm.d,(_xlpm.g=0))))</f>
        <v>0.82328926551454118</v>
      </c>
      <c r="Q37" s="2" cm="1">
        <f t="array" ref="Q37">_xlfn.LET(_xlpm.d,Q$2:Q$26,_xlpm.g,$B$2:$B$26,_xlpm.k,$C37,AVERAGE(_xlfn._xlws.FILTER(_xlpm.d,(_xlpm.g=0))))</f>
        <v>0.85741338184682969</v>
      </c>
    </row>
    <row r="38" spans="3:17" ht="30" customHeight="1">
      <c r="C38" t="s">
        <v>41</v>
      </c>
      <c r="D38" s="2" cm="1">
        <f t="array" ref="D38">_xlfn.LET(_xlpm.d,D$2:D$26,_xlpm.f,$A$2:$A$26,_xlpm.g,$B$2:$B$26,_xlpm.k,$C38,AVERAGE(_xlfn._xlws.FILTER(_xlpm.d,(_xlpm.f=_xlpm.k)*(_xlpm.g=0))))</f>
        <v>1</v>
      </c>
      <c r="E38" s="2" cm="1">
        <f t="array" ref="E38">_xlfn.LET(_xlpm.d,E$2:E$26,_xlpm.f,$A$2:$A$26,_xlpm.g,$B$2:$B$26,_xlpm.k,$C38,AVERAGE(_xlfn._xlws.FILTER(_xlpm.d,(_xlpm.f=_xlpm.k)*(_xlpm.g=0))))</f>
        <v>1</v>
      </c>
      <c r="F38" s="2" cm="1">
        <f t="array" ref="F38">_xlfn.LET(_xlpm.d,F$2:F$26,_xlpm.f,$A$2:$A$26,_xlpm.g,$B$2:$B$26,_xlpm.k,$C38,AVERAGE(_xlfn._xlws.FILTER(_xlpm.d,(_xlpm.f=_xlpm.k)*(_xlpm.g=0))))</f>
        <v>1</v>
      </c>
      <c r="G38" s="2" cm="1">
        <f t="array" ref="G38">_xlfn.LET(_xlpm.d,G$2:G$26,_xlpm.f,$A$2:$A$26,_xlpm.g,$B$2:$B$26,_xlpm.k,$C38,AVERAGE(_xlfn._xlws.FILTER(_xlpm.d,(_xlpm.f=_xlpm.k)*(_xlpm.g=0))))</f>
        <v>1</v>
      </c>
      <c r="H38" s="2" cm="1">
        <f t="array" ref="H38">_xlfn.LET(_xlpm.d,H$2:H$26,_xlpm.f,$A$2:$A$26,_xlpm.g,$B$2:$B$26,_xlpm.k,$C38,AVERAGE(_xlfn._xlws.FILTER(_xlpm.d,(_xlpm.f=_xlpm.k)*(_xlpm.g=0))))</f>
        <v>0.99355310454338697</v>
      </c>
      <c r="I38" s="2" cm="1">
        <f t="array" ref="I38">_xlfn.LET(_xlpm.d,I$2:I$26,_xlpm.f,$A$2:$A$26,_xlpm.g,$B$2:$B$26,_xlpm.k,$C38,AVERAGE(_xlfn._xlws.FILTER(_xlpm.d,(_xlpm.f=_xlpm.k)*(_xlpm.g=0))))</f>
        <v>1</v>
      </c>
      <c r="J38" s="2" cm="1">
        <f t="array" ref="J38">_xlfn.LET(_xlpm.d,J$2:J$26,_xlpm.f,$A$2:$A$26,_xlpm.g,$B$2:$B$26,_xlpm.k,$C38,AVERAGE(_xlfn._xlws.FILTER(_xlpm.d,(_xlpm.f=_xlpm.k)*(_xlpm.g=0))))</f>
        <v>0.99133912758390719</v>
      </c>
      <c r="K38" s="2" cm="1">
        <f t="array" ref="K38">_xlfn.LET(_xlpm.d,K$2:K$26,_xlpm.f,$A$2:$A$26,_xlpm.g,$B$2:$B$26,_xlpm.k,$C38,AVERAGE(_xlfn._xlws.FILTER(_xlpm.d,(_xlpm.f=_xlpm.k)*(_xlpm.g=0))))</f>
        <v>1</v>
      </c>
      <c r="L38" s="2" cm="1">
        <f t="array" ref="L38">_xlfn.LET(_xlpm.d,L$2:L$26,_xlpm.f,$A$2:$A$26,_xlpm.g,$B$2:$B$26,_xlpm.k,$C38,AVERAGE(_xlfn._xlws.FILTER(_xlpm.d,(_xlpm.f=_xlpm.k)*(_xlpm.g=0))))</f>
        <v>0.99967530660252502</v>
      </c>
      <c r="M38" s="2" cm="1">
        <f t="array" ref="M38">_xlfn.LET(_xlpm.d,M$2:M$26,_xlpm.f,$A$2:$A$26,_xlpm.g,$B$2:$B$26,_xlpm.k,$C38,AVERAGE(_xlfn._xlws.FILTER(_xlpm.d,(_xlpm.f=_xlpm.k)*(_xlpm.g=0))))</f>
        <v>0.99961535457018103</v>
      </c>
      <c r="N38" s="2" cm="1">
        <f t="array" ref="N38">_xlfn.LET(_xlpm.d,N$2:N$26,_xlpm.f,$A$2:$A$26,_xlpm.g,$B$2:$B$26,_xlpm.k,$C38,AVERAGE(_xlfn._xlws.FILTER(_xlpm.d,(_xlpm.f=_xlpm.k)*(_xlpm.g=0))))</f>
        <v>0.99417282675534024</v>
      </c>
      <c r="O38" s="2" cm="1">
        <f t="array" ref="O38">_xlfn.LET(_xlpm.d,O$2:O$26,_xlpm.f,$A$2:$A$26,_xlpm.g,$B$2:$B$26,_xlpm.k,$C38,AVERAGE(_xlfn._xlws.FILTER(_xlpm.d,(_xlpm.f=_xlpm.k)*(_xlpm.g=0))))</f>
        <v>0.9907770793311228</v>
      </c>
      <c r="P38" s="2" cm="1">
        <f t="array" ref="P38">_xlfn.LET(_xlpm.d,P$2:P$26,_xlpm.f,$A$2:$A$26,_xlpm.g,$B$2:$B$26,_xlpm.k,$C38,AVERAGE(_xlfn._xlws.FILTER(_xlpm.d,(_xlpm.f=_xlpm.k)*(_xlpm.g=0))))</f>
        <v>1</v>
      </c>
      <c r="Q38" s="2" cm="1">
        <f t="array" ref="Q38">_xlfn.LET(_xlpm.d,Q$2:Q$26,_xlpm.f,$A$2:$A$26,_xlpm.g,$B$2:$B$26,_xlpm.k,$C38,AVERAGE(_xlfn._xlws.FILTER(_xlpm.d,(_xlpm.f=_xlpm.k)*(_xlpm.g=0))))</f>
        <v>0.99762559995280486</v>
      </c>
    </row>
    <row r="39" spans="3:17" ht="30" customHeight="1">
      <c r="C39" t="s">
        <v>42</v>
      </c>
      <c r="D39" s="2" cm="1">
        <f t="array" ref="D39">_xlfn.LET(_xlpm.d,D$2:D$26,_xlpm.f,$A$2:$A$26,_xlpm.g,$B$2:$B$26,_xlpm.k,$C39,AVERAGE(_xlfn._xlws.FILTER(_xlpm.d,(_xlpm.f=_xlpm.k)*(_xlpm.g=0))))</f>
        <v>0.79081268794484871</v>
      </c>
      <c r="E39" s="2" cm="1">
        <f t="array" ref="E39">_xlfn.LET(_xlpm.d,E$2:E$26,_xlpm.f,$A$2:$A$26,_xlpm.g,$B$2:$B$26,_xlpm.k,$C39,AVERAGE(_xlfn._xlws.FILTER(_xlpm.d,(_xlpm.f=_xlpm.k)*(_xlpm.g=0))))</f>
        <v>0.79194125588642761</v>
      </c>
      <c r="F39" s="2" cm="1">
        <f t="array" ref="F39">_xlfn.LET(_xlpm.d,F$2:F$26,_xlpm.f,$A$2:$A$26,_xlpm.g,$B$2:$B$26,_xlpm.k,$C39,AVERAGE(_xlfn._xlws.FILTER(_xlpm.d,(_xlpm.f=_xlpm.k)*(_xlpm.g=0))))</f>
        <v>0.78494096640242694</v>
      </c>
      <c r="G39" s="2" cm="1">
        <f t="array" ref="G39">_xlfn.LET(_xlpm.d,G$2:G$26,_xlpm.f,$A$2:$A$26,_xlpm.g,$B$2:$B$26,_xlpm.k,$C39,AVERAGE(_xlfn._xlws.FILTER(_xlpm.d,(_xlpm.f=_xlpm.k)*(_xlpm.g=0))))</f>
        <v>0.78181456760940771</v>
      </c>
      <c r="H39" s="2" cm="1">
        <f t="array" ref="H39">_xlfn.LET(_xlpm.d,H$2:H$26,_xlpm.f,$A$2:$A$26,_xlpm.g,$B$2:$B$26,_xlpm.k,$C39,AVERAGE(_xlfn._xlws.FILTER(_xlpm.d,(_xlpm.f=_xlpm.k)*(_xlpm.g=0))))</f>
        <v>0.79350804125507746</v>
      </c>
      <c r="I39" s="2" cm="1">
        <f t="array" ref="I39">_xlfn.LET(_xlpm.d,I$2:I$26,_xlpm.f,$A$2:$A$26,_xlpm.g,$B$2:$B$26,_xlpm.k,$C39,AVERAGE(_xlfn._xlws.FILTER(_xlpm.d,(_xlpm.f=_xlpm.k)*(_xlpm.g=0))))</f>
        <v>0.74739147489182722</v>
      </c>
      <c r="J39" s="2" cm="1">
        <f t="array" ref="J39">_xlfn.LET(_xlpm.d,J$2:J$26,_xlpm.f,$A$2:$A$26,_xlpm.g,$B$2:$B$26,_xlpm.k,$C39,AVERAGE(_xlfn._xlws.FILTER(_xlpm.d,(_xlpm.f=_xlpm.k)*(_xlpm.g=0))))</f>
        <v>0.7433142448837915</v>
      </c>
      <c r="K39" s="2" cm="1">
        <f t="array" ref="K39">_xlfn.LET(_xlpm.d,K$2:K$26,_xlpm.f,$A$2:$A$26,_xlpm.g,$B$2:$B$26,_xlpm.k,$C39,AVERAGE(_xlfn._xlws.FILTER(_xlpm.d,(_xlpm.f=_xlpm.k)*(_xlpm.g=0))))</f>
        <v>0.75289552640512802</v>
      </c>
      <c r="L39" s="2" cm="1">
        <f t="array" ref="L39">_xlfn.LET(_xlpm.d,L$2:L$26,_xlpm.f,$A$2:$A$26,_xlpm.g,$B$2:$B$26,_xlpm.k,$C39,AVERAGE(_xlfn._xlws.FILTER(_xlpm.d,(_xlpm.f=_xlpm.k)*(_xlpm.g=0))))</f>
        <v>0.76672679319328974</v>
      </c>
      <c r="M39" s="2" cm="1">
        <f t="array" ref="M39">_xlfn.LET(_xlpm.d,M$2:M$26,_xlpm.f,$A$2:$A$26,_xlpm.g,$B$2:$B$26,_xlpm.k,$C39,AVERAGE(_xlfn._xlws.FILTER(_xlpm.d,(_xlpm.f=_xlpm.k)*(_xlpm.g=0))))</f>
        <v>0.68576734380180548</v>
      </c>
      <c r="N39" s="2" cm="1">
        <f t="array" ref="N39">_xlfn.LET(_xlpm.d,N$2:N$26,_xlpm.f,$A$2:$A$26,_xlpm.g,$B$2:$B$26,_xlpm.k,$C39,AVERAGE(_xlfn._xlws.FILTER(_xlpm.d,(_xlpm.f=_xlpm.k)*(_xlpm.g=0))))</f>
        <v>0.63816217940919973</v>
      </c>
      <c r="O39" s="2" cm="1">
        <f t="array" ref="O39">_xlfn.LET(_xlpm.d,O$2:O$26,_xlpm.f,$A$2:$A$26,_xlpm.g,$B$2:$B$26,_xlpm.k,$C39,AVERAGE(_xlfn._xlws.FILTER(_xlpm.d,(_xlpm.f=_xlpm.k)*(_xlpm.g=0))))</f>
        <v>0.70402099261234286</v>
      </c>
      <c r="P39" s="2" cm="1">
        <f t="array" ref="P39">_xlfn.LET(_xlpm.d,P$2:P$26,_xlpm.f,$A$2:$A$26,_xlpm.g,$B$2:$B$26,_xlpm.k,$C39,AVERAGE(_xlfn._xlws.FILTER(_xlpm.d,(_xlpm.f=_xlpm.k)*(_xlpm.g=0))))</f>
        <v>0.72150822595113029</v>
      </c>
      <c r="Q39" s="2" cm="1">
        <f t="array" ref="Q39">_xlfn.LET(_xlpm.d,Q$2:Q$26,_xlpm.f,$A$2:$A$26,_xlpm.g,$B$2:$B$26,_xlpm.k,$C39,AVERAGE(_xlfn._xlws.FILTER(_xlpm.d,(_xlpm.f=_xlpm.k)*(_xlpm.g=0))))</f>
        <v>0.74636956155743883</v>
      </c>
    </row>
    <row r="40" spans="3:17" ht="30" customHeight="1">
      <c r="C40" t="s">
        <v>43</v>
      </c>
      <c r="D40" s="2" cm="1">
        <f t="array" ref="D40">_xlfn.LET(_xlpm.d,D$2:D$26,_xlpm.f,$A$2:$A$26,_xlpm.g,$B$2:$B$26,_xlpm.k,$C40,AVERAGE(_xlfn._xlws.FILTER(_xlpm.d,(_xlpm.f=_xlpm.k)*(_xlpm.g=0))))</f>
        <v>0.81204434350345178</v>
      </c>
      <c r="E40" s="2" cm="1">
        <f t="array" ref="E40">_xlfn.LET(_xlpm.d,E$2:E$26,_xlpm.f,$A$2:$A$26,_xlpm.g,$B$2:$B$26,_xlpm.k,$C40,AVERAGE(_xlfn._xlws.FILTER(_xlpm.d,(_xlpm.f=_xlpm.k)*(_xlpm.g=0))))</f>
        <v>0.8065255750667657</v>
      </c>
      <c r="F40" s="2" cm="1">
        <f t="array" ref="F40">_xlfn.LET(_xlpm.d,F$2:F$26,_xlpm.f,$A$2:$A$26,_xlpm.g,$B$2:$B$26,_xlpm.k,$C40,AVERAGE(_xlfn._xlws.FILTER(_xlpm.d,(_xlpm.f=_xlpm.k)*(_xlpm.g=0))))</f>
        <v>0.80903235714060973</v>
      </c>
      <c r="G40" s="2" cm="1">
        <f t="array" ref="G40">_xlfn.LET(_xlpm.d,G$2:G$26,_xlpm.f,$A$2:$A$26,_xlpm.g,$B$2:$B$26,_xlpm.k,$C40,AVERAGE(_xlfn._xlws.FILTER(_xlpm.d,(_xlpm.f=_xlpm.k)*(_xlpm.g=0))))</f>
        <v>0.82466629326463647</v>
      </c>
      <c r="H40" s="2" cm="1">
        <f t="array" ref="H40">_xlfn.LET(_xlpm.d,H$2:H$26,_xlpm.f,$A$2:$A$26,_xlpm.g,$B$2:$B$26,_xlpm.k,$C40,AVERAGE(_xlfn._xlws.FILTER(_xlpm.d,(_xlpm.f=_xlpm.k)*(_xlpm.g=0))))</f>
        <v>0.79805907696534328</v>
      </c>
      <c r="I40" s="2" cm="1">
        <f t="array" ref="I40">_xlfn.LET(_xlpm.d,I$2:I$26,_xlpm.f,$A$2:$A$26,_xlpm.g,$B$2:$B$26,_xlpm.k,$C40,AVERAGE(_xlfn._xlws.FILTER(_xlpm.d,(_xlpm.f=_xlpm.k)*(_xlpm.g=0))))</f>
        <v>0.78555194412169971</v>
      </c>
      <c r="J40" s="2" cm="1">
        <f t="array" ref="J40">_xlfn.LET(_xlpm.d,J$2:J$26,_xlpm.f,$A$2:$A$26,_xlpm.g,$B$2:$B$26,_xlpm.k,$C40,AVERAGE(_xlfn._xlws.FILTER(_xlpm.d,(_xlpm.f=_xlpm.k)*(_xlpm.g=0))))</f>
        <v>0.775306630723405</v>
      </c>
      <c r="K40" s="2" cm="1">
        <f t="array" ref="K40">_xlfn.LET(_xlpm.d,K$2:K$26,_xlpm.f,$A$2:$A$26,_xlpm.g,$B$2:$B$26,_xlpm.k,$C40,AVERAGE(_xlfn._xlws.FILTER(_xlpm.d,(_xlpm.f=_xlpm.k)*(_xlpm.g=0))))</f>
        <v>0.79543655450508555</v>
      </c>
      <c r="L40" s="2" cm="1">
        <f t="array" ref="L40">_xlfn.LET(_xlpm.d,L$2:L$26,_xlpm.f,$A$2:$A$26,_xlpm.g,$B$2:$B$26,_xlpm.k,$C40,AVERAGE(_xlfn._xlws.FILTER(_xlpm.d,(_xlpm.f=_xlpm.k)*(_xlpm.g=0))))</f>
        <v>0.76757902199378247</v>
      </c>
      <c r="M40" s="2" cm="1">
        <f t="array" ref="M40">_xlfn.LET(_xlpm.d,M$2:M$26,_xlpm.f,$A$2:$A$26,_xlpm.g,$B$2:$B$26,_xlpm.k,$C40,AVERAGE(_xlfn._xlws.FILTER(_xlpm.d,(_xlpm.f=_xlpm.k)*(_xlpm.g=0))))</f>
        <v>0.75875265958116966</v>
      </c>
      <c r="N40" s="2" cm="1">
        <f t="array" ref="N40">_xlfn.LET(_xlpm.d,N$2:N$26,_xlpm.f,$A$2:$A$26,_xlpm.g,$B$2:$B$26,_xlpm.k,$C40,AVERAGE(_xlfn._xlws.FILTER(_xlpm.d,(_xlpm.f=_xlpm.k)*(_xlpm.g=0))))</f>
        <v>0.752082397492844</v>
      </c>
      <c r="O40" s="2" cm="1">
        <f t="array" ref="O40">_xlfn.LET(_xlpm.d,O$2:O$26,_xlpm.f,$A$2:$A$26,_xlpm.g,$B$2:$B$26,_xlpm.k,$C40,AVERAGE(_xlfn._xlws.FILTER(_xlpm.d,(_xlpm.f=_xlpm.k)*(_xlpm.g=0))))</f>
        <v>0.75646948338553732</v>
      </c>
      <c r="P40" s="2" cm="1">
        <f t="array" ref="P40">_xlfn.LET(_xlpm.d,P$2:P$26,_xlpm.f,$A$2:$A$26,_xlpm.g,$B$2:$B$26,_xlpm.k,$C40,AVERAGE(_xlfn._xlws.FILTER(_xlpm.d,(_xlpm.f=_xlpm.k)*(_xlpm.g=0))))</f>
        <v>0.72076140707724579</v>
      </c>
      <c r="Q40" s="2" cm="1">
        <f t="array" ref="Q40">_xlfn.LET(_xlpm.d,Q$2:Q$26,_xlpm.f,$A$2:$A$26,_xlpm.g,$B$2:$B$26,_xlpm.k,$C40,AVERAGE(_xlfn._xlws.FILTER(_xlpm.d,(_xlpm.f=_xlpm.k)*(_xlpm.g=0))))</f>
        <v>0.78171290344781363</v>
      </c>
    </row>
    <row r="41" spans="3:17" ht="30" customHeight="1">
      <c r="C41" t="s">
        <v>44</v>
      </c>
      <c r="D41" s="2" cm="1">
        <f t="array" ref="D41">_xlfn.LET(_xlpm.d,D$2:D$26,_xlpm.f,$A$2:$A$26,_xlpm.g,$B$2:$B$26,_xlpm.k,$C41,AVERAGE(_xlfn._xlws.FILTER(_xlpm.d,(_xlpm.f=_xlpm.k)*(_xlpm.g=0))))</f>
        <v>0.84342165114566225</v>
      </c>
      <c r="E41" s="2" cm="1">
        <f t="array" ref="E41">_xlfn.LET(_xlpm.d,E$2:E$26,_xlpm.f,$A$2:$A$26,_xlpm.g,$B$2:$B$26,_xlpm.k,$C41,AVERAGE(_xlfn._xlws.FILTER(_xlpm.d,(_xlpm.f=_xlpm.k)*(_xlpm.g=0))))</f>
        <v>0.79417894116502941</v>
      </c>
      <c r="F41" s="2" cm="1">
        <f t="array" ref="F41">_xlfn.LET(_xlpm.d,F$2:F$26,_xlpm.f,$A$2:$A$26,_xlpm.g,$B$2:$B$26,_xlpm.k,$C41,AVERAGE(_xlfn._xlws.FILTER(_xlpm.d,(_xlpm.f=_xlpm.k)*(_xlpm.g=0))))</f>
        <v>0.79874417718403745</v>
      </c>
      <c r="G41" s="2" cm="1">
        <f t="array" ref="G41">_xlfn.LET(_xlpm.d,G$2:G$26,_xlpm.f,$A$2:$A$26,_xlpm.g,$B$2:$B$26,_xlpm.k,$C41,AVERAGE(_xlfn._xlws.FILTER(_xlpm.d,(_xlpm.f=_xlpm.k)*(_xlpm.g=0))))</f>
        <v>0.77831793316444431</v>
      </c>
      <c r="H41" s="2" cm="1">
        <f t="array" ref="H41">_xlfn.LET(_xlpm.d,H$2:H$26,_xlpm.f,$A$2:$A$26,_xlpm.g,$B$2:$B$26,_xlpm.k,$C41,AVERAGE(_xlfn._xlws.FILTER(_xlpm.d,(_xlpm.f=_xlpm.k)*(_xlpm.g=0))))</f>
        <v>0.78760309159197772</v>
      </c>
      <c r="I41" s="2" cm="1">
        <f t="array" ref="I41">_xlfn.LET(_xlpm.d,I$2:I$26,_xlpm.f,$A$2:$A$26,_xlpm.g,$B$2:$B$26,_xlpm.k,$C41,AVERAGE(_xlfn._xlws.FILTER(_xlpm.d,(_xlpm.f=_xlpm.k)*(_xlpm.g=0))))</f>
        <v>0.79434180314496883</v>
      </c>
      <c r="J41" s="2" cm="1">
        <f t="array" ref="J41">_xlfn.LET(_xlpm.d,J$2:J$26,_xlpm.f,$A$2:$A$26,_xlpm.g,$B$2:$B$26,_xlpm.k,$C41,AVERAGE(_xlfn._xlws.FILTER(_xlpm.d,(_xlpm.f=_xlpm.k)*(_xlpm.g=0))))</f>
        <v>0.78774259090911758</v>
      </c>
      <c r="K41" s="2" cm="1">
        <f t="array" ref="K41">_xlfn.LET(_xlpm.d,K$2:K$26,_xlpm.f,$A$2:$A$26,_xlpm.g,$B$2:$B$26,_xlpm.k,$C41,AVERAGE(_xlfn._xlws.FILTER(_xlpm.d,(_xlpm.f=_xlpm.k)*(_xlpm.g=0))))</f>
        <v>0.75202139619037078</v>
      </c>
      <c r="L41" s="2" cm="1">
        <f t="array" ref="L41">_xlfn.LET(_xlpm.d,L$2:L$26,_xlpm.f,$A$2:$A$26,_xlpm.g,$B$2:$B$26,_xlpm.k,$C41,AVERAGE(_xlfn._xlws.FILTER(_xlpm.d,(_xlpm.f=_xlpm.k)*(_xlpm.g=0))))</f>
        <v>0.74967063839808401</v>
      </c>
      <c r="M41" s="2" cm="1">
        <f t="array" ref="M41">_xlfn.LET(_xlpm.d,M$2:M$26,_xlpm.f,$A$2:$A$26,_xlpm.g,$B$2:$B$26,_xlpm.k,$C41,AVERAGE(_xlfn._xlws.FILTER(_xlpm.d,(_xlpm.f=_xlpm.k)*(_xlpm.g=0))))</f>
        <v>0.76822564112519254</v>
      </c>
      <c r="N41" s="2" cm="1">
        <f t="array" ref="N41">_xlfn.LET(_xlpm.d,N$2:N$26,_xlpm.f,$A$2:$A$26,_xlpm.g,$B$2:$B$26,_xlpm.k,$C41,AVERAGE(_xlfn._xlws.FILTER(_xlpm.d,(_xlpm.f=_xlpm.k)*(_xlpm.g=0))))</f>
        <v>0.70027877131876248</v>
      </c>
      <c r="O41" s="2" cm="1">
        <f t="array" ref="O41">_xlfn.LET(_xlpm.d,O$2:O$26,_xlpm.f,$A$2:$A$26,_xlpm.g,$B$2:$B$26,_xlpm.k,$C41,AVERAGE(_xlfn._xlws.FILTER(_xlpm.d,(_xlpm.f=_xlpm.k)*(_xlpm.g=0))))</f>
        <v>0.74523210887062774</v>
      </c>
      <c r="P41" s="2" cm="1">
        <f t="array" ref="P41">_xlfn.LET(_xlpm.d,P$2:P$26,_xlpm.f,$A$2:$A$26,_xlpm.g,$B$2:$B$26,_xlpm.k,$C41,AVERAGE(_xlfn._xlws.FILTER(_xlpm.d,(_xlpm.f=_xlpm.k)*(_xlpm.g=0))))</f>
        <v>0.74457162309502822</v>
      </c>
      <c r="Q41" s="2" cm="1">
        <f t="array" ref="Q41">_xlfn.LET(_xlpm.d,Q$2:Q$26,_xlpm.f,$A$2:$A$26,_xlpm.g,$B$2:$B$26,_xlpm.k,$C41,AVERAGE(_xlfn._xlws.FILTER(_xlpm.d,(_xlpm.f=_xlpm.k)*(_xlpm.g=0))))</f>
        <v>0.77264233594640797</v>
      </c>
    </row>
    <row r="42" spans="3:17" ht="30" customHeight="1">
      <c r="C42" t="s">
        <v>45</v>
      </c>
      <c r="D42" s="2" cm="1">
        <f t="array" ref="D42">_xlfn.LET(_xlpm.d,D$2:D$26,_xlpm.f,$A$2:$A$26,_xlpm.g,$B$2:$B$26,_xlpm.k,$C42,AVERAGE(_xlfn._xlws.FILTER(_xlpm.d,(_xlpm.f=_xlpm.k)*(_xlpm.g=0))))</f>
        <v>1</v>
      </c>
      <c r="E42" s="2" cm="1">
        <f t="array" ref="E42">_xlfn.LET(_xlpm.d,E$2:E$26,_xlpm.f,$A$2:$A$26,_xlpm.g,$B$2:$B$26,_xlpm.k,$C42,AVERAGE(_xlfn._xlws.FILTER(_xlpm.d,(_xlpm.f=_xlpm.k)*(_xlpm.g=0))))</f>
        <v>0.99508884705802425</v>
      </c>
      <c r="F42" s="2" cm="1">
        <f t="array" ref="F42">_xlfn.LET(_xlpm.d,F$2:F$26,_xlpm.f,$A$2:$A$26,_xlpm.g,$B$2:$B$26,_xlpm.k,$C42,AVERAGE(_xlfn._xlws.FILTER(_xlpm.d,(_xlpm.f=_xlpm.k)*(_xlpm.g=0))))</f>
        <v>0.99768149109642346</v>
      </c>
      <c r="G42" s="2" cm="1">
        <f t="array" ref="G42">_xlfn.LET(_xlpm.d,G$2:G$26,_xlpm.f,$A$2:$A$26,_xlpm.g,$B$2:$B$26,_xlpm.k,$C42,AVERAGE(_xlfn._xlws.FILTER(_xlpm.d,(_xlpm.f=_xlpm.k)*(_xlpm.g=0))))</f>
        <v>1</v>
      </c>
      <c r="H42" s="2" cm="1">
        <f t="array" ref="H42">_xlfn.LET(_xlpm.d,H$2:H$26,_xlpm.f,$A$2:$A$26,_xlpm.g,$B$2:$B$26,_xlpm.k,$C42,AVERAGE(_xlfn._xlws.FILTER(_xlpm.d,(_xlpm.f=_xlpm.k)*(_xlpm.g=0))))</f>
        <v>0.99740657526225496</v>
      </c>
      <c r="I42" s="2" cm="1">
        <f t="array" ref="I42">_xlfn.LET(_xlpm.d,I$2:I$26,_xlpm.f,$A$2:$A$26,_xlpm.g,$B$2:$B$26,_xlpm.k,$C42,AVERAGE(_xlfn._xlws.FILTER(_xlpm.d,(_xlpm.f=_xlpm.k)*(_xlpm.g=0))))</f>
        <v>1</v>
      </c>
      <c r="J42" s="2" cm="1">
        <f t="array" ref="J42">_xlfn.LET(_xlpm.d,J$2:J$26,_xlpm.f,$A$2:$A$26,_xlpm.g,$B$2:$B$26,_xlpm.k,$C42,AVERAGE(_xlfn._xlws.FILTER(_xlpm.d,(_xlpm.f=_xlpm.k)*(_xlpm.g=0))))</f>
        <v>0.98498510021876973</v>
      </c>
      <c r="K42" s="2" cm="1">
        <f t="array" ref="K42">_xlfn.LET(_xlpm.d,K$2:K$26,_xlpm.f,$A$2:$A$26,_xlpm.g,$B$2:$B$26,_xlpm.k,$C42,AVERAGE(_xlfn._xlws.FILTER(_xlpm.d,(_xlpm.f=_xlpm.k)*(_xlpm.g=0))))</f>
        <v>1</v>
      </c>
      <c r="L42" s="2" cm="1">
        <f t="array" ref="L42">_xlfn.LET(_xlpm.d,L$2:L$26,_xlpm.f,$A$2:$A$26,_xlpm.g,$B$2:$B$26,_xlpm.k,$C42,AVERAGE(_xlfn._xlws.FILTER(_xlpm.d,(_xlpm.f=_xlpm.k)*(_xlpm.g=0))))</f>
        <v>0.98705038058710604</v>
      </c>
      <c r="M42" s="2" cm="1">
        <f t="array" ref="M42">_xlfn.LET(_xlpm.d,M$2:M$26,_xlpm.f,$A$2:$A$26,_xlpm.g,$B$2:$B$26,_xlpm.k,$C42,AVERAGE(_xlfn._xlws.FILTER(_xlpm.d,(_xlpm.f=_xlpm.k)*(_xlpm.g=0))))</f>
        <v>0.99476504807830657</v>
      </c>
      <c r="N42" s="2" cm="1">
        <f t="array" ref="N42">_xlfn.LET(_xlpm.d,N$2:N$26,_xlpm.f,$A$2:$A$26,_xlpm.g,$B$2:$B$26,_xlpm.k,$C42,AVERAGE(_xlfn._xlws.FILTER(_xlpm.d,(_xlpm.f=_xlpm.k)*(_xlpm.g=0))))</f>
        <v>0.98631000132419755</v>
      </c>
      <c r="O42" s="2" cm="1">
        <f t="array" ref="O42">_xlfn.LET(_xlpm.d,O$2:O$26,_xlpm.f,$A$2:$A$26,_xlpm.g,$B$2:$B$26,_xlpm.k,$C42,AVERAGE(_xlfn._xlws.FILTER(_xlpm.d,(_xlpm.f=_xlpm.k)*(_xlpm.g=0))))</f>
        <v>0.98042209321150553</v>
      </c>
      <c r="P42" s="2" cm="1">
        <f t="array" ref="P42">_xlfn.LET(_xlpm.d,P$2:P$26,_xlpm.f,$A$2:$A$26,_xlpm.g,$B$2:$B$26,_xlpm.k,$C42,AVERAGE(_xlfn._xlws.FILTER(_xlpm.d,(_xlpm.f=_xlpm.k)*(_xlpm.g=0))))</f>
        <v>0.92960507144930082</v>
      </c>
      <c r="Q42" s="2" cm="1">
        <f t="array" ref="Q42">_xlfn.LET(_xlpm.d,Q$2:Q$26,_xlpm.f,$A$2:$A$26,_xlpm.g,$B$2:$B$26,_xlpm.k,$C42,AVERAGE(_xlfn._xlws.FILTER(_xlpm.d,(_xlpm.f=_xlpm.k)*(_xlpm.g=0))))</f>
        <v>0.98871650832968372</v>
      </c>
    </row>
  </sheetData>
  <conditionalFormatting sqref="D2:Q26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Q3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Q3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Q4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R52"/>
  <sheetViews>
    <sheetView workbookViewId="0">
      <pane xSplit="9080" ySplit="3520" topLeftCell="A14" activePane="bottomRight"/>
      <selection activeCell="D2" sqref="D2:D36"/>
      <selection pane="topRight" activeCell="O2" sqref="O2:O36"/>
      <selection pane="bottomLeft" activeCell="B14" sqref="B14"/>
      <selection pane="bottomRight" activeCell="L15" sqref="L15"/>
    </sheetView>
  </sheetViews>
  <sheetFormatPr baseColWidth="10" defaultRowHeight="30" customHeight="1"/>
  <cols>
    <col min="1" max="1" width="10.375" customWidth="1"/>
    <col min="2" max="2" width="7.125" customWidth="1"/>
    <col min="3" max="3" width="12.875" customWidth="1"/>
    <col min="4" max="17" width="5.875" customWidth="1"/>
  </cols>
  <sheetData>
    <row r="1" spans="1:18" ht="30" customHeight="1">
      <c r="A1" t="s">
        <v>37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48</v>
      </c>
      <c r="M1" t="s">
        <v>9</v>
      </c>
      <c r="N1" t="s">
        <v>49</v>
      </c>
      <c r="O1" t="s">
        <v>50</v>
      </c>
      <c r="P1" t="s">
        <v>10</v>
      </c>
      <c r="Q1" t="s">
        <v>47</v>
      </c>
      <c r="R1" t="s">
        <v>36</v>
      </c>
    </row>
    <row r="2" spans="1:18" ht="30" customHeight="1">
      <c r="A2" t="str">
        <f>_xlfn.LET(_xlpm.c,_xlfn.SINGLE(Table1[condition]),_xlfn.TEXTBEFORE(_xlpm.c,"-"))</f>
        <v>arabic</v>
      </c>
      <c r="B2">
        <f>_xlfn.LET(_xlpm.c,_xlfn.SINGLE(Table1[condition]),IF(RIGHT(_xlpm.c,2)="1g",1,0))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 t="shared" ref="Q2:Q36" si="0">_xlfn.LET(_xlpm.d,$D2:$P2,AVERAGE(_xlpm.d))</f>
        <v>1</v>
      </c>
      <c r="R2" s="1"/>
    </row>
    <row r="3" spans="1:18" ht="30" customHeight="1">
      <c r="A3" t="str">
        <f>_xlfn.LET(_xlpm.c,_xlfn.SINGLE(Table1[condition]),_xlfn.TEXTBEFORE(_xlpm.c,"-"))</f>
        <v>arabic</v>
      </c>
      <c r="B3">
        <f>_xlfn.LET(_xlpm.c,_xlfn.SINGLE(Table1[condition]),IF(RIGHT(_xlpm.c,2)="1g",1,0))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si="0"/>
        <v>1</v>
      </c>
      <c r="R3" s="1"/>
    </row>
    <row r="4" spans="1:18" ht="30" customHeight="1">
      <c r="A4" t="str">
        <f>_xlfn.LET(_xlpm.c,_xlfn.SINGLE(Table1[condition]),_xlfn.TEXTBEFORE(_xlpm.c,"-"))</f>
        <v>arabic</v>
      </c>
      <c r="B4">
        <f>_xlfn.LET(_xlpm.c,_xlfn.SINGLE(Table1[condition]),IF(RIGHT(_xlpm.c,2)="1g",1,0))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0.98985745911693301</v>
      </c>
      <c r="P4" s="1">
        <v>1</v>
      </c>
      <c r="Q4" s="1">
        <f t="shared" si="0"/>
        <v>0.9992198045474564</v>
      </c>
      <c r="R4" s="1"/>
    </row>
    <row r="5" spans="1:18" ht="30" customHeight="1">
      <c r="A5" t="str">
        <f>_xlfn.LET(_xlpm.c,_xlfn.SINGLE(Table1[condition]),_xlfn.TEXTBEFORE(_xlpm.c,"-"))</f>
        <v>arabic</v>
      </c>
      <c r="B5">
        <f>_xlfn.LET(_xlpm.c,_xlfn.SINGLE(Table1[condition]),IF(RIGHT(_xlpm.c,2)="1g",1,0))</f>
        <v>0</v>
      </c>
      <c r="C5" t="s">
        <v>14</v>
      </c>
      <c r="D5" s="1">
        <v>1</v>
      </c>
      <c r="E5" s="1">
        <v>1</v>
      </c>
      <c r="F5" s="1">
        <v>1</v>
      </c>
      <c r="G5" s="1">
        <v>1</v>
      </c>
      <c r="H5" s="1">
        <v>0.97421241817354798</v>
      </c>
      <c r="I5" s="1">
        <v>1</v>
      </c>
      <c r="J5" s="1">
        <v>0.96535651033562897</v>
      </c>
      <c r="K5" s="1">
        <v>1</v>
      </c>
      <c r="L5" s="1">
        <v>1</v>
      </c>
      <c r="M5" s="1">
        <v>1</v>
      </c>
      <c r="N5" s="1">
        <v>0.97669130702136098</v>
      </c>
      <c r="O5" s="1">
        <v>0.97725722724702602</v>
      </c>
      <c r="P5" s="1">
        <v>1</v>
      </c>
      <c r="Q5" s="1">
        <f t="shared" si="0"/>
        <v>0.99180903559827405</v>
      </c>
      <c r="R5" s="1"/>
    </row>
    <row r="6" spans="1:18" ht="30" customHeight="1">
      <c r="A6" t="str">
        <f>_xlfn.LET(_xlpm.c,_xlfn.SINGLE(Table1[condition]),_xlfn.TEXTBEFORE(_xlpm.c,"-"))</f>
        <v>arabic</v>
      </c>
      <c r="B6">
        <f>_xlfn.LET(_xlpm.c,_xlfn.SINGLE(Table1[condition]),IF(RIGHT(_xlpm.c,2)="1g",1,0))</f>
        <v>0</v>
      </c>
      <c r="C6" t="s">
        <v>15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0.99870122641009995</v>
      </c>
      <c r="M6" s="1">
        <v>0.99846141828072399</v>
      </c>
      <c r="N6" s="1">
        <v>1</v>
      </c>
      <c r="O6" s="1">
        <v>0.99599363096053195</v>
      </c>
      <c r="P6" s="1">
        <v>1</v>
      </c>
      <c r="Q6" s="1">
        <f t="shared" si="0"/>
        <v>0.99947355966548901</v>
      </c>
      <c r="R6" s="1"/>
    </row>
    <row r="7" spans="1:18" ht="30" customHeight="1">
      <c r="A7" t="str">
        <f>_xlfn.LET(_xlpm.c,_xlfn.SINGLE(Table1[condition]),_xlfn.TEXTBEFORE(_xlpm.c,"-"))</f>
        <v>arabic</v>
      </c>
      <c r="B7">
        <f>_xlfn.LET(_xlpm.c,_xlfn.SINGLE(Table1[condition]),IF(RIGHT(_xlpm.c,2)="1g",1,0))</f>
        <v>0</v>
      </c>
      <c r="C7" t="s">
        <v>51</v>
      </c>
      <c r="D7" s="1">
        <v>1</v>
      </c>
      <c r="E7" s="1">
        <v>1</v>
      </c>
      <c r="F7" s="1">
        <v>0.96335841771685704</v>
      </c>
      <c r="G7" s="1">
        <v>1</v>
      </c>
      <c r="H7" s="1">
        <v>0.96970248535805303</v>
      </c>
      <c r="I7" s="1">
        <v>0.95670538250060999</v>
      </c>
      <c r="J7" s="1">
        <v>0.98692428744115901</v>
      </c>
      <c r="K7" s="1">
        <v>0.970087844137966</v>
      </c>
      <c r="L7" s="1">
        <v>0.96065209907902605</v>
      </c>
      <c r="M7" s="1">
        <v>0.96535651033562897</v>
      </c>
      <c r="N7" s="1">
        <v>1</v>
      </c>
      <c r="O7" s="1">
        <v>0.95498582144365796</v>
      </c>
      <c r="P7" s="1">
        <v>1</v>
      </c>
      <c r="Q7" s="1">
        <f t="shared" si="0"/>
        <v>0.97905944984715076</v>
      </c>
      <c r="R7" s="1"/>
    </row>
    <row r="8" spans="1:18" ht="30" customHeight="1">
      <c r="A8" t="str">
        <f>_xlfn.LET(_xlpm.c,_xlfn.SINGLE(Table1[condition]),_xlfn.TEXTBEFORE(_xlpm.c,"-"))</f>
        <v>arabic</v>
      </c>
      <c r="B8">
        <f>_xlfn.LET(_xlpm.c,_xlfn.SINGLE(Table1[condition]),IF(RIGHT(_xlpm.c,2)="1g",1,0))</f>
        <v>0</v>
      </c>
      <c r="C8" t="s">
        <v>52</v>
      </c>
      <c r="D8" s="1">
        <v>1</v>
      </c>
      <c r="E8" s="1">
        <v>1</v>
      </c>
      <c r="F8" s="1">
        <v>1</v>
      </c>
      <c r="G8" s="1">
        <v>0.99702209419769305</v>
      </c>
      <c r="H8" s="1">
        <v>0.90177424758566704</v>
      </c>
      <c r="I8" s="1">
        <v>1</v>
      </c>
      <c r="J8" s="1">
        <v>0.99566774620329901</v>
      </c>
      <c r="K8" s="1">
        <v>1</v>
      </c>
      <c r="L8" s="1">
        <v>0.99491090921904302</v>
      </c>
      <c r="M8" s="1">
        <v>0.96850373110125199</v>
      </c>
      <c r="N8" s="1">
        <v>0.83589618219194195</v>
      </c>
      <c r="O8" s="1">
        <v>0.99866658843615497</v>
      </c>
      <c r="P8" s="1">
        <v>0.94265773128344899</v>
      </c>
      <c r="Q8" s="1">
        <f t="shared" si="0"/>
        <v>0.97193071001680764</v>
      </c>
      <c r="R8" s="1"/>
    </row>
    <row r="9" spans="1:18" ht="30" customHeight="1">
      <c r="A9" t="str">
        <f>_xlfn.LET(_xlpm.c,_xlfn.SINGLE(Table1[condition]),_xlfn.TEXTBEFORE(_xlpm.c,"-"))</f>
        <v>english</v>
      </c>
      <c r="B9">
        <f>_xlfn.LET(_xlpm.c,_xlfn.SINGLE(Table1[condition]),IF(RIGHT(_xlpm.c,2)="1g",1,0))</f>
        <v>1</v>
      </c>
      <c r="C9" t="s">
        <v>16</v>
      </c>
      <c r="D9" s="1">
        <v>1</v>
      </c>
      <c r="E9" s="1">
        <v>0.89834333684801704</v>
      </c>
      <c r="F9" s="1">
        <v>0.93905855996239795</v>
      </c>
      <c r="G9" s="1">
        <v>0.91571308421250097</v>
      </c>
      <c r="H9" s="1">
        <v>0.79226683850860802</v>
      </c>
      <c r="I9" s="1">
        <v>0.87438190735010801</v>
      </c>
      <c r="J9" s="1">
        <v>0.85055437090408104</v>
      </c>
      <c r="K9" s="1">
        <v>0.81182395703453802</v>
      </c>
      <c r="L9" s="1">
        <v>0.65992268757726102</v>
      </c>
      <c r="M9" s="1">
        <v>0.70167856511465099</v>
      </c>
      <c r="N9" s="1">
        <v>0.80785160222173802</v>
      </c>
      <c r="O9" s="1">
        <v>0.77310100347595601</v>
      </c>
      <c r="P9" s="1">
        <v>0.79983572747920895</v>
      </c>
      <c r="Q9" s="1">
        <f t="shared" si="0"/>
        <v>0.83265628005300507</v>
      </c>
      <c r="R9" s="1"/>
    </row>
    <row r="10" spans="1:18" ht="30" customHeight="1">
      <c r="A10" t="str">
        <f>_xlfn.LET(_xlpm.c,_xlfn.SINGLE(Table1[condition]),_xlfn.TEXTBEFORE(_xlpm.c,"-"))</f>
        <v>english</v>
      </c>
      <c r="B10">
        <f>_xlfn.LET(_xlpm.c,_xlfn.SINGLE(Table1[condition]),IF(RIGHT(_xlpm.c,2)="1g",1,0))</f>
        <v>0</v>
      </c>
      <c r="C10" t="s">
        <v>17</v>
      </c>
      <c r="D10" s="1">
        <v>0.70298006237652599</v>
      </c>
      <c r="E10" s="1">
        <v>0.75382430566891601</v>
      </c>
      <c r="F10" s="1">
        <v>0.71223883198594695</v>
      </c>
      <c r="G10" s="1">
        <v>0.74414404953067803</v>
      </c>
      <c r="H10" s="1">
        <v>0.77804339395865096</v>
      </c>
      <c r="I10" s="1">
        <v>0.73666953952829695</v>
      </c>
      <c r="J10" s="1">
        <v>0.70994475887499597</v>
      </c>
      <c r="K10" s="1">
        <v>0.75859842554107704</v>
      </c>
      <c r="L10" s="1">
        <v>0.85562207082451303</v>
      </c>
      <c r="M10" s="1">
        <v>0.66504840058873904</v>
      </c>
      <c r="N10" s="1">
        <v>0.54485049833887</v>
      </c>
      <c r="O10" s="1">
        <v>0.68534227133525505</v>
      </c>
      <c r="P10" s="1">
        <v>0.566777209087586</v>
      </c>
      <c r="Q10" s="1">
        <f t="shared" si="0"/>
        <v>0.70877567828000398</v>
      </c>
      <c r="R10" s="1"/>
    </row>
    <row r="11" spans="1:18" ht="30" customHeight="1">
      <c r="A11" t="str">
        <f>_xlfn.LET(_xlpm.c,_xlfn.SINGLE(Table1[condition]),_xlfn.TEXTBEFORE(_xlpm.c,"-"))</f>
        <v>english</v>
      </c>
      <c r="B11">
        <f>_xlfn.LET(_xlpm.c,_xlfn.SINGLE(Table1[condition]),IF(RIGHT(_xlpm.c,2)="1g",1,0))</f>
        <v>0</v>
      </c>
      <c r="C11" t="s">
        <v>18</v>
      </c>
      <c r="D11" s="1">
        <v>0.71201156241404995</v>
      </c>
      <c r="E11" s="1">
        <v>0.76025744859454103</v>
      </c>
      <c r="F11" s="1">
        <v>0.74430453080469705</v>
      </c>
      <c r="G11" s="1">
        <v>0.808883007951538</v>
      </c>
      <c r="H11" s="1">
        <v>0.763372941988539</v>
      </c>
      <c r="I11" s="1">
        <v>0.73889710029260303</v>
      </c>
      <c r="J11" s="1">
        <v>0.73557321980733203</v>
      </c>
      <c r="K11" s="1">
        <v>0.70782848606279103</v>
      </c>
      <c r="L11" s="1">
        <v>0.73694735954634305</v>
      </c>
      <c r="M11" s="1">
        <v>0.68634784174572605</v>
      </c>
      <c r="N11" s="1">
        <v>0.64565481454872198</v>
      </c>
      <c r="O11" s="1">
        <v>0.74772135955462904</v>
      </c>
      <c r="P11" s="1">
        <v>0.75768109961816998</v>
      </c>
      <c r="Q11" s="1">
        <f t="shared" si="0"/>
        <v>0.73426775176382164</v>
      </c>
      <c r="R11" s="1"/>
    </row>
    <row r="12" spans="1:18" ht="30" customHeight="1">
      <c r="A12" t="str">
        <f>_xlfn.LET(_xlpm.c,_xlfn.SINGLE(Table1[condition]),_xlfn.TEXTBEFORE(_xlpm.c,"-"))</f>
        <v>english</v>
      </c>
      <c r="B12">
        <f>_xlfn.LET(_xlpm.c,_xlfn.SINGLE(Table1[condition]),IF(RIGHT(_xlpm.c,2)="1g",1,0))</f>
        <v>0</v>
      </c>
      <c r="C12" t="s">
        <v>19</v>
      </c>
      <c r="D12" s="1">
        <v>0.86083812832946804</v>
      </c>
      <c r="E12" s="1">
        <v>0.85907176734163604</v>
      </c>
      <c r="F12" s="1">
        <v>0.89031650636727699</v>
      </c>
      <c r="G12" s="1">
        <v>0.79400003777693495</v>
      </c>
      <c r="H12" s="1">
        <v>0.86435590551298802</v>
      </c>
      <c r="I12" s="1">
        <v>0.72572535631221702</v>
      </c>
      <c r="J12" s="1">
        <v>0.73373307106137897</v>
      </c>
      <c r="K12" s="1">
        <v>0.769138997087221</v>
      </c>
      <c r="L12" s="1">
        <v>0.67046073024745201</v>
      </c>
      <c r="M12" s="1">
        <v>0.699725151344195</v>
      </c>
      <c r="N12" s="1">
        <v>0.75195114720164602</v>
      </c>
      <c r="O12" s="1">
        <v>0.73054410040791395</v>
      </c>
      <c r="P12" s="1">
        <v>0.838286818484828</v>
      </c>
      <c r="Q12" s="1">
        <f t="shared" si="0"/>
        <v>0.783703670575012</v>
      </c>
      <c r="R12" s="1"/>
    </row>
    <row r="13" spans="1:18" ht="30" customHeight="1">
      <c r="A13" t="str">
        <f>_xlfn.LET(_xlpm.c,_xlfn.SINGLE(Table1[condition]),_xlfn.TEXTBEFORE(_xlpm.c,"-"))</f>
        <v>english</v>
      </c>
      <c r="B13">
        <f>_xlfn.LET(_xlpm.c,_xlfn.SINGLE(Table1[condition]),IF(RIGHT(_xlpm.c,2)="1g",1,0))</f>
        <v>0</v>
      </c>
      <c r="C13" t="s">
        <v>20</v>
      </c>
      <c r="D13" s="1">
        <v>0.88742099865935098</v>
      </c>
      <c r="E13" s="1">
        <v>0.79461150194061703</v>
      </c>
      <c r="F13" s="1">
        <v>0.792903996451787</v>
      </c>
      <c r="G13" s="1">
        <v>0.78023117517847995</v>
      </c>
      <c r="H13" s="1">
        <v>0.76825992356013195</v>
      </c>
      <c r="I13" s="1">
        <v>0.78827390343419201</v>
      </c>
      <c r="J13" s="1">
        <v>0.79400592979145901</v>
      </c>
      <c r="K13" s="1">
        <v>0.77601619692942303</v>
      </c>
      <c r="L13" s="1">
        <v>0.80387701215485097</v>
      </c>
      <c r="M13" s="1">
        <v>0.69194798152856196</v>
      </c>
      <c r="N13" s="1">
        <v>0.61019225754756101</v>
      </c>
      <c r="O13" s="1">
        <v>0.65247623915157305</v>
      </c>
      <c r="P13" s="1">
        <v>0.72328777661393695</v>
      </c>
      <c r="Q13" s="1">
        <f t="shared" si="0"/>
        <v>0.75873114561091737</v>
      </c>
      <c r="R13" s="1"/>
    </row>
    <row r="14" spans="1:18" ht="30" customHeight="1">
      <c r="A14" t="str">
        <f>_xlfn.LET(_xlpm.c,_xlfn.SINGLE(Table1[condition]),_xlfn.TEXTBEFORE(_xlpm.c,"-"))</f>
        <v>english</v>
      </c>
      <c r="B14">
        <f>_xlfn.LET(_xlpm.c,_xlfn.SINGLE(Table1[condition]),IF(RIGHT(_xlpm.c,2)="1g",1,0))</f>
        <v>0</v>
      </c>
      <c r="C14" t="s">
        <v>53</v>
      </c>
      <c r="D14" s="1">
        <v>0.83431445243399205</v>
      </c>
      <c r="E14" s="1">
        <v>0.87042549169238204</v>
      </c>
      <c r="F14" s="1">
        <v>0.88922635810734996</v>
      </c>
      <c r="G14" s="1">
        <v>0.80066332271023299</v>
      </c>
      <c r="H14" s="1">
        <v>0.82842712474618996</v>
      </c>
      <c r="I14" s="1">
        <v>0.73807585025014</v>
      </c>
      <c r="J14" s="1">
        <v>0.72107041911644498</v>
      </c>
      <c r="K14" s="1">
        <v>0.79401468859161295</v>
      </c>
      <c r="L14" s="1">
        <v>0.73577717316617997</v>
      </c>
      <c r="M14" s="1">
        <v>0.73718575401306397</v>
      </c>
      <c r="N14" s="1">
        <v>0.71540343451440103</v>
      </c>
      <c r="O14" s="1">
        <v>0.71919459282367904</v>
      </c>
      <c r="P14" s="1">
        <v>0.76503813202256299</v>
      </c>
      <c r="Q14" s="1">
        <f t="shared" si="0"/>
        <v>0.78067821493755629</v>
      </c>
      <c r="R14" s="1"/>
    </row>
    <row r="15" spans="1:18" ht="30" customHeight="1">
      <c r="A15" t="str">
        <f>_xlfn.LET(_xlpm.c,_xlfn.SINGLE(Table1[condition]),_xlfn.TEXTBEFORE(_xlpm.c,"-"))</f>
        <v>english</v>
      </c>
      <c r="B15">
        <f>_xlfn.LET(_xlpm.c,_xlfn.SINGLE(Table1[condition]),IF(RIGHT(_xlpm.c,2)="1g",1,0))</f>
        <v>0</v>
      </c>
      <c r="C15" t="s">
        <v>54</v>
      </c>
      <c r="D15" s="1">
        <v>0.80869981108334699</v>
      </c>
      <c r="E15" s="1">
        <v>0.80815058890213398</v>
      </c>
      <c r="F15" s="1">
        <v>0.80996334867553399</v>
      </c>
      <c r="G15" s="1">
        <v>0.75976494262695105</v>
      </c>
      <c r="H15" s="1">
        <v>0.77624470476232199</v>
      </c>
      <c r="I15" s="1">
        <v>0.67800209680509105</v>
      </c>
      <c r="J15" s="1">
        <v>0.74669064761112602</v>
      </c>
      <c r="K15" s="1">
        <v>0.72146455081795102</v>
      </c>
      <c r="L15" s="1">
        <v>0.76355841759679799</v>
      </c>
      <c r="M15" s="1">
        <v>0.66577991584804797</v>
      </c>
      <c r="N15" s="1">
        <v>0.70851225532582196</v>
      </c>
      <c r="O15" s="1">
        <v>0.54034817548435399</v>
      </c>
      <c r="P15" s="1">
        <v>0.60731625779944098</v>
      </c>
      <c r="Q15" s="1">
        <f t="shared" si="0"/>
        <v>0.72265351641068609</v>
      </c>
      <c r="R15" s="1"/>
    </row>
    <row r="16" spans="1:18" ht="30" customHeight="1">
      <c r="A16" t="str">
        <f>_xlfn.LET(_xlpm.c,_xlfn.SINGLE(Table1[condition]),_xlfn.TEXTBEFORE(_xlpm.c,"-"))</f>
        <v>french</v>
      </c>
      <c r="B16">
        <f>_xlfn.LET(_xlpm.c,_xlfn.SINGLE(Table1[condition]),IF(RIGHT(_xlpm.c,2)="1g",1,0))</f>
        <v>1</v>
      </c>
      <c r="C16" t="s">
        <v>21</v>
      </c>
      <c r="D16" s="1">
        <v>1</v>
      </c>
      <c r="E16" s="1">
        <v>0.95670538250060999</v>
      </c>
      <c r="F16" s="1">
        <v>0.88028597175907797</v>
      </c>
      <c r="G16" s="1">
        <v>0.91480382175821595</v>
      </c>
      <c r="H16" s="1">
        <v>0.87438190735010801</v>
      </c>
      <c r="I16" s="1">
        <v>0.89683062075589104</v>
      </c>
      <c r="J16" s="1">
        <v>0.79345937663430499</v>
      </c>
      <c r="K16" s="1">
        <v>0.85266807779318499</v>
      </c>
      <c r="L16" s="1">
        <v>0.77864910507445395</v>
      </c>
      <c r="M16" s="1">
        <v>0.85313597784294204</v>
      </c>
      <c r="N16" s="1">
        <v>0.78690259843390697</v>
      </c>
      <c r="O16" s="1">
        <v>0.79870914640663804</v>
      </c>
      <c r="P16" s="1">
        <v>0.80814395334178701</v>
      </c>
      <c r="Q16" s="1">
        <f t="shared" ref="Q16:Q25" si="1">_xlfn.LET(_xlpm.d,$D16:$P16,AVERAGE(_xlpm.d))</f>
        <v>0.86112891843470152</v>
      </c>
      <c r="R16" s="1"/>
    </row>
    <row r="17" spans="1:18" ht="30" customHeight="1">
      <c r="A17" t="str">
        <f>_xlfn.LET(_xlpm.c,_xlfn.SINGLE(Table1[condition]),_xlfn.TEXTBEFORE(_xlpm.c,"-"))</f>
        <v>french</v>
      </c>
      <c r="B17">
        <f>_xlfn.LET(_xlpm.c,_xlfn.SINGLE(Table1[condition]),IF(RIGHT(_xlpm.c,2)="1g",1,0))</f>
        <v>0</v>
      </c>
      <c r="C17" t="s">
        <v>22</v>
      </c>
      <c r="D17" s="1">
        <v>0.75050239390361295</v>
      </c>
      <c r="E17" s="1">
        <v>0.79600815807648995</v>
      </c>
      <c r="F17" s="1">
        <v>0.760066624681627</v>
      </c>
      <c r="G17" s="1">
        <v>0.78638708971315396</v>
      </c>
      <c r="H17" s="1">
        <v>0.76832410531770701</v>
      </c>
      <c r="I17" s="1">
        <v>0.75272083960537295</v>
      </c>
      <c r="J17" s="1">
        <v>0.77431808492061205</v>
      </c>
      <c r="K17" s="1">
        <v>0.81975113593430005</v>
      </c>
      <c r="L17" s="1">
        <v>0.68024551336855199</v>
      </c>
      <c r="M17" s="1">
        <v>0.80904851695041502</v>
      </c>
      <c r="N17" s="1">
        <v>0.668156435733818</v>
      </c>
      <c r="O17" s="1">
        <v>0.70668971373145895</v>
      </c>
      <c r="P17" s="1">
        <v>0.70847190269062899</v>
      </c>
      <c r="Q17" s="1">
        <f t="shared" si="1"/>
        <v>0.75236080881751921</v>
      </c>
      <c r="R17" s="1"/>
    </row>
    <row r="18" spans="1:18" ht="30" customHeight="1">
      <c r="A18" t="str">
        <f>_xlfn.LET(_xlpm.c,_xlfn.SINGLE(Table1[condition]),_xlfn.TEXTBEFORE(_xlpm.c,"-"))</f>
        <v>french</v>
      </c>
      <c r="B18">
        <f>_xlfn.LET(_xlpm.c,_xlfn.SINGLE(Table1[condition]),IF(RIGHT(_xlpm.c,2)="1g",1,0))</f>
        <v>0</v>
      </c>
      <c r="C18" t="s">
        <v>23</v>
      </c>
      <c r="D18" s="1">
        <v>0.75476096399437498</v>
      </c>
      <c r="E18" s="1">
        <v>0.77187090600840602</v>
      </c>
      <c r="F18" s="1">
        <v>0.76071204669523795</v>
      </c>
      <c r="G18" s="1">
        <v>0.81353078031020098</v>
      </c>
      <c r="H18" s="1">
        <v>0.77345606293589897</v>
      </c>
      <c r="I18" s="1">
        <v>0.77402005108493199</v>
      </c>
      <c r="J18" s="1">
        <v>0.74528580531756194</v>
      </c>
      <c r="K18" s="1">
        <v>0.80052527989617395</v>
      </c>
      <c r="L18" s="1">
        <v>0.78216900289023605</v>
      </c>
      <c r="M18" s="1">
        <v>0.74083669577183797</v>
      </c>
      <c r="N18" s="1">
        <v>0.69539065069203798</v>
      </c>
      <c r="O18" s="1">
        <v>0.72600798287710699</v>
      </c>
      <c r="P18" s="1">
        <v>0.69557310122720195</v>
      </c>
      <c r="Q18" s="1">
        <f t="shared" si="1"/>
        <v>0.75647225613086222</v>
      </c>
      <c r="R18" s="1"/>
    </row>
    <row r="19" spans="1:18" ht="30" customHeight="1">
      <c r="A19" t="str">
        <f>_xlfn.LET(_xlpm.c,_xlfn.SINGLE(Table1[condition]),_xlfn.TEXTBEFORE(_xlpm.c,"-"))</f>
        <v>french</v>
      </c>
      <c r="B19">
        <f>_xlfn.LET(_xlpm.c,_xlfn.SINGLE(Table1[condition]),IF(RIGHT(_xlpm.c,2)="1g",1,0))</f>
        <v>0</v>
      </c>
      <c r="C19" t="s">
        <v>24</v>
      </c>
      <c r="D19" s="1">
        <v>0.82899829198757202</v>
      </c>
      <c r="E19" s="1">
        <v>0.81238840282178004</v>
      </c>
      <c r="F19" s="1">
        <v>0.84428081808911204</v>
      </c>
      <c r="G19" s="1">
        <v>0.89161842741313901</v>
      </c>
      <c r="H19" s="1">
        <v>0.79730526820785097</v>
      </c>
      <c r="I19" s="1">
        <v>0.79111950062627201</v>
      </c>
      <c r="J19" s="1">
        <v>0.82822544777307605</v>
      </c>
      <c r="K19" s="1">
        <v>0.75694595052353297</v>
      </c>
      <c r="L19" s="1">
        <v>0.82370067459317098</v>
      </c>
      <c r="M19" s="1">
        <v>0.73968698407002498</v>
      </c>
      <c r="N19" s="1">
        <v>0.81829760848446698</v>
      </c>
      <c r="O19" s="1">
        <v>0.79012929249684505</v>
      </c>
      <c r="P19" s="1">
        <v>0.76648712990730905</v>
      </c>
      <c r="Q19" s="1">
        <f t="shared" si="1"/>
        <v>0.80686029207647336</v>
      </c>
      <c r="R19" s="1"/>
    </row>
    <row r="20" spans="1:18" ht="30" customHeight="1">
      <c r="A20" t="str">
        <f>_xlfn.LET(_xlpm.c,_xlfn.SINGLE(Table1[condition]),_xlfn.TEXTBEFORE(_xlpm.c,"-"))</f>
        <v>french</v>
      </c>
      <c r="B20">
        <f>_xlfn.LET(_xlpm.c,_xlfn.SINGLE(Table1[condition]),IF(RIGHT(_xlpm.c,2)="1g",1,0))</f>
        <v>0</v>
      </c>
      <c r="C20" t="s">
        <v>25</v>
      </c>
      <c r="D20" s="1">
        <v>0.91391572412824695</v>
      </c>
      <c r="E20" s="1">
        <v>0.84583483336038701</v>
      </c>
      <c r="F20" s="1">
        <v>0.87106993909646202</v>
      </c>
      <c r="G20" s="1">
        <v>0.80712887562205204</v>
      </c>
      <c r="H20" s="1">
        <v>0.85315087139991597</v>
      </c>
      <c r="I20" s="1">
        <v>0.82434738517022199</v>
      </c>
      <c r="J20" s="1">
        <v>0.75339718488236995</v>
      </c>
      <c r="K20" s="1">
        <v>0.804523851666335</v>
      </c>
      <c r="L20" s="1">
        <v>0.78420089712317098</v>
      </c>
      <c r="M20" s="1">
        <v>0.74543844153240102</v>
      </c>
      <c r="N20" s="1">
        <v>0.82648489506105305</v>
      </c>
      <c r="O20" s="1">
        <v>0.80305094443673797</v>
      </c>
      <c r="P20" s="1">
        <v>0.71251349448384305</v>
      </c>
      <c r="Q20" s="1">
        <f t="shared" si="1"/>
        <v>0.81115825676639985</v>
      </c>
      <c r="R20" s="1"/>
    </row>
    <row r="21" spans="1:18" ht="30" customHeight="1">
      <c r="A21" t="str">
        <f>_xlfn.LET(_xlpm.c,_xlfn.SINGLE(Table1[condition]),_xlfn.TEXTBEFORE(_xlpm.c,"-"))</f>
        <v>french</v>
      </c>
      <c r="B21">
        <f>_xlfn.LET(_xlpm.c,_xlfn.SINGLE(Table1[condition]),IF(RIGHT(_xlpm.c,2)="1g",1,0))</f>
        <v>0</v>
      </c>
      <c r="C21" t="s">
        <v>55</v>
      </c>
      <c r="D21" s="1">
        <v>0.89801555724630999</v>
      </c>
      <c r="E21" s="1">
        <v>0.90601719889987498</v>
      </c>
      <c r="F21" s="1">
        <v>0.86291256239464098</v>
      </c>
      <c r="G21" s="1">
        <v>0.90785446453067298</v>
      </c>
      <c r="H21" s="1">
        <v>0.80304733781552295</v>
      </c>
      <c r="I21" s="1">
        <v>0.85346941900561102</v>
      </c>
      <c r="J21" s="1">
        <v>0.74265598472503402</v>
      </c>
      <c r="K21" s="1">
        <v>0.79385087510047303</v>
      </c>
      <c r="L21" s="1">
        <v>0.75839420295724203</v>
      </c>
      <c r="M21" s="1">
        <v>0.79313896231257197</v>
      </c>
      <c r="N21" s="1">
        <v>0.73136367445498995</v>
      </c>
      <c r="O21" s="1">
        <v>0.73197021565447895</v>
      </c>
      <c r="P21" s="1">
        <v>0.83812311370567305</v>
      </c>
      <c r="Q21" s="1">
        <f t="shared" si="1"/>
        <v>0.8169856591386998</v>
      </c>
      <c r="R21" s="1"/>
    </row>
    <row r="22" spans="1:18" ht="30" customHeight="1">
      <c r="A22" t="str">
        <f>_xlfn.LET(_xlpm.c,_xlfn.SINGLE(Table1[condition]),_xlfn.TEXTBEFORE(_xlpm.c,"-"))</f>
        <v>french</v>
      </c>
      <c r="B22">
        <f>_xlfn.LET(_xlpm.c,_xlfn.SINGLE(Table1[condition]),IF(RIGHT(_xlpm.c,2)="1g",1,0))</f>
        <v>0</v>
      </c>
      <c r="C22" t="s">
        <v>56</v>
      </c>
      <c r="D22" s="1">
        <v>0.86513903211417897</v>
      </c>
      <c r="E22" s="1">
        <v>0.90284679541217205</v>
      </c>
      <c r="F22" s="1">
        <v>0.89499297148118395</v>
      </c>
      <c r="G22" s="1">
        <v>0.84452788443292903</v>
      </c>
      <c r="H22" s="1">
        <v>0.82580348223614697</v>
      </c>
      <c r="I22" s="1">
        <v>0.84768532871834001</v>
      </c>
      <c r="J22" s="1">
        <v>0.85176640634601397</v>
      </c>
      <c r="K22" s="1">
        <v>0.72417753364429904</v>
      </c>
      <c r="L22" s="1">
        <v>0.73738955943600804</v>
      </c>
      <c r="M22" s="1">
        <v>0.68934798655655605</v>
      </c>
      <c r="N22" s="1">
        <v>0.75868914018191902</v>
      </c>
      <c r="O22" s="1">
        <v>0.78356980400378495</v>
      </c>
      <c r="P22" s="1">
        <v>0.77978036394989503</v>
      </c>
      <c r="Q22" s="1">
        <f t="shared" si="1"/>
        <v>0.80813202219334046</v>
      </c>
      <c r="R22" s="1"/>
    </row>
    <row r="23" spans="1:18" ht="30" customHeight="1">
      <c r="A23" t="str">
        <f>_xlfn.LET(_xlpm.c,_xlfn.SINGLE(Table1[condition]),_xlfn.TEXTBEFORE(_xlpm.c,"-"))</f>
        <v>german</v>
      </c>
      <c r="B23">
        <f>_xlfn.LET(_xlpm.c,_xlfn.SINGLE(Table1[condition]),IF(RIGHT(_xlpm.c,2)="1g",1,0))</f>
        <v>1</v>
      </c>
      <c r="C23" t="s">
        <v>26</v>
      </c>
      <c r="D23" s="1">
        <v>1</v>
      </c>
      <c r="E23" s="1">
        <v>0.94646378444566504</v>
      </c>
      <c r="F23" s="1">
        <v>0.91658723456998203</v>
      </c>
      <c r="G23" s="1">
        <v>0.88380763709514898</v>
      </c>
      <c r="H23" s="1">
        <v>0.79858874065086805</v>
      </c>
      <c r="I23" s="1">
        <v>0.86106455203010501</v>
      </c>
      <c r="J23" s="1">
        <v>0.79208855966654601</v>
      </c>
      <c r="K23" s="1">
        <v>0.74623931140363498</v>
      </c>
      <c r="L23" s="1">
        <v>0.77521775387084102</v>
      </c>
      <c r="M23" s="1">
        <v>0.74826120000458496</v>
      </c>
      <c r="N23" s="1">
        <v>0.86572351301838701</v>
      </c>
      <c r="O23" s="1">
        <v>0.76040444474880198</v>
      </c>
      <c r="P23" s="1">
        <v>0.81333969569995102</v>
      </c>
      <c r="Q23" s="1">
        <f t="shared" si="1"/>
        <v>0.83906049440034747</v>
      </c>
      <c r="R23" s="1"/>
    </row>
    <row r="24" spans="1:18" ht="30" customHeight="1">
      <c r="A24" t="str">
        <f>_xlfn.LET(_xlpm.c,_xlfn.SINGLE(Table1[condition]),_xlfn.TEXTBEFORE(_xlpm.c,"-"))</f>
        <v>german</v>
      </c>
      <c r="B24">
        <f>_xlfn.LET(_xlpm.c,_xlfn.SINGLE(Table1[condition]),IF(RIGHT(_xlpm.c,2)="1g",1,0))</f>
        <v>0</v>
      </c>
      <c r="C24" t="s">
        <v>27</v>
      </c>
      <c r="D24" s="1">
        <v>0.83640311239162901</v>
      </c>
      <c r="E24" s="1">
        <v>0.79367879824407095</v>
      </c>
      <c r="F24" s="1">
        <v>0.73625384012532502</v>
      </c>
      <c r="G24" s="1">
        <v>0.74120306092655996</v>
      </c>
      <c r="H24" s="1">
        <v>0.78469244692036999</v>
      </c>
      <c r="I24" s="1">
        <v>0.88434925315862301</v>
      </c>
      <c r="J24" s="1">
        <v>0.838202135633769</v>
      </c>
      <c r="K24" s="1">
        <v>0.75919796511314896</v>
      </c>
      <c r="L24" s="1">
        <v>0.68257221984181604</v>
      </c>
      <c r="M24" s="1">
        <v>0.68198984446258004</v>
      </c>
      <c r="N24" s="1">
        <v>0.74217544500417898</v>
      </c>
      <c r="O24" s="1">
        <v>0.79397427978838098</v>
      </c>
      <c r="P24" s="1">
        <v>0.87800698408177102</v>
      </c>
      <c r="Q24" s="1">
        <f t="shared" si="1"/>
        <v>0.78097687582247866</v>
      </c>
      <c r="R24" s="1"/>
    </row>
    <row r="25" spans="1:18" ht="30" customHeight="1">
      <c r="A25" t="str">
        <f>_xlfn.LET(_xlpm.c,_xlfn.SINGLE(Table1[condition]),_xlfn.TEXTBEFORE(_xlpm.c,"-"))</f>
        <v>german</v>
      </c>
      <c r="B25">
        <f>_xlfn.LET(_xlpm.c,_xlfn.SINGLE(Table1[condition]),IF(RIGHT(_xlpm.c,2)="1g",1,0))</f>
        <v>0</v>
      </c>
      <c r="C25" t="s">
        <v>28</v>
      </c>
      <c r="D25" s="1">
        <v>0.90655093191815705</v>
      </c>
      <c r="E25" s="1">
        <v>0.78119338146498796</v>
      </c>
      <c r="F25" s="1">
        <v>0.84542375487916399</v>
      </c>
      <c r="G25" s="1">
        <v>0.78135287627482997</v>
      </c>
      <c r="H25" s="1">
        <v>0.78060139772464099</v>
      </c>
      <c r="I25" s="1">
        <v>0.75157995887350304</v>
      </c>
      <c r="J25" s="1">
        <v>0.75541567722361103</v>
      </c>
      <c r="K25" s="1">
        <v>0.81832344239094601</v>
      </c>
      <c r="L25" s="1">
        <v>0.83609699080150801</v>
      </c>
      <c r="M25" s="1">
        <v>0.80133502584593996</v>
      </c>
      <c r="N25" s="1">
        <v>0.72050286619860804</v>
      </c>
      <c r="O25" s="1">
        <v>0.715242000462191</v>
      </c>
      <c r="P25" s="1">
        <v>0.733920534148364</v>
      </c>
      <c r="Q25" s="1">
        <f t="shared" si="1"/>
        <v>0.78673375678511148</v>
      </c>
      <c r="R25" s="1"/>
    </row>
    <row r="26" spans="1:18" ht="30" customHeight="1">
      <c r="A26" t="str">
        <f>_xlfn.LET(_xlpm.c,_xlfn.SINGLE(Table1[condition]),_xlfn.TEXTBEFORE(_xlpm.c,"-"))</f>
        <v>german</v>
      </c>
      <c r="B26">
        <f>_xlfn.LET(_xlpm.c,_xlfn.SINGLE(Table1[condition]),IF(RIGHT(_xlpm.c,2)="1g",1,0))</f>
        <v>0</v>
      </c>
      <c r="C26" t="s">
        <v>29</v>
      </c>
      <c r="D26" s="1">
        <v>0.81580817639782499</v>
      </c>
      <c r="E26" s="1">
        <v>0.79156338842279494</v>
      </c>
      <c r="F26" s="1">
        <v>0.801324639047026</v>
      </c>
      <c r="G26" s="1">
        <v>0.73362821199264605</v>
      </c>
      <c r="H26" s="1">
        <v>0.762063849545767</v>
      </c>
      <c r="I26" s="1">
        <v>0.76836379227457097</v>
      </c>
      <c r="J26" s="1">
        <v>0.81495209309034899</v>
      </c>
      <c r="K26" s="1">
        <v>0.67965367393075204</v>
      </c>
      <c r="L26" s="1">
        <v>0.71430683041634502</v>
      </c>
      <c r="M26" s="1">
        <v>0.81582547867854904</v>
      </c>
      <c r="N26" s="1">
        <v>0.72119287375985897</v>
      </c>
      <c r="O26" s="1">
        <v>0.76937226244790402</v>
      </c>
      <c r="P26" s="1">
        <v>0.64176644277717199</v>
      </c>
      <c r="Q26" s="1">
        <f t="shared" si="0"/>
        <v>0.75614013175242778</v>
      </c>
      <c r="R26" s="1"/>
    </row>
    <row r="27" spans="1:18" ht="30" customHeight="1">
      <c r="A27" t="str">
        <f>_xlfn.LET(_xlpm.c,_xlfn.SINGLE(Table1[condition]),_xlfn.TEXTBEFORE(_xlpm.c,"-"))</f>
        <v>german</v>
      </c>
      <c r="B27">
        <f>_xlfn.LET(_xlpm.c,_xlfn.SINGLE(Table1[condition]),IF(RIGHT(_xlpm.c,2)="1g",1,0))</f>
        <v>0</v>
      </c>
      <c r="C27" t="s">
        <v>30</v>
      </c>
      <c r="D27" s="1">
        <v>0.81492438387503796</v>
      </c>
      <c r="E27" s="1">
        <v>0.810280196528264</v>
      </c>
      <c r="F27" s="1">
        <v>0.81197447468463502</v>
      </c>
      <c r="G27" s="1">
        <v>0.85708758346374103</v>
      </c>
      <c r="H27" s="1">
        <v>0.82305467217713302</v>
      </c>
      <c r="I27" s="1">
        <v>0.77307420827317797</v>
      </c>
      <c r="J27" s="1">
        <v>0.74240045768874097</v>
      </c>
      <c r="K27" s="1">
        <v>0.750910503326636</v>
      </c>
      <c r="L27" s="1">
        <v>0.76570651253266697</v>
      </c>
      <c r="M27" s="1">
        <v>0.77375221551370099</v>
      </c>
      <c r="N27" s="1">
        <v>0.61724390031240395</v>
      </c>
      <c r="O27" s="1">
        <v>0.70233989278403497</v>
      </c>
      <c r="P27" s="1">
        <v>0.72459253137280599</v>
      </c>
      <c r="Q27" s="1">
        <f t="shared" si="0"/>
        <v>0.76671857942561372</v>
      </c>
      <c r="R27" s="1"/>
    </row>
    <row r="28" spans="1:18" ht="30" customHeight="1">
      <c r="A28" t="str">
        <f>_xlfn.LET(_xlpm.c,_xlfn.SINGLE(Table1[condition]),_xlfn.TEXTBEFORE(_xlpm.c,"-"))</f>
        <v>german</v>
      </c>
      <c r="B28">
        <f>_xlfn.LET(_xlpm.c,_xlfn.SINGLE(Table1[condition]),IF(RIGHT(_xlpm.c,2)="1g",1,0))</f>
        <v>0</v>
      </c>
      <c r="C28" t="s">
        <v>57</v>
      </c>
      <c r="D28" s="1">
        <v>0.90080455551205996</v>
      </c>
      <c r="E28" s="1">
        <v>0.89248932044357498</v>
      </c>
      <c r="F28" s="1">
        <v>0.85277229078099304</v>
      </c>
      <c r="G28" s="1">
        <v>0.79544515054626197</v>
      </c>
      <c r="H28" s="1">
        <v>0.79005046932027401</v>
      </c>
      <c r="I28" s="1">
        <v>0.80010004997268103</v>
      </c>
      <c r="J28" s="1">
        <v>0.77926255849361803</v>
      </c>
      <c r="K28" s="1">
        <v>0.82656112867611697</v>
      </c>
      <c r="L28" s="1">
        <v>0.78342134257034102</v>
      </c>
      <c r="M28" s="1">
        <v>0.73430259150808097</v>
      </c>
      <c r="N28" s="1">
        <v>0.77083639873571097</v>
      </c>
      <c r="O28" s="1">
        <v>0.73860401368586703</v>
      </c>
      <c r="P28" s="1">
        <v>0.65315046011187605</v>
      </c>
      <c r="Q28" s="1">
        <f t="shared" si="0"/>
        <v>0.79367694848903492</v>
      </c>
      <c r="R28" s="1"/>
    </row>
    <row r="29" spans="1:18" ht="30" customHeight="1">
      <c r="A29" t="str">
        <f>_xlfn.LET(_xlpm.c,_xlfn.SINGLE(Table1[condition]),_xlfn.TEXTBEFORE(_xlpm.c,"-"))</f>
        <v>german</v>
      </c>
      <c r="B29">
        <f>_xlfn.LET(_xlpm.c,_xlfn.SINGLE(Table1[condition]),IF(RIGHT(_xlpm.c,2)="1g",1,0))</f>
        <v>0</v>
      </c>
      <c r="C29" t="s">
        <v>58</v>
      </c>
      <c r="D29" s="1">
        <v>0.83319425992699203</v>
      </c>
      <c r="E29" s="1">
        <v>0.87697792876555603</v>
      </c>
      <c r="F29" s="1">
        <v>0.79638119415758901</v>
      </c>
      <c r="G29" s="1">
        <v>0.87631751185164297</v>
      </c>
      <c r="H29" s="1">
        <v>0.81245255169526898</v>
      </c>
      <c r="I29" s="1">
        <v>0.75031361647564299</v>
      </c>
      <c r="J29" s="1">
        <v>0.78912317172494195</v>
      </c>
      <c r="K29" s="1">
        <v>0.71791861073365204</v>
      </c>
      <c r="L29" s="1">
        <v>0.62803424504712102</v>
      </c>
      <c r="M29" s="1">
        <v>0.63247060108379305</v>
      </c>
      <c r="N29" s="1">
        <v>0.61712632608556295</v>
      </c>
      <c r="O29" s="1">
        <v>0.64755624301368897</v>
      </c>
      <c r="P29" s="1">
        <v>0.604986440100027</v>
      </c>
      <c r="Q29" s="1">
        <f t="shared" si="0"/>
        <v>0.73714251543549847</v>
      </c>
      <c r="R29" s="1"/>
    </row>
    <row r="30" spans="1:18" ht="30" customHeight="1">
      <c r="A30" t="str">
        <f>_xlfn.LET(_xlpm.c,_xlfn.SINGLE(Table1[condition]),_xlfn.TEXTBEFORE(_xlpm.c,"-"))</f>
        <v>russian</v>
      </c>
      <c r="B30">
        <f>_xlfn.LET(_xlpm.c,_xlfn.SINGLE(Table1[condition]),IF(RIGHT(_xlpm.c,2)="1g",1,0))</f>
        <v>1</v>
      </c>
      <c r="C30" t="s">
        <v>31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f t="shared" si="0"/>
        <v>1</v>
      </c>
      <c r="R30" s="1"/>
    </row>
    <row r="31" spans="1:18" ht="30" customHeight="1">
      <c r="A31" t="str">
        <f>_xlfn.LET(_xlpm.c,_xlfn.SINGLE(Table1[condition]),_xlfn.TEXTBEFORE(_xlpm.c,"-"))</f>
        <v>russian</v>
      </c>
      <c r="B31">
        <f>_xlfn.LET(_xlpm.c,_xlfn.SINGLE(Table1[condition]),IF(RIGHT(_xlpm.c,2)="1g",1,0))</f>
        <v>0</v>
      </c>
      <c r="C31" t="s">
        <v>32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f t="shared" si="0"/>
        <v>1</v>
      </c>
      <c r="R31" s="1"/>
    </row>
    <row r="32" spans="1:18" ht="30" customHeight="1">
      <c r="A32" t="str">
        <f>_xlfn.LET(_xlpm.c,_xlfn.SINGLE(Table1[condition]),_xlfn.TEXTBEFORE(_xlpm.c,"-"))</f>
        <v>russian</v>
      </c>
      <c r="B32">
        <f>_xlfn.LET(_xlpm.c,_xlfn.SINGLE(Table1[condition]),IF(RIGHT(_xlpm.c,2)="1g",1,0))</f>
        <v>0</v>
      </c>
      <c r="C32" t="s">
        <v>33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 t="shared" si="0"/>
        <v>1</v>
      </c>
      <c r="R32" s="1"/>
    </row>
    <row r="33" spans="1:18" ht="30" customHeight="1">
      <c r="A33" t="str">
        <f>_xlfn.LET(_xlpm.c,_xlfn.SINGLE(Table1[condition]),_xlfn.TEXTBEFORE(_xlpm.c,"-"))</f>
        <v>russian</v>
      </c>
      <c r="B33">
        <f>_xlfn.LET(_xlpm.c,_xlfn.SINGLE(Table1[condition]),IF(RIGHT(_xlpm.c,2)="1g",1,0))</f>
        <v>0</v>
      </c>
      <c r="C33" t="s">
        <v>34</v>
      </c>
      <c r="D33" s="1">
        <v>1</v>
      </c>
      <c r="E33" s="1">
        <v>1</v>
      </c>
      <c r="F33" s="1">
        <v>0.99731090143447798</v>
      </c>
      <c r="G33" s="1">
        <v>1</v>
      </c>
      <c r="H33" s="1">
        <v>1</v>
      </c>
      <c r="I33" s="1">
        <v>1</v>
      </c>
      <c r="J33" s="1">
        <v>0.98697776782947799</v>
      </c>
      <c r="K33" s="1">
        <v>1</v>
      </c>
      <c r="L33" s="1">
        <v>0.99122018263692002</v>
      </c>
      <c r="M33" s="1">
        <v>0.97906019231322605</v>
      </c>
      <c r="N33" s="1">
        <v>0.98979485566356196</v>
      </c>
      <c r="O33" s="1">
        <v>1</v>
      </c>
      <c r="P33" s="1">
        <v>0.96405523348253896</v>
      </c>
      <c r="Q33" s="1">
        <f t="shared" si="0"/>
        <v>0.99295531795078473</v>
      </c>
      <c r="R33" s="1"/>
    </row>
    <row r="34" spans="1:18" ht="30" customHeight="1">
      <c r="A34" t="str">
        <f>_xlfn.LET(_xlpm.c,_xlfn.SINGLE(Table1[condition]),_xlfn.TEXTBEFORE(_xlpm.c,"-"))</f>
        <v>russian</v>
      </c>
      <c r="B34">
        <f>_xlfn.LET(_xlpm.c,_xlfn.SINGLE(Table1[condition]),IF(RIGHT(_xlpm.c,2)="1g",1,0))</f>
        <v>0</v>
      </c>
      <c r="C34" t="s">
        <v>35</v>
      </c>
      <c r="D34" s="1">
        <v>1</v>
      </c>
      <c r="E34" s="1">
        <v>0.980355388232097</v>
      </c>
      <c r="F34" s="1">
        <v>0.99341506295121595</v>
      </c>
      <c r="G34" s="1">
        <v>1</v>
      </c>
      <c r="H34" s="1">
        <v>0.98962630104902005</v>
      </c>
      <c r="I34" s="1">
        <v>1</v>
      </c>
      <c r="J34" s="1">
        <v>0.95296263304560103</v>
      </c>
      <c r="K34" s="1">
        <v>1</v>
      </c>
      <c r="L34" s="1">
        <v>0.95698133971150401</v>
      </c>
      <c r="M34" s="1">
        <v>1</v>
      </c>
      <c r="N34" s="1">
        <v>0.95544514963322802</v>
      </c>
      <c r="O34" s="1">
        <v>0.92168837284602201</v>
      </c>
      <c r="P34" s="1">
        <v>0.754365052314664</v>
      </c>
      <c r="Q34" s="1">
        <f t="shared" si="0"/>
        <v>0.96191071536795014</v>
      </c>
      <c r="R34" s="1"/>
    </row>
    <row r="35" spans="1:18" ht="30" customHeight="1">
      <c r="A35" t="str">
        <f>_xlfn.LET(_xlpm.c,_xlfn.SINGLE(Table1[condition]),_xlfn.TEXTBEFORE(_xlpm.c,"-"))</f>
        <v>russian</v>
      </c>
      <c r="B35">
        <f>_xlfn.LET(_xlpm.c,_xlfn.SINGLE(Table1[condition]),IF(RIGHT(_xlpm.c,2)="1g",1,0))</f>
        <v>0</v>
      </c>
      <c r="C35" t="s">
        <v>59</v>
      </c>
      <c r="D35" s="1">
        <v>0.99141776643537005</v>
      </c>
      <c r="E35" s="1">
        <v>1</v>
      </c>
      <c r="F35" s="1">
        <v>1</v>
      </c>
      <c r="G35" s="1">
        <v>0.99105643574121205</v>
      </c>
      <c r="H35" s="1">
        <v>1</v>
      </c>
      <c r="I35" s="1">
        <v>1</v>
      </c>
      <c r="J35" s="1">
        <v>0.99612335145054698</v>
      </c>
      <c r="K35" s="1">
        <v>0.96091985589064399</v>
      </c>
      <c r="L35" s="1">
        <v>1</v>
      </c>
      <c r="M35" s="1">
        <v>0.997890185798467</v>
      </c>
      <c r="N35" s="1">
        <v>0.93135234783953202</v>
      </c>
      <c r="O35" s="1">
        <v>1</v>
      </c>
      <c r="P35" s="1">
        <v>0.89790131946205398</v>
      </c>
      <c r="Q35" s="1">
        <f t="shared" si="0"/>
        <v>0.98205086635521732</v>
      </c>
      <c r="R35" s="1"/>
    </row>
    <row r="36" spans="1:18" ht="30" customHeight="1">
      <c r="A36" t="str">
        <f>_xlfn.LET(_xlpm.c,_xlfn.SINGLE(Table1[condition]),_xlfn.TEXTBEFORE(_xlpm.c,"-"))</f>
        <v>russian</v>
      </c>
      <c r="B36">
        <f>_xlfn.LET(_xlpm.c,_xlfn.SINGLE(Table1[condition]),IF(RIGHT(_xlpm.c,2)="1g",1,0))</f>
        <v>0</v>
      </c>
      <c r="C36" t="s">
        <v>60</v>
      </c>
      <c r="D36" s="1">
        <v>0.99302687704613601</v>
      </c>
      <c r="E36" s="1">
        <v>0.98552584131565202</v>
      </c>
      <c r="F36" s="1">
        <v>1</v>
      </c>
      <c r="G36" s="1">
        <v>0.93104330332457996</v>
      </c>
      <c r="H36" s="1">
        <v>1</v>
      </c>
      <c r="I36" s="1">
        <v>0.895201282342171</v>
      </c>
      <c r="J36" s="1">
        <v>0.94936021489399902</v>
      </c>
      <c r="K36" s="1">
        <v>0.82692991858602904</v>
      </c>
      <c r="L36" s="1">
        <v>0.96730864450821197</v>
      </c>
      <c r="M36" s="1">
        <v>0.93657358779498501</v>
      </c>
      <c r="N36" s="1">
        <v>0.89050142654524</v>
      </c>
      <c r="O36" s="1">
        <v>0.92791179289369496</v>
      </c>
      <c r="P36" s="1">
        <v>0.80299672151866197</v>
      </c>
      <c r="Q36" s="1">
        <f t="shared" si="0"/>
        <v>0.93125997005918171</v>
      </c>
      <c r="R36" s="1"/>
    </row>
    <row r="38" spans="1:18" ht="30" customHeight="1">
      <c r="C38" t="s">
        <v>39</v>
      </c>
    </row>
    <row r="39" spans="1:18" ht="30" customHeight="1">
      <c r="C39" t="s">
        <v>40</v>
      </c>
      <c r="D39" s="2">
        <f>_xlfn.LET(_xlpm.d,D$2:D$36,AVERAGE(_xlpm.d))</f>
        <v>0.91170648691926404</v>
      </c>
      <c r="E39" s="2">
        <f t="shared" ref="E39:Q39" si="2">_xlfn.LET(_xlpm.d,E$2:E$36,AVERAGE(_xlpm.d))</f>
        <v>0.90271097559801783</v>
      </c>
      <c r="F39" s="2">
        <f t="shared" si="2"/>
        <v>0.89620385362570276</v>
      </c>
      <c r="G39" s="2">
        <f t="shared" si="2"/>
        <v>0.89020613797662829</v>
      </c>
      <c r="H39" s="2">
        <f t="shared" si="2"/>
        <v>0.87580741281431984</v>
      </c>
      <c r="I39" s="2">
        <f t="shared" si="2"/>
        <v>0.87031345699543927</v>
      </c>
      <c r="J39" s="2">
        <f t="shared" si="2"/>
        <v>0.86072851064248779</v>
      </c>
      <c r="K39" s="2">
        <f t="shared" si="2"/>
        <v>0.8556591503089267</v>
      </c>
      <c r="L39" s="2">
        <f t="shared" si="2"/>
        <v>0.84645842009147643</v>
      </c>
      <c r="M39" s="2">
        <f t="shared" si="2"/>
        <v>0.83577513594117836</v>
      </c>
      <c r="N39" s="2">
        <f t="shared" si="2"/>
        <v>0.82011953156430073</v>
      </c>
      <c r="O39" s="2">
        <f t="shared" si="2"/>
        <v>0.83093453919186555</v>
      </c>
      <c r="P39" s="2">
        <f t="shared" si="2"/>
        <v>0.82225872076472617</v>
      </c>
      <c r="Q39" s="2">
        <f t="shared" si="2"/>
        <v>0.86299094864879478</v>
      </c>
    </row>
    <row r="40" spans="1:18" ht="30" customHeight="1">
      <c r="C40" t="s">
        <v>41</v>
      </c>
      <c r="D40" s="2" cm="1">
        <f t="array" ref="D40">_xlfn.LET(_xlpm.d,D$2:D$36,_xlpm.f,$A$2:$A$36,_xlpm.k,$C40,AVERAGE(_xlfn._xlws.FILTER(_xlpm.d,_xlpm.f=_xlpm.k)))</f>
        <v>1</v>
      </c>
      <c r="E40" s="2" cm="1">
        <f t="array" ref="E40">_xlfn.LET(_xlpm.d,E$2:E$36,_xlpm.f,$A$2:$A$36,_xlpm.k,$C40,AVERAGE(_xlfn._xlws.FILTER(_xlpm.d,_xlpm.f=_xlpm.k)))</f>
        <v>1</v>
      </c>
      <c r="F40" s="2" cm="1">
        <f t="array" ref="F40">_xlfn.LET(_xlpm.d,F$2:F$36,_xlpm.f,$A$2:$A$36,_xlpm.k,$C40,AVERAGE(_xlfn._xlws.FILTER(_xlpm.d,_xlpm.f=_xlpm.k)))</f>
        <v>0.99476548824526534</v>
      </c>
      <c r="G40" s="2" cm="1">
        <f t="array" ref="G40">_xlfn.LET(_xlpm.d,G$2:G$36,_xlpm.f,$A$2:$A$36,_xlpm.k,$C40,AVERAGE(_xlfn._xlws.FILTER(_xlpm.d,_xlpm.f=_xlpm.k)))</f>
        <v>0.99957458488538464</v>
      </c>
      <c r="H40" s="2" cm="1">
        <f t="array" ref="H40">_xlfn.LET(_xlpm.d,H$2:H$36,_xlpm.f,$A$2:$A$36,_xlpm.k,$C40,AVERAGE(_xlfn._xlws.FILTER(_xlpm.d,_xlpm.f=_xlpm.k)))</f>
        <v>0.97795559301675261</v>
      </c>
      <c r="I40" s="2" cm="1">
        <f t="array" ref="I40">_xlfn.LET(_xlpm.d,I$2:I$36,_xlpm.f,$A$2:$A$36,_xlpm.k,$C40,AVERAGE(_xlfn._xlws.FILTER(_xlpm.d,_xlpm.f=_xlpm.k)))</f>
        <v>0.99381505464294428</v>
      </c>
      <c r="J40" s="2" cm="1">
        <f t="array" ref="J40">_xlfn.LET(_xlpm.d,J$2:J$36,_xlpm.f,$A$2:$A$36,_xlpm.k,$C40,AVERAGE(_xlfn._xlws.FILTER(_xlpm.d,_xlpm.f=_xlpm.k)))</f>
        <v>0.99256407771144095</v>
      </c>
      <c r="K40" s="2" cm="1">
        <f t="array" ref="K40">_xlfn.LET(_xlpm.d,K$2:K$36,_xlpm.f,$A$2:$A$36,_xlpm.k,$C40,AVERAGE(_xlfn._xlws.FILTER(_xlpm.d,_xlpm.f=_xlpm.k)))</f>
        <v>0.99572683487685232</v>
      </c>
      <c r="L40" s="2" cm="1">
        <f t="array" ref="L40">_xlfn.LET(_xlpm.d,L$2:L$36,_xlpm.f,$A$2:$A$36,_xlpm.k,$C40,AVERAGE(_xlfn._xlws.FILTER(_xlpm.d,_xlpm.f=_xlpm.k)))</f>
        <v>0.99346631924402418</v>
      </c>
      <c r="M40" s="2" cm="1">
        <f t="array" ref="M40">_xlfn.LET(_xlpm.d,M$2:M$36,_xlpm.f,$A$2:$A$36,_xlpm.k,$C40,AVERAGE(_xlfn._xlws.FILTER(_xlpm.d,_xlpm.f=_xlpm.k)))</f>
        <v>0.99033166567394348</v>
      </c>
      <c r="N40" s="2" cm="1">
        <f t="array" ref="N40">_xlfn.LET(_xlpm.d,N$2:N$36,_xlpm.f,$A$2:$A$36,_xlpm.k,$C40,AVERAGE(_xlfn._xlws.FILTER(_xlpm.d,_xlpm.f=_xlpm.k)))</f>
        <v>0.97322678417332908</v>
      </c>
      <c r="O40" s="2" cm="1">
        <f t="array" ref="O40">_xlfn.LET(_xlpm.d,O$2:O$36,_xlpm.f,$A$2:$A$36,_xlpm.k,$C40,AVERAGE(_xlfn._xlws.FILTER(_xlpm.d,_xlpm.f=_xlpm.k)))</f>
        <v>0.98810867531490054</v>
      </c>
      <c r="P40" s="2" cm="1">
        <f t="array" ref="P40">_xlfn.LET(_xlpm.d,P$2:P$36,_xlpm.f,$A$2:$A$36,_xlpm.k,$C40,AVERAGE(_xlfn._xlws.FILTER(_xlpm.d,_xlpm.f=_xlpm.k)))</f>
        <v>0.99180824732620698</v>
      </c>
      <c r="Q40" s="2" cm="1">
        <f t="array" ref="Q40">_xlfn.LET(_xlpm.d,Q$2:Q$36,_xlpm.f,$A$2:$A$36,_xlpm.k,$C40,AVERAGE(_xlfn._xlws.FILTER(_xlpm.d,_xlpm.f=_xlpm.k)))</f>
        <v>0.99164179423931109</v>
      </c>
    </row>
    <row r="41" spans="1:18" ht="30" customHeight="1">
      <c r="C41" t="s">
        <v>42</v>
      </c>
      <c r="D41" s="2" cm="1">
        <f t="array" ref="D41">_xlfn.LET(_xlpm.d,D$2:D$36,_xlpm.f,$A$2:$A$36,_xlpm.k,$C41,AVERAGE(_xlfn._xlws.FILTER(_xlpm.d,_xlpm.f=_xlpm.k)))</f>
        <v>0.82946643075667637</v>
      </c>
      <c r="E41" s="2" cm="1">
        <f t="array" ref="E41">_xlfn.LET(_xlpm.d,E$2:E$36,_xlpm.f,$A$2:$A$36,_xlpm.k,$C41,AVERAGE(_xlfn._xlws.FILTER(_xlpm.d,_xlpm.f=_xlpm.k)))</f>
        <v>0.82066920585546321</v>
      </c>
      <c r="F41" s="2" cm="1">
        <f t="array" ref="F41">_xlfn.LET(_xlpm.d,F$2:F$36,_xlpm.f,$A$2:$A$36,_xlpm.k,$C41,AVERAGE(_xlfn._xlws.FILTER(_xlpm.d,_xlpm.f=_xlpm.k)))</f>
        <v>0.8254303046221414</v>
      </c>
      <c r="G41" s="2" cm="1">
        <f t="array" ref="G41">_xlfn.LET(_xlpm.d,G$2:G$36,_xlpm.f,$A$2:$A$36,_xlpm.k,$C41,AVERAGE(_xlfn._xlws.FILTER(_xlpm.d,_xlpm.f=_xlpm.k)))</f>
        <v>0.80048565999818799</v>
      </c>
      <c r="H41" s="2" cm="1">
        <f t="array" ref="H41">_xlfn.LET(_xlpm.d,H$2:H$36,_xlpm.f,$A$2:$A$36,_xlpm.k,$C41,AVERAGE(_xlfn._xlws.FILTER(_xlpm.d,_xlpm.f=_xlpm.k)))</f>
        <v>0.79585297614820427</v>
      </c>
      <c r="I41" s="2" cm="1">
        <f t="array" ref="I41">_xlfn.LET(_xlpm.d,I$2:I$36,_xlpm.f,$A$2:$A$36,_xlpm.k,$C41,AVERAGE(_xlfn._xlws.FILTER(_xlpm.d,_xlpm.f=_xlpm.k)))</f>
        <v>0.75428939342466417</v>
      </c>
      <c r="J41" s="2" cm="1">
        <f t="array" ref="J41">_xlfn.LET(_xlpm.d,J$2:J$36,_xlpm.f,$A$2:$A$36,_xlpm.k,$C41,AVERAGE(_xlfn._xlws.FILTER(_xlpm.d,_xlpm.f=_xlpm.k)))</f>
        <v>0.75593891673811675</v>
      </c>
      <c r="K41" s="2" cm="1">
        <f t="array" ref="K41">_xlfn.LET(_xlpm.d,K$2:K$36,_xlpm.f,$A$2:$A$36,_xlpm.k,$C41,AVERAGE(_xlfn._xlws.FILTER(_xlpm.d,_xlpm.f=_xlpm.k)))</f>
        <v>0.76269790029494489</v>
      </c>
      <c r="L41" s="2" cm="1">
        <f t="array" ref="L41">_xlfn.LET(_xlpm.d,L$2:L$36,_xlpm.f,$A$2:$A$36,_xlpm.k,$C41,AVERAGE(_xlfn._xlws.FILTER(_xlpm.d,_xlpm.f=_xlpm.k)))</f>
        <v>0.74659506444477119</v>
      </c>
      <c r="M41" s="2" cm="1">
        <f t="array" ref="M41">_xlfn.LET(_xlpm.d,M$2:M$36,_xlpm.f,$A$2:$A$36,_xlpm.k,$C41,AVERAGE(_xlfn._xlws.FILTER(_xlpm.d,_xlpm.f=_xlpm.k)))</f>
        <v>0.69253051574042634</v>
      </c>
      <c r="N41" s="2" cm="1">
        <f t="array" ref="N41">_xlfn.LET(_xlpm.d,N$2:N$36,_xlpm.f,$A$2:$A$36,_xlpm.k,$C41,AVERAGE(_xlfn._xlws.FILTER(_xlpm.d,_xlpm.f=_xlpm.k)))</f>
        <v>0.68348800138553722</v>
      </c>
      <c r="O41" s="2" cm="1">
        <f t="array" ref="O41">_xlfn.LET(_xlpm.d,O$2:O$36,_xlpm.f,$A$2:$A$36,_xlpm.k,$C41,AVERAGE(_xlfn._xlws.FILTER(_xlpm.d,_xlpm.f=_xlpm.k)))</f>
        <v>0.69267539174762294</v>
      </c>
      <c r="P41" s="2" cm="1">
        <f t="array" ref="P41">_xlfn.LET(_xlpm.d,P$2:P$36,_xlpm.f,$A$2:$A$36,_xlpm.k,$C41,AVERAGE(_xlfn._xlws.FILTER(_xlpm.d,_xlpm.f=_xlpm.k)))</f>
        <v>0.72260328872939072</v>
      </c>
      <c r="Q41" s="2" cm="1">
        <f t="array" ref="Q41">_xlfn.LET(_xlpm.d,Q$2:Q$36,_xlpm.f,$A$2:$A$36,_xlpm.k,$C41,AVERAGE(_xlfn._xlws.FILTER(_xlpm.d,_xlpm.f=_xlpm.k)))</f>
        <v>0.76020946537585754</v>
      </c>
    </row>
    <row r="42" spans="1:18" ht="30" customHeight="1">
      <c r="C42" t="s">
        <v>43</v>
      </c>
      <c r="D42" s="2" cm="1">
        <f t="array" ref="D42">_xlfn.LET(_xlpm.d,D$2:D$36,_xlpm.f,$A$2:$A$36,_xlpm.k,$C42,AVERAGE(_xlfn._xlws.FILTER(_xlpm.d,_xlpm.f=_xlpm.k)))</f>
        <v>0.85876170905347082</v>
      </c>
      <c r="E42" s="2" cm="1">
        <f t="array" ref="E42">_xlfn.LET(_xlpm.d,E$2:E$36,_xlpm.f,$A$2:$A$36,_xlpm.k,$C42,AVERAGE(_xlfn._xlws.FILTER(_xlpm.d,_xlpm.f=_xlpm.k)))</f>
        <v>0.85595309672567421</v>
      </c>
      <c r="F42" s="2" cm="1">
        <f t="array" ref="F42">_xlfn.LET(_xlpm.d,F$2:F$36,_xlpm.f,$A$2:$A$36,_xlpm.k,$C42,AVERAGE(_xlfn._xlws.FILTER(_xlpm.d,_xlpm.f=_xlpm.k)))</f>
        <v>0.83918870488533437</v>
      </c>
      <c r="G42" s="2" cm="1">
        <f t="array" ref="G42">_xlfn.LET(_xlpm.d,G$2:G$36,_xlpm.f,$A$2:$A$36,_xlpm.k,$C42,AVERAGE(_xlfn._xlws.FILTER(_xlpm.d,_xlpm.f=_xlpm.k)))</f>
        <v>0.85226447768290914</v>
      </c>
      <c r="H42" s="2" cm="1">
        <f t="array" ref="H42">_xlfn.LET(_xlpm.d,H$2:H$36,_xlpm.f,$A$2:$A$36,_xlpm.k,$C42,AVERAGE(_xlfn._xlws.FILTER(_xlpm.d,_xlpm.f=_xlpm.k)))</f>
        <v>0.81363843360902144</v>
      </c>
      <c r="I42" s="2" cm="1">
        <f t="array" ref="I42">_xlfn.LET(_xlpm.d,I$2:I$36,_xlpm.f,$A$2:$A$36,_xlpm.k,$C42,AVERAGE(_xlfn._xlws.FILTER(_xlpm.d,_xlpm.f=_xlpm.k)))</f>
        <v>0.82002759213809162</v>
      </c>
      <c r="J42" s="2" cm="1">
        <f t="array" ref="J42">_xlfn.LET(_xlpm.d,J$2:J$36,_xlpm.f,$A$2:$A$36,_xlpm.k,$C42,AVERAGE(_xlfn._xlws.FILTER(_xlpm.d,_xlpm.f=_xlpm.k)))</f>
        <v>0.78415832722842471</v>
      </c>
      <c r="K42" s="2" cm="1">
        <f t="array" ref="K42">_xlfn.LET(_xlpm.d,K$2:K$36,_xlpm.f,$A$2:$A$36,_xlpm.k,$C42,AVERAGE(_xlfn._xlws.FILTER(_xlpm.d,_xlpm.f=_xlpm.k)))</f>
        <v>0.79320610065118557</v>
      </c>
      <c r="L42" s="2" cm="1">
        <f t="array" ref="L42">_xlfn.LET(_xlpm.d,L$2:L$36,_xlpm.f,$A$2:$A$36,_xlpm.k,$C42,AVERAGE(_xlfn._xlws.FILTER(_xlpm.d,_xlpm.f=_xlpm.k)))</f>
        <v>0.76353556506326203</v>
      </c>
      <c r="M42" s="2" cm="1">
        <f t="array" ref="M42">_xlfn.LET(_xlpm.d,M$2:M$36,_xlpm.f,$A$2:$A$36,_xlpm.k,$C42,AVERAGE(_xlfn._xlws.FILTER(_xlpm.d,_xlpm.f=_xlpm.k)))</f>
        <v>0.76723336643382123</v>
      </c>
      <c r="N42" s="2" cm="1">
        <f t="array" ref="N42">_xlfn.LET(_xlpm.d,N$2:N$36,_xlpm.f,$A$2:$A$36,_xlpm.k,$C42,AVERAGE(_xlfn._xlws.FILTER(_xlpm.d,_xlpm.f=_xlpm.k)))</f>
        <v>0.75504071472031309</v>
      </c>
      <c r="O42" s="2" cm="1">
        <f t="array" ref="O42">_xlfn.LET(_xlpm.d,O$2:O$36,_xlpm.f,$A$2:$A$36,_xlpm.k,$C42,AVERAGE(_xlfn._xlws.FILTER(_xlpm.d,_xlpm.f=_xlpm.k)))</f>
        <v>0.76287529994386449</v>
      </c>
      <c r="P42" s="2" cm="1">
        <f t="array" ref="P42">_xlfn.LET(_xlpm.d,P$2:P$36,_xlpm.f,$A$2:$A$36,_xlpm.k,$C42,AVERAGE(_xlfn._xlws.FILTER(_xlpm.d,_xlpm.f=_xlpm.k)))</f>
        <v>0.75844186561519111</v>
      </c>
      <c r="Q42" s="2" cm="1">
        <f t="array" ref="Q42">_xlfn.LET(_xlpm.d,Q$2:Q$36,_xlpm.f,$A$2:$A$36,_xlpm.k,$C42,AVERAGE(_xlfn._xlws.FILTER(_xlpm.d,_xlpm.f=_xlpm.k)))</f>
        <v>0.80187117336542801</v>
      </c>
    </row>
    <row r="43" spans="1:18" ht="30" customHeight="1">
      <c r="C43" t="s">
        <v>44</v>
      </c>
      <c r="D43" s="2" cm="1">
        <f t="array" ref="D43">_xlfn.LET(_xlpm.d,D$2:D$36,_xlpm.f,$A$2:$A$36,_xlpm.k,$C43,AVERAGE(_xlfn._xlws.FILTER(_xlpm.d,_xlpm.f=_xlpm.k)))</f>
        <v>0.87252648857452875</v>
      </c>
      <c r="E43" s="2" cm="1">
        <f t="array" ref="E43">_xlfn.LET(_xlpm.d,E$2:E$36,_xlpm.f,$A$2:$A$36,_xlpm.k,$C43,AVERAGE(_xlfn._xlws.FILTER(_xlpm.d,_xlpm.f=_xlpm.k)))</f>
        <v>0.84180668547355919</v>
      </c>
      <c r="F43" s="2" cm="1">
        <f t="array" ref="F43">_xlfn.LET(_xlpm.d,F$2:F$36,_xlpm.f,$A$2:$A$36,_xlpm.k,$C43,AVERAGE(_xlfn._xlws.FILTER(_xlpm.d,_xlpm.f=_xlpm.k)))</f>
        <v>0.82295963260638771</v>
      </c>
      <c r="G43" s="2" cm="1">
        <f t="array" ref="G43">_xlfn.LET(_xlpm.d,G$2:G$36,_xlpm.f,$A$2:$A$36,_xlpm.k,$C43,AVERAGE(_xlfn._xlws.FILTER(_xlpm.d,_xlpm.f=_xlpm.k)))</f>
        <v>0.80983457602154729</v>
      </c>
      <c r="H43" s="2" cm="1">
        <f t="array" ref="H43">_xlfn.LET(_xlpm.d,H$2:H$36,_xlpm.f,$A$2:$A$36,_xlpm.k,$C43,AVERAGE(_xlfn._xlws.FILTER(_xlpm.d,_xlpm.f=_xlpm.k)))</f>
        <v>0.79307201829061746</v>
      </c>
      <c r="I43" s="2" cm="1">
        <f t="array" ref="I43">_xlfn.LET(_xlpm.d,I$2:I$36,_xlpm.f,$A$2:$A$36,_xlpm.k,$C43,AVERAGE(_xlfn._xlws.FILTER(_xlpm.d,_xlpm.f=_xlpm.k)))</f>
        <v>0.79840649015118625</v>
      </c>
      <c r="J43" s="2" cm="1">
        <f t="array" ref="J43">_xlfn.LET(_xlpm.d,J$2:J$36,_xlpm.f,$A$2:$A$36,_xlpm.k,$C43,AVERAGE(_xlfn._xlws.FILTER(_xlpm.d,_xlpm.f=_xlpm.k)))</f>
        <v>0.78734923621736808</v>
      </c>
      <c r="K43" s="2" cm="1">
        <f t="array" ref="K43">_xlfn.LET(_xlpm.d,K$2:K$36,_xlpm.f,$A$2:$A$36,_xlpm.k,$C43,AVERAGE(_xlfn._xlws.FILTER(_xlpm.d,_xlpm.f=_xlpm.k)))</f>
        <v>0.75697209079641248</v>
      </c>
      <c r="L43" s="2" cm="1">
        <f t="array" ref="L43">_xlfn.LET(_xlpm.d,L$2:L$36,_xlpm.f,$A$2:$A$36,_xlpm.k,$C43,AVERAGE(_xlfn._xlws.FILTER(_xlpm.d,_xlpm.f=_xlpm.k)))</f>
        <v>0.74076512786866267</v>
      </c>
      <c r="M43" s="2" cm="1">
        <f t="array" ref="M43">_xlfn.LET(_xlpm.d,M$2:M$36,_xlpm.f,$A$2:$A$36,_xlpm.k,$C43,AVERAGE(_xlfn._xlws.FILTER(_xlpm.d,_xlpm.f=_xlpm.k)))</f>
        <v>0.74113385101388984</v>
      </c>
      <c r="N43" s="2" cm="1">
        <f t="array" ref="N43">_xlfn.LET(_xlpm.d,N$2:N$36,_xlpm.f,$A$2:$A$36,_xlpm.k,$C43,AVERAGE(_xlfn._xlws.FILTER(_xlpm.d,_xlpm.f=_xlpm.k)))</f>
        <v>0.72211447473067292</v>
      </c>
      <c r="O43" s="2" cm="1">
        <f t="array" ref="O43">_xlfn.LET(_xlpm.d,O$2:O$36,_xlpm.f,$A$2:$A$36,_xlpm.k,$C43,AVERAGE(_xlfn._xlws.FILTER(_xlpm.d,_xlpm.f=_xlpm.k)))</f>
        <v>0.73249901956155272</v>
      </c>
      <c r="P43" s="2" cm="1">
        <f t="array" ref="P43">_xlfn.LET(_xlpm.d,P$2:P$36,_xlpm.f,$A$2:$A$36,_xlpm.k,$C43,AVERAGE(_xlfn._xlws.FILTER(_xlpm.d,_xlpm.f=_xlpm.k)))</f>
        <v>0.72139472689885242</v>
      </c>
      <c r="Q43" s="2" cm="1">
        <f t="array" ref="Q43">_xlfn.LET(_xlpm.d,Q$2:Q$36,_xlpm.f,$A$2:$A$36,_xlpm.k,$C43,AVERAGE(_xlfn._xlws.FILTER(_xlpm.d,_xlpm.f=_xlpm.k)))</f>
        <v>0.78006418601578742</v>
      </c>
    </row>
    <row r="44" spans="1:18" ht="30" customHeight="1">
      <c r="C44" t="s">
        <v>45</v>
      </c>
      <c r="D44" s="2" cm="1">
        <f t="array" ref="D44">_xlfn.LET(_xlpm.d,D$2:D$36,_xlpm.f,$A$2:$A$36,_xlpm.k,$C44,AVERAGE(_xlfn._xlws.FILTER(_xlpm.d,_xlpm.f=_xlpm.k)))</f>
        <v>0.99777780621164369</v>
      </c>
      <c r="E44" s="2" cm="1">
        <f t="array" ref="E44">_xlfn.LET(_xlpm.d,E$2:E$36,_xlpm.f,$A$2:$A$36,_xlpm.k,$C44,AVERAGE(_xlfn._xlws.FILTER(_xlpm.d,_xlpm.f=_xlpm.k)))</f>
        <v>0.99512588993539264</v>
      </c>
      <c r="F44" s="2" cm="1">
        <f t="array" ref="F44">_xlfn.LET(_xlpm.d,F$2:F$36,_xlpm.f,$A$2:$A$36,_xlpm.k,$C44,AVERAGE(_xlfn._xlws.FILTER(_xlpm.d,_xlpm.f=_xlpm.k)))</f>
        <v>0.99867513776938488</v>
      </c>
      <c r="G44" s="2" cm="1">
        <f t="array" ref="G44">_xlfn.LET(_xlpm.d,G$2:G$36,_xlpm.f,$A$2:$A$36,_xlpm.k,$C44,AVERAGE(_xlfn._xlws.FILTER(_xlpm.d,_xlpm.f=_xlpm.k)))</f>
        <v>0.98887139129511326</v>
      </c>
      <c r="H44" s="2" cm="1">
        <f t="array" ref="H44">_xlfn.LET(_xlpm.d,H$2:H$36,_xlpm.f,$A$2:$A$36,_xlpm.k,$C44,AVERAGE(_xlfn._xlws.FILTER(_xlpm.d,_xlpm.f=_xlpm.k)))</f>
        <v>0.99851804300700286</v>
      </c>
      <c r="I44" s="2" cm="1">
        <f t="array" ref="I44">_xlfn.LET(_xlpm.d,I$2:I$36,_xlpm.f,$A$2:$A$36,_xlpm.k,$C44,AVERAGE(_xlfn._xlws.FILTER(_xlpm.d,_xlpm.f=_xlpm.k)))</f>
        <v>0.98502875462031014</v>
      </c>
      <c r="J44" s="2" cm="1">
        <f t="array" ref="J44">_xlfn.LET(_xlpm.d,J$2:J$36,_xlpm.f,$A$2:$A$36,_xlpm.k,$C44,AVERAGE(_xlfn._xlws.FILTER(_xlpm.d,_xlpm.f=_xlpm.k)))</f>
        <v>0.98363199531708922</v>
      </c>
      <c r="K44" s="2" cm="1">
        <f t="array" ref="K44">_xlfn.LET(_xlpm.d,K$2:K$36,_xlpm.f,$A$2:$A$36,_xlpm.k,$C44,AVERAGE(_xlfn._xlws.FILTER(_xlpm.d,_xlpm.f=_xlpm.k)))</f>
        <v>0.96969282492523912</v>
      </c>
      <c r="L44" s="2" cm="1">
        <f t="array" ref="L44">_xlfn.LET(_xlpm.d,L$2:L$36,_xlpm.f,$A$2:$A$36,_xlpm.k,$C44,AVERAGE(_xlfn._xlws.FILTER(_xlpm.d,_xlpm.f=_xlpm.k)))</f>
        <v>0.98793002383666229</v>
      </c>
      <c r="M44" s="2" cm="1">
        <f t="array" ref="M44">_xlfn.LET(_xlpm.d,M$2:M$36,_xlpm.f,$A$2:$A$36,_xlpm.k,$C44,AVERAGE(_xlfn._xlws.FILTER(_xlpm.d,_xlpm.f=_xlpm.k)))</f>
        <v>0.98764628084381123</v>
      </c>
      <c r="N44" s="2" cm="1">
        <f t="array" ref="N44">_xlfn.LET(_xlpm.d,N$2:N$36,_xlpm.f,$A$2:$A$36,_xlpm.k,$C44,AVERAGE(_xlfn._xlws.FILTER(_xlpm.d,_xlpm.f=_xlpm.k)))</f>
        <v>0.96672768281165156</v>
      </c>
      <c r="O44" s="2" cm="1">
        <f t="array" ref="O44">_xlfn.LET(_xlpm.d,O$2:O$36,_xlpm.f,$A$2:$A$36,_xlpm.k,$C44,AVERAGE(_xlfn._xlws.FILTER(_xlpm.d,_xlpm.f=_xlpm.k)))</f>
        <v>0.97851430939138806</v>
      </c>
      <c r="P44" s="2" cm="1">
        <f t="array" ref="P44">_xlfn.LET(_xlpm.d,P$2:P$36,_xlpm.f,$A$2:$A$36,_xlpm.k,$C44,AVERAGE(_xlfn._xlws.FILTER(_xlpm.d,_xlpm.f=_xlpm.k)))</f>
        <v>0.91704547525398838</v>
      </c>
      <c r="Q44" s="2" cm="1">
        <f t="array" ref="Q44">_xlfn.LET(_xlpm.d,Q$2:Q$36,_xlpm.f,$A$2:$A$36,_xlpm.k,$C44,AVERAGE(_xlfn._xlws.FILTER(_xlpm.d,_xlpm.f=_xlpm.k)))</f>
        <v>0.98116812424759048</v>
      </c>
    </row>
    <row r="46" spans="1:18" ht="30" customHeight="1">
      <c r="C46" t="s">
        <v>46</v>
      </c>
    </row>
    <row r="47" spans="1:18" ht="30" customHeight="1">
      <c r="C47" t="s">
        <v>40</v>
      </c>
      <c r="D47" s="2" cm="1">
        <f t="array" ref="D47">_xlfn.LET(_xlpm.d,D$2:D$36,_xlpm.g,$B$2:$B$36,_xlpm.k,$C47,AVERAGE(_xlfn._xlws.FILTER(_xlpm.d,(_xlpm.g=0))))</f>
        <v>0.89699090140580795</v>
      </c>
      <c r="E47" s="2" cm="1">
        <f t="array" ref="E47">_xlfn.LET(_xlpm.d,E$2:E$36,_xlpm.g,$B$2:$B$36,_xlpm.k,$C47,AVERAGE(_xlfn._xlws.FILTER(_xlpm.d,(_xlpm.g=0))))</f>
        <v>0.89311238807121107</v>
      </c>
      <c r="F47" s="2" cm="1">
        <f t="array" ref="F47">_xlfn.LET(_xlpm.d,F$2:F$36,_xlpm.g,$B$2:$B$36,_xlpm.k,$C47,AVERAGE(_xlfn._xlws.FILTER(_xlpm.d,(_xlpm.g=0))))</f>
        <v>0.88770677035360457</v>
      </c>
      <c r="G47" s="2" cm="1">
        <f t="array" ref="G47">_xlfn.LET(_xlpm.d,G$2:G$36,_xlpm.g,$B$2:$B$36,_xlpm.k,$C47,AVERAGE(_xlfn._xlws.FILTER(_xlpm.d,(_xlpm.g=0))))</f>
        <v>0.8814296762038708</v>
      </c>
      <c r="H47" s="2" cm="1">
        <f t="array" ref="H47">_xlfn.LET(_xlpm.d,H$2:H$36,_xlpm.g,$B$2:$B$36,_xlpm.k,$C47,AVERAGE(_xlfn._xlws.FILTER(_xlpm.d,(_xlpm.g=0))))</f>
        <v>0.87293406539972029</v>
      </c>
      <c r="I47" s="2" cm="1">
        <f t="array" ref="I47">_xlfn.LET(_xlpm.d,I$2:I$36,_xlpm.g,$B$2:$B$36,_xlpm.k,$C47,AVERAGE(_xlfn._xlws.FILTER(_xlpm.d,(_xlpm.g=0))))</f>
        <v>0.86095646382347568</v>
      </c>
      <c r="J47" s="2" cm="1">
        <f t="array" ref="J47">_xlfn.LET(_xlpm.d,J$2:J$36,_xlpm.g,$B$2:$B$36,_xlpm.k,$C47,AVERAGE(_xlfn._xlws.FILTER(_xlpm.d,(_xlpm.g=0))))</f>
        <v>0.85631318550940494</v>
      </c>
      <c r="K47" s="2" cm="1">
        <f t="array" ref="K47">_xlfn.LET(_xlpm.d,K$2:K$36,_xlpm.g,$B$2:$B$36,_xlpm.k,$C47,AVERAGE(_xlfn._xlws.FILTER(_xlpm.d,(_xlpm.g=0))))</f>
        <v>0.85124463048603605</v>
      </c>
      <c r="L47" s="2" cm="1">
        <f t="array" ref="L47">_xlfn.LET(_xlpm.d,L$2:L$36,_xlpm.g,$B$2:$B$36,_xlpm.k,$C47,AVERAGE(_xlfn._xlws.FILTER(_xlpm.d,(_xlpm.g=0))))</f>
        <v>0.84707517188930403</v>
      </c>
      <c r="M47" s="2" cm="1">
        <f t="array" ref="M47">_xlfn.LET(_xlpm.d,M$2:M$36,_xlpm.g,$B$2:$B$36,_xlpm.k,$C47,AVERAGE(_xlfn._xlws.FILTER(_xlpm.d,(_xlpm.g=0))))</f>
        <v>0.83163513383263554</v>
      </c>
      <c r="N47" s="2" cm="1">
        <f t="array" ref="N47">_xlfn.LET(_xlpm.d,N$2:N$36,_xlpm.g,$B$2:$B$36,_xlpm.k,$C47,AVERAGE(_xlfn._xlws.FILTER(_xlpm.d,(_xlpm.g=0))))</f>
        <v>0.80812352970254986</v>
      </c>
      <c r="O47" s="2" cm="1">
        <f t="array" ref="O47">_xlfn.LET(_xlpm.d,O$2:O$36,_xlpm.g,$B$2:$B$36,_xlpm.k,$C47,AVERAGE(_xlfn._xlws.FILTER(_xlpm.d,(_xlpm.g=0))))</f>
        <v>0.82501647590279681</v>
      </c>
      <c r="P47" s="2" cm="1">
        <f t="array" ref="P47">_xlfn.LET(_xlpm.d,P$2:P$36,_xlpm.g,$B$2:$B$36,_xlpm.k,$C47,AVERAGE(_xlfn._xlws.FILTER(_xlpm.d,(_xlpm.g=0))))</f>
        <v>0.81192452834148221</v>
      </c>
      <c r="Q47" s="2" cm="1">
        <f t="array" ref="Q47">_xlfn.LET(_xlpm.d,Q$2:Q$36,_xlpm.g,$B$2:$B$36,_xlpm.k,$C47,AVERAGE(_xlfn._xlws.FILTER(_xlpm.d,(_xlpm.g=0))))</f>
        <v>0.8557279169939922</v>
      </c>
    </row>
    <row r="48" spans="1:18" ht="30" customHeight="1">
      <c r="C48" t="s">
        <v>41</v>
      </c>
      <c r="D48" s="2" cm="1">
        <f t="array" ref="D48">_xlfn.LET(_xlpm.d,D$2:D$36,_xlpm.f,$A$2:$A$36,_xlpm.g,$B$2:$B$36,_xlpm.k,$C48,AVERAGE(_xlfn._xlws.FILTER(_xlpm.d,(_xlpm.f=_xlpm.k)*(_xlpm.g=0))))</f>
        <v>1</v>
      </c>
      <c r="E48" s="2" cm="1">
        <f t="array" ref="E48">_xlfn.LET(_xlpm.d,E$2:E$36,_xlpm.f,$A$2:$A$36,_xlpm.g,$B$2:$B$36,_xlpm.k,$C48,AVERAGE(_xlfn._xlws.FILTER(_xlpm.d,(_xlpm.f=_xlpm.k)*(_xlpm.g=0))))</f>
        <v>1</v>
      </c>
      <c r="F48" s="2" cm="1">
        <f t="array" ref="F48">_xlfn.LET(_xlpm.d,F$2:F$36,_xlpm.f,$A$2:$A$36,_xlpm.g,$B$2:$B$36,_xlpm.k,$C48,AVERAGE(_xlfn._xlws.FILTER(_xlpm.d,(_xlpm.f=_xlpm.k)*(_xlpm.g=0))))</f>
        <v>0.99389306961947621</v>
      </c>
      <c r="G48" s="2" cm="1">
        <f t="array" ref="G48">_xlfn.LET(_xlpm.d,G$2:G$36,_xlpm.f,$A$2:$A$36,_xlpm.g,$B$2:$B$36,_xlpm.k,$C48,AVERAGE(_xlfn._xlws.FILTER(_xlpm.d,(_xlpm.f=_xlpm.k)*(_xlpm.g=0))))</f>
        <v>0.99950368236628206</v>
      </c>
      <c r="H48" s="2" cm="1">
        <f t="array" ref="H48">_xlfn.LET(_xlpm.d,H$2:H$36,_xlpm.f,$A$2:$A$36,_xlpm.g,$B$2:$B$36,_xlpm.k,$C48,AVERAGE(_xlfn._xlws.FILTER(_xlpm.d,(_xlpm.f=_xlpm.k)*(_xlpm.g=0))))</f>
        <v>0.97428152518621136</v>
      </c>
      <c r="I48" s="2" cm="1">
        <f t="array" ref="I48">_xlfn.LET(_xlpm.d,I$2:I$36,_xlpm.f,$A$2:$A$36,_xlpm.g,$B$2:$B$36,_xlpm.k,$C48,AVERAGE(_xlfn._xlws.FILTER(_xlpm.d,(_xlpm.f=_xlpm.k)*(_xlpm.g=0))))</f>
        <v>0.99278423041676833</v>
      </c>
      <c r="J48" s="2" cm="1">
        <f t="array" ref="J48">_xlfn.LET(_xlpm.d,J$2:J$36,_xlpm.f,$A$2:$A$36,_xlpm.g,$B$2:$B$36,_xlpm.k,$C48,AVERAGE(_xlfn._xlws.FILTER(_xlpm.d,(_xlpm.f=_xlpm.k)*(_xlpm.g=0))))</f>
        <v>0.99132475733001446</v>
      </c>
      <c r="K48" s="2" cm="1">
        <f t="array" ref="K48">_xlfn.LET(_xlpm.d,K$2:K$36,_xlpm.f,$A$2:$A$36,_xlpm.g,$B$2:$B$36,_xlpm.k,$C48,AVERAGE(_xlfn._xlws.FILTER(_xlpm.d,(_xlpm.f=_xlpm.k)*(_xlpm.g=0))))</f>
        <v>0.99501464068966106</v>
      </c>
      <c r="L48" s="2" cm="1">
        <f t="array" ref="L48">_xlfn.LET(_xlpm.d,L$2:L$36,_xlpm.f,$A$2:$A$36,_xlpm.g,$B$2:$B$36,_xlpm.k,$C48,AVERAGE(_xlfn._xlws.FILTER(_xlpm.d,(_xlpm.f=_xlpm.k)*(_xlpm.g=0))))</f>
        <v>0.99237737245136159</v>
      </c>
      <c r="M48" s="2" cm="1">
        <f t="array" ref="M48">_xlfn.LET(_xlpm.d,M$2:M$36,_xlpm.f,$A$2:$A$36,_xlpm.g,$B$2:$B$36,_xlpm.k,$C48,AVERAGE(_xlfn._xlws.FILTER(_xlpm.d,(_xlpm.f=_xlpm.k)*(_xlpm.g=0))))</f>
        <v>0.98872027661960082</v>
      </c>
      <c r="N48" s="2" cm="1">
        <f t="array" ref="N48">_xlfn.LET(_xlpm.d,N$2:N$36,_xlpm.f,$A$2:$A$36,_xlpm.g,$B$2:$B$36,_xlpm.k,$C48,AVERAGE(_xlfn._xlws.FILTER(_xlpm.d,(_xlpm.f=_xlpm.k)*(_xlpm.g=0))))</f>
        <v>0.96876458153555056</v>
      </c>
      <c r="O48" s="2" cm="1">
        <f t="array" ref="O48">_xlfn.LET(_xlpm.d,O$2:O$36,_xlpm.f,$A$2:$A$36,_xlpm.g,$B$2:$B$36,_xlpm.k,$C48,AVERAGE(_xlfn._xlws.FILTER(_xlpm.d,(_xlpm.f=_xlpm.k)*(_xlpm.g=0))))</f>
        <v>0.98612678786738395</v>
      </c>
      <c r="P48" s="2" cm="1">
        <f t="array" ref="P48">_xlfn.LET(_xlpm.d,P$2:P$36,_xlpm.f,$A$2:$A$36,_xlpm.g,$B$2:$B$36,_xlpm.k,$C48,AVERAGE(_xlfn._xlws.FILTER(_xlpm.d,(_xlpm.f=_xlpm.k)*(_xlpm.g=0))))</f>
        <v>0.99044295521390813</v>
      </c>
      <c r="Q48" s="2" cm="1">
        <f t="array" ref="Q48">_xlfn.LET(_xlpm.d,Q$2:Q$36,_xlpm.f,$A$2:$A$36,_xlpm.g,$B$2:$B$36,_xlpm.k,$C48,AVERAGE(_xlfn._xlws.FILTER(_xlpm.d,(_xlpm.f=_xlpm.k)*(_xlpm.g=0))))</f>
        <v>0.99024875994586292</v>
      </c>
    </row>
    <row r="49" spans="3:17" ht="30" customHeight="1">
      <c r="C49" t="s">
        <v>42</v>
      </c>
      <c r="D49" s="2" cm="1">
        <f t="array" ref="D49">_xlfn.LET(_xlpm.d,D$2:D$36,_xlpm.f,$A$2:$A$36,_xlpm.g,$B$2:$B$36,_xlpm.k,$C49,AVERAGE(_xlfn._xlws.FILTER(_xlpm.d,(_xlpm.f=_xlpm.k)*(_xlpm.g=0))))</f>
        <v>0.80104416921612243</v>
      </c>
      <c r="E49" s="2" cm="1">
        <f t="array" ref="E49">_xlfn.LET(_xlpm.d,E$2:E$36,_xlpm.f,$A$2:$A$36,_xlpm.g,$B$2:$B$36,_xlpm.k,$C49,AVERAGE(_xlfn._xlws.FILTER(_xlpm.d,(_xlpm.f=_xlpm.k)*(_xlpm.g=0))))</f>
        <v>0.80772351735670433</v>
      </c>
      <c r="F49" s="2" cm="1">
        <f t="array" ref="F49">_xlfn.LET(_xlpm.d,F$2:F$36,_xlpm.f,$A$2:$A$36,_xlpm.g,$B$2:$B$36,_xlpm.k,$C49,AVERAGE(_xlfn._xlws.FILTER(_xlpm.d,(_xlpm.f=_xlpm.k)*(_xlpm.g=0))))</f>
        <v>0.80649226206543201</v>
      </c>
      <c r="G49" s="2" cm="1">
        <f t="array" ref="G49">_xlfn.LET(_xlpm.d,G$2:G$36,_xlpm.f,$A$2:$A$36,_xlpm.g,$B$2:$B$36,_xlpm.k,$C49,AVERAGE(_xlfn._xlws.FILTER(_xlpm.d,(_xlpm.f=_xlpm.k)*(_xlpm.g=0))))</f>
        <v>0.78128108929580253</v>
      </c>
      <c r="H49" s="2" cm="1">
        <f t="array" ref="H49">_xlfn.LET(_xlpm.d,H$2:H$36,_xlpm.f,$A$2:$A$36,_xlpm.g,$B$2:$B$36,_xlpm.k,$C49,AVERAGE(_xlfn._xlws.FILTER(_xlpm.d,(_xlpm.f=_xlpm.k)*(_xlpm.g=0))))</f>
        <v>0.79645066575480372</v>
      </c>
      <c r="I49" s="2" cm="1">
        <f t="array" ref="I49">_xlfn.LET(_xlpm.d,I$2:I$36,_xlpm.f,$A$2:$A$36,_xlpm.g,$B$2:$B$36,_xlpm.k,$C49,AVERAGE(_xlfn._xlws.FILTER(_xlpm.d,(_xlpm.f=_xlpm.k)*(_xlpm.g=0))))</f>
        <v>0.73427397443708997</v>
      </c>
      <c r="J49" s="2" cm="1">
        <f t="array" ref="J49">_xlfn.LET(_xlpm.d,J$2:J$36,_xlpm.f,$A$2:$A$36,_xlpm.g,$B$2:$B$36,_xlpm.k,$C49,AVERAGE(_xlfn._xlws.FILTER(_xlpm.d,(_xlpm.f=_xlpm.k)*(_xlpm.g=0))))</f>
        <v>0.74016967437712278</v>
      </c>
      <c r="K49" s="2" cm="1">
        <f t="array" ref="K49">_xlfn.LET(_xlpm.d,K$2:K$36,_xlpm.f,$A$2:$A$36,_xlpm.g,$B$2:$B$36,_xlpm.k,$C49,AVERAGE(_xlfn._xlws.FILTER(_xlpm.d,(_xlpm.f=_xlpm.k)*(_xlpm.g=0))))</f>
        <v>0.75451022417167934</v>
      </c>
      <c r="L49" s="2" cm="1">
        <f t="array" ref="L49">_xlfn.LET(_xlpm.d,L$2:L$36,_xlpm.f,$A$2:$A$36,_xlpm.g,$B$2:$B$36,_xlpm.k,$C49,AVERAGE(_xlfn._xlws.FILTER(_xlpm.d,(_xlpm.f=_xlpm.k)*(_xlpm.g=0))))</f>
        <v>0.76104046058935604</v>
      </c>
      <c r="M49" s="2" cm="1">
        <f t="array" ref="M49">_xlfn.LET(_xlpm.d,M$2:M$36,_xlpm.f,$A$2:$A$36,_xlpm.g,$B$2:$B$36,_xlpm.k,$C49,AVERAGE(_xlfn._xlws.FILTER(_xlpm.d,(_xlpm.f=_xlpm.k)*(_xlpm.g=0))))</f>
        <v>0.69100584084472227</v>
      </c>
      <c r="N49" s="2" cm="1">
        <f t="array" ref="N49">_xlfn.LET(_xlpm.d,N$2:N$36,_xlpm.f,$A$2:$A$36,_xlpm.g,$B$2:$B$36,_xlpm.k,$C49,AVERAGE(_xlfn._xlws.FILTER(_xlpm.d,(_xlpm.f=_xlpm.k)*(_xlpm.g=0))))</f>
        <v>0.66276073457950369</v>
      </c>
      <c r="O49" s="2" cm="1">
        <f t="array" ref="O49">_xlfn.LET(_xlpm.d,O$2:O$36,_xlpm.f,$A$2:$A$36,_xlpm.g,$B$2:$B$36,_xlpm.k,$C49,AVERAGE(_xlfn._xlws.FILTER(_xlpm.d,(_xlpm.f=_xlpm.k)*(_xlpm.g=0))))</f>
        <v>0.67927112312623406</v>
      </c>
      <c r="P49" s="2" cm="1">
        <f t="array" ref="P49">_xlfn.LET(_xlpm.d,P$2:P$36,_xlpm.f,$A$2:$A$36,_xlpm.g,$B$2:$B$36,_xlpm.k,$C49,AVERAGE(_xlfn._xlws.FILTER(_xlpm.d,(_xlpm.f=_xlpm.k)*(_xlpm.g=0))))</f>
        <v>0.70973121560442098</v>
      </c>
      <c r="Q49" s="2" cm="1">
        <f t="array" ref="Q49">_xlfn.LET(_xlpm.d,Q$2:Q$36,_xlpm.f,$A$2:$A$36,_xlpm.g,$B$2:$B$36,_xlpm.k,$C49,AVERAGE(_xlfn._xlws.FILTER(_xlpm.d,(_xlpm.f=_xlpm.k)*(_xlpm.g=0))))</f>
        <v>0.74813499626299962</v>
      </c>
    </row>
    <row r="50" spans="3:17" ht="30" customHeight="1">
      <c r="C50" t="s">
        <v>43</v>
      </c>
      <c r="D50" s="2" cm="1">
        <f t="array" ref="D50">_xlfn.LET(_xlpm.d,D$2:D$36,_xlpm.f,$A$2:$A$36,_xlpm.g,$B$2:$B$36,_xlpm.k,$C50,AVERAGE(_xlfn._xlws.FILTER(_xlpm.d,(_xlpm.f=_xlpm.k)*(_xlpm.g=0))))</f>
        <v>0.83522199389571605</v>
      </c>
      <c r="E50" s="2" cm="1">
        <f t="array" ref="E50">_xlfn.LET(_xlpm.d,E$2:E$36,_xlpm.f,$A$2:$A$36,_xlpm.g,$B$2:$B$36,_xlpm.k,$C50,AVERAGE(_xlfn._xlws.FILTER(_xlpm.d,(_xlpm.f=_xlpm.k)*(_xlpm.g=0))))</f>
        <v>0.83916104909651823</v>
      </c>
      <c r="F50" s="2" cm="1">
        <f t="array" ref="F50">_xlfn.LET(_xlpm.d,F$2:F$36,_xlpm.f,$A$2:$A$36,_xlpm.g,$B$2:$B$36,_xlpm.k,$C50,AVERAGE(_xlfn._xlws.FILTER(_xlpm.d,(_xlpm.f=_xlpm.k)*(_xlpm.g=0))))</f>
        <v>0.83233916040637723</v>
      </c>
      <c r="G50" s="2" cm="1">
        <f t="array" ref="G50">_xlfn.LET(_xlpm.d,G$2:G$36,_xlpm.f,$A$2:$A$36,_xlpm.g,$B$2:$B$36,_xlpm.k,$C50,AVERAGE(_xlfn._xlws.FILTER(_xlpm.d,(_xlpm.f=_xlpm.k)*(_xlpm.g=0))))</f>
        <v>0.841841253670358</v>
      </c>
      <c r="H50" s="2" cm="1">
        <f t="array" ref="H50">_xlfn.LET(_xlpm.d,H$2:H$36,_xlpm.f,$A$2:$A$36,_xlpm.g,$B$2:$B$36,_xlpm.k,$C50,AVERAGE(_xlfn._xlws.FILTER(_xlpm.d,(_xlpm.f=_xlpm.k)*(_xlpm.g=0))))</f>
        <v>0.80351452131884049</v>
      </c>
      <c r="I50" s="2" cm="1">
        <f t="array" ref="I50">_xlfn.LET(_xlpm.d,I$2:I$36,_xlpm.f,$A$2:$A$36,_xlpm.g,$B$2:$B$36,_xlpm.k,$C50,AVERAGE(_xlfn._xlws.FILTER(_xlpm.d,(_xlpm.f=_xlpm.k)*(_xlpm.g=0))))</f>
        <v>0.80722708736845838</v>
      </c>
      <c r="J50" s="2" cm="1">
        <f t="array" ref="J50">_xlfn.LET(_xlpm.d,J$2:J$36,_xlpm.f,$A$2:$A$36,_xlpm.g,$B$2:$B$36,_xlpm.k,$C50,AVERAGE(_xlfn._xlws.FILTER(_xlpm.d,(_xlpm.f=_xlpm.k)*(_xlpm.g=0))))</f>
        <v>0.78260815232744463</v>
      </c>
      <c r="K50" s="2" cm="1">
        <f t="array" ref="K50">_xlfn.LET(_xlpm.d,K$2:K$36,_xlpm.f,$A$2:$A$36,_xlpm.g,$B$2:$B$36,_xlpm.k,$C50,AVERAGE(_xlfn._xlws.FILTER(_xlpm.d,(_xlpm.f=_xlpm.k)*(_xlpm.g=0))))</f>
        <v>0.78329577112751902</v>
      </c>
      <c r="L50" s="2" cm="1">
        <f t="array" ref="L50">_xlfn.LET(_xlpm.d,L$2:L$36,_xlpm.f,$A$2:$A$36,_xlpm.g,$B$2:$B$36,_xlpm.k,$C50,AVERAGE(_xlfn._xlws.FILTER(_xlpm.d,(_xlpm.f=_xlpm.k)*(_xlpm.g=0))))</f>
        <v>0.76101664172806327</v>
      </c>
      <c r="M50" s="2" cm="1">
        <f t="array" ref="M50">_xlfn.LET(_xlpm.d,M$2:M$36,_xlpm.f,$A$2:$A$36,_xlpm.g,$B$2:$B$36,_xlpm.k,$C50,AVERAGE(_xlfn._xlws.FILTER(_xlpm.d,(_xlpm.f=_xlpm.k)*(_xlpm.g=0))))</f>
        <v>0.7529162645323012</v>
      </c>
      <c r="N50" s="2" cm="1">
        <f t="array" ref="N50">_xlfn.LET(_xlpm.d,N$2:N$36,_xlpm.f,$A$2:$A$36,_xlpm.g,$B$2:$B$36,_xlpm.k,$C50,AVERAGE(_xlfn._xlws.FILTER(_xlpm.d,(_xlpm.f=_xlpm.k)*(_xlpm.g=0))))</f>
        <v>0.74973040076804753</v>
      </c>
      <c r="O50" s="2" cm="1">
        <f t="array" ref="O50">_xlfn.LET(_xlpm.d,O$2:O$36,_xlpm.f,$A$2:$A$36,_xlpm.g,$B$2:$B$36,_xlpm.k,$C50,AVERAGE(_xlfn._xlws.FILTER(_xlpm.d,(_xlpm.f=_xlpm.k)*(_xlpm.g=0))))</f>
        <v>0.75690299220006896</v>
      </c>
      <c r="P50" s="2" cm="1">
        <f t="array" ref="P50">_xlfn.LET(_xlpm.d,P$2:P$36,_xlpm.f,$A$2:$A$36,_xlpm.g,$B$2:$B$36,_xlpm.k,$C50,AVERAGE(_xlfn._xlws.FILTER(_xlpm.d,(_xlpm.f=_xlpm.k)*(_xlpm.g=0))))</f>
        <v>0.7501581843274252</v>
      </c>
      <c r="Q50" s="2" cm="1">
        <f t="array" ref="Q50">_xlfn.LET(_xlpm.d,Q$2:Q$36,_xlpm.f,$A$2:$A$36,_xlpm.g,$B$2:$B$36,_xlpm.k,$C50,AVERAGE(_xlfn._xlws.FILTER(_xlpm.d,(_xlpm.f=_xlpm.k)*(_xlpm.g=0))))</f>
        <v>0.79199488252054906</v>
      </c>
    </row>
    <row r="51" spans="3:17" ht="30" customHeight="1">
      <c r="C51" t="s">
        <v>44</v>
      </c>
      <c r="D51" s="2" cm="1">
        <f t="array" ref="D51">_xlfn.LET(_xlpm.d,D$2:D$36,_xlpm.f,$A$2:$A$36,_xlpm.g,$B$2:$B$36,_xlpm.k,$C51,AVERAGE(_xlfn._xlws.FILTER(_xlpm.d,(_xlpm.f=_xlpm.k)*(_xlpm.g=0))))</f>
        <v>0.85128090333695017</v>
      </c>
      <c r="E51" s="2" cm="1">
        <f t="array" ref="E51">_xlfn.LET(_xlpm.d,E$2:E$36,_xlpm.f,$A$2:$A$36,_xlpm.g,$B$2:$B$36,_xlpm.k,$C51,AVERAGE(_xlfn._xlws.FILTER(_xlpm.d,(_xlpm.f=_xlpm.k)*(_xlpm.g=0))))</f>
        <v>0.8243638356448747</v>
      </c>
      <c r="F51" s="2" cm="1">
        <f t="array" ref="F51">_xlfn.LET(_xlpm.d,F$2:F$36,_xlpm.f,$A$2:$A$36,_xlpm.g,$B$2:$B$36,_xlpm.k,$C51,AVERAGE(_xlfn._xlws.FILTER(_xlpm.d,(_xlpm.f=_xlpm.k)*(_xlpm.g=0))))</f>
        <v>0.80735503227912198</v>
      </c>
      <c r="G51" s="2" cm="1">
        <f t="array" ref="G51">_xlfn.LET(_xlpm.d,G$2:G$36,_xlpm.f,$A$2:$A$36,_xlpm.g,$B$2:$B$36,_xlpm.k,$C51,AVERAGE(_xlfn._xlws.FILTER(_xlpm.d,(_xlpm.f=_xlpm.k)*(_xlpm.g=0))))</f>
        <v>0.79750573250928036</v>
      </c>
      <c r="H51" s="2" cm="1">
        <f t="array" ref="H51">_xlfn.LET(_xlpm.d,H$2:H$36,_xlpm.f,$A$2:$A$36,_xlpm.g,$B$2:$B$36,_xlpm.k,$C51,AVERAGE(_xlfn._xlws.FILTER(_xlpm.d,(_xlpm.f=_xlpm.k)*(_xlpm.g=0))))</f>
        <v>0.79215256456390903</v>
      </c>
      <c r="I51" s="2" cm="1">
        <f t="array" ref="I51">_xlfn.LET(_xlpm.d,I$2:I$36,_xlpm.f,$A$2:$A$36,_xlpm.g,$B$2:$B$36,_xlpm.k,$C51,AVERAGE(_xlfn._xlws.FILTER(_xlpm.d,(_xlpm.f=_xlpm.k)*(_xlpm.g=0))))</f>
        <v>0.78796347983803328</v>
      </c>
      <c r="J51" s="2" cm="1">
        <f t="array" ref="J51">_xlfn.LET(_xlpm.d,J$2:J$36,_xlpm.f,$A$2:$A$36,_xlpm.g,$B$2:$B$36,_xlpm.k,$C51,AVERAGE(_xlfn._xlws.FILTER(_xlpm.d,(_xlpm.f=_xlpm.k)*(_xlpm.g=0))))</f>
        <v>0.78655934897583846</v>
      </c>
      <c r="K51" s="2" cm="1">
        <f t="array" ref="K51">_xlfn.LET(_xlpm.d,K$2:K$36,_xlpm.f,$A$2:$A$36,_xlpm.g,$B$2:$B$36,_xlpm.k,$C51,AVERAGE(_xlfn._xlws.FILTER(_xlpm.d,(_xlpm.f=_xlpm.k)*(_xlpm.g=0))))</f>
        <v>0.7587608873618753</v>
      </c>
      <c r="L51" s="2" cm="1">
        <f t="array" ref="L51">_xlfn.LET(_xlpm.d,L$2:L$36,_xlpm.f,$A$2:$A$36,_xlpm.g,$B$2:$B$36,_xlpm.k,$C51,AVERAGE(_xlfn._xlws.FILTER(_xlpm.d,(_xlpm.f=_xlpm.k)*(_xlpm.g=0))))</f>
        <v>0.7350230235349664</v>
      </c>
      <c r="M51" s="2" cm="1">
        <f t="array" ref="M51">_xlfn.LET(_xlpm.d,M$2:M$36,_xlpm.f,$A$2:$A$36,_xlpm.g,$B$2:$B$36,_xlpm.k,$C51,AVERAGE(_xlfn._xlws.FILTER(_xlpm.d,(_xlpm.f=_xlpm.k)*(_xlpm.g=0))))</f>
        <v>0.73994595951544062</v>
      </c>
      <c r="N51" s="2" cm="1">
        <f t="array" ref="N51">_xlfn.LET(_xlpm.d,N$2:N$36,_xlpm.f,$A$2:$A$36,_xlpm.g,$B$2:$B$36,_xlpm.k,$C51,AVERAGE(_xlfn._xlws.FILTER(_xlpm.d,(_xlpm.f=_xlpm.k)*(_xlpm.g=0))))</f>
        <v>0.69817963501605396</v>
      </c>
      <c r="O51" s="2" cm="1">
        <f t="array" ref="O51">_xlfn.LET(_xlpm.d,O$2:O$36,_xlpm.f,$A$2:$A$36,_xlpm.g,$B$2:$B$36,_xlpm.k,$C51,AVERAGE(_xlfn._xlws.FILTER(_xlpm.d,(_xlpm.f=_xlpm.k)*(_xlpm.g=0))))</f>
        <v>0.72784811536367788</v>
      </c>
      <c r="P51" s="2" cm="1">
        <f t="array" ref="P51">_xlfn.LET(_xlpm.d,P$2:P$36,_xlpm.f,$A$2:$A$36,_xlpm.g,$B$2:$B$36,_xlpm.k,$C51,AVERAGE(_xlfn._xlws.FILTER(_xlpm.d,(_xlpm.f=_xlpm.k)*(_xlpm.g=0))))</f>
        <v>0.70607056543200264</v>
      </c>
      <c r="Q51" s="2" cm="1">
        <f t="array" ref="Q51">_xlfn.LET(_xlpm.d,Q$2:Q$36,_xlpm.f,$A$2:$A$36,_xlpm.g,$B$2:$B$36,_xlpm.k,$C51,AVERAGE(_xlfn._xlws.FILTER(_xlpm.d,(_xlpm.f=_xlpm.k)*(_xlpm.g=0))))</f>
        <v>0.77023146795169417</v>
      </c>
    </row>
    <row r="52" spans="3:17" ht="30" customHeight="1">
      <c r="C52" t="s">
        <v>45</v>
      </c>
      <c r="D52" s="2" cm="1">
        <f t="array" ref="D52">_xlfn.LET(_xlpm.d,D$2:D$36,_xlpm.f,$A$2:$A$36,_xlpm.g,$B$2:$B$36,_xlpm.k,$C52,AVERAGE(_xlfn._xlws.FILTER(_xlpm.d,(_xlpm.f=_xlpm.k)*(_xlpm.g=0))))</f>
        <v>0.99740744058025099</v>
      </c>
      <c r="E52" s="2" cm="1">
        <f t="array" ref="E52">_xlfn.LET(_xlpm.d,E$2:E$36,_xlpm.f,$A$2:$A$36,_xlpm.g,$B$2:$B$36,_xlpm.k,$C52,AVERAGE(_xlfn._xlws.FILTER(_xlpm.d,(_xlpm.f=_xlpm.k)*(_xlpm.g=0))))</f>
        <v>0.9943135382579581</v>
      </c>
      <c r="F52" s="2" cm="1">
        <f t="array" ref="F52">_xlfn.LET(_xlpm.d,F$2:F$36,_xlpm.f,$A$2:$A$36,_xlpm.g,$B$2:$B$36,_xlpm.k,$C52,AVERAGE(_xlfn._xlws.FILTER(_xlpm.d,(_xlpm.f=_xlpm.k)*(_xlpm.g=0))))</f>
        <v>0.99845432739761575</v>
      </c>
      <c r="G52" s="2" cm="1">
        <f t="array" ref="G52">_xlfn.LET(_xlpm.d,G$2:G$36,_xlpm.f,$A$2:$A$36,_xlpm.g,$B$2:$B$36,_xlpm.k,$C52,AVERAGE(_xlfn._xlws.FILTER(_xlpm.d,(_xlpm.f=_xlpm.k)*(_xlpm.g=0))))</f>
        <v>0.98701662317763217</v>
      </c>
      <c r="H52" s="2" cm="1">
        <f t="array" ref="H52">_xlfn.LET(_xlpm.d,H$2:H$36,_xlpm.f,$A$2:$A$36,_xlpm.g,$B$2:$B$36,_xlpm.k,$C52,AVERAGE(_xlfn._xlws.FILTER(_xlpm.d,(_xlpm.f=_xlpm.k)*(_xlpm.g=0))))</f>
        <v>0.99827105017483664</v>
      </c>
      <c r="I52" s="2" cm="1">
        <f t="array" ref="I52">_xlfn.LET(_xlpm.d,I$2:I$36,_xlpm.f,$A$2:$A$36,_xlpm.g,$B$2:$B$36,_xlpm.k,$C52,AVERAGE(_xlfn._xlws.FILTER(_xlpm.d,(_xlpm.f=_xlpm.k)*(_xlpm.g=0))))</f>
        <v>0.98253354705702856</v>
      </c>
      <c r="J52" s="2" cm="1">
        <f t="array" ref="J52">_xlfn.LET(_xlpm.d,J$2:J$36,_xlpm.f,$A$2:$A$36,_xlpm.g,$B$2:$B$36,_xlpm.k,$C52,AVERAGE(_xlfn._xlws.FILTER(_xlpm.d,(_xlpm.f=_xlpm.k)*(_xlpm.g=0))))</f>
        <v>0.98090399453660415</v>
      </c>
      <c r="K52" s="2" cm="1">
        <f t="array" ref="K52">_xlfn.LET(_xlpm.d,K$2:K$36,_xlpm.f,$A$2:$A$36,_xlpm.g,$B$2:$B$36,_xlpm.k,$C52,AVERAGE(_xlfn._xlws.FILTER(_xlpm.d,(_xlpm.f=_xlpm.k)*(_xlpm.g=0))))</f>
        <v>0.96464162907944562</v>
      </c>
      <c r="L52" s="2" cm="1">
        <f t="array" ref="L52">_xlfn.LET(_xlpm.d,L$2:L$36,_xlpm.f,$A$2:$A$36,_xlpm.g,$B$2:$B$36,_xlpm.k,$C52,AVERAGE(_xlfn._xlws.FILTER(_xlpm.d,(_xlpm.f=_xlpm.k)*(_xlpm.g=0))))</f>
        <v>0.98591836114277276</v>
      </c>
      <c r="M52" s="2" cm="1">
        <f t="array" ref="M52">_xlfn.LET(_xlpm.d,M$2:M$36,_xlpm.f,$A$2:$A$36,_xlpm.g,$B$2:$B$36,_xlpm.k,$C52,AVERAGE(_xlfn._xlws.FILTER(_xlpm.d,(_xlpm.f=_xlpm.k)*(_xlpm.g=0))))</f>
        <v>0.98558732765111312</v>
      </c>
      <c r="N52" s="2" cm="1">
        <f t="array" ref="N52">_xlfn.LET(_xlpm.d,N$2:N$36,_xlpm.f,$A$2:$A$36,_xlpm.g,$B$2:$B$36,_xlpm.k,$C52,AVERAGE(_xlfn._xlws.FILTER(_xlpm.d,(_xlpm.f=_xlpm.k)*(_xlpm.g=0))))</f>
        <v>0.96118229661359378</v>
      </c>
      <c r="O52" s="2" cm="1">
        <f t="array" ref="O52">_xlfn.LET(_xlpm.d,O$2:O$36,_xlpm.f,$A$2:$A$36,_xlpm.g,$B$2:$B$36,_xlpm.k,$C52,AVERAGE(_xlfn._xlws.FILTER(_xlpm.d,(_xlpm.f=_xlpm.k)*(_xlpm.g=0))))</f>
        <v>0.97493336095661942</v>
      </c>
      <c r="P52" s="2" cm="1">
        <f t="array" ref="P52">_xlfn.LET(_xlpm.d,P$2:P$36,_xlpm.f,$A$2:$A$36,_xlpm.g,$B$2:$B$36,_xlpm.k,$C52,AVERAGE(_xlfn._xlws.FILTER(_xlpm.d,(_xlpm.f=_xlpm.k)*(_xlpm.g=0))))</f>
        <v>0.90321972112965321</v>
      </c>
      <c r="Q52" s="2" cm="1">
        <f t="array" ref="Q52">_xlfn.LET(_xlpm.d,Q$2:Q$36,_xlpm.f,$A$2:$A$36,_xlpm.g,$B$2:$B$36,_xlpm.k,$C52,AVERAGE(_xlfn._xlws.FILTER(_xlpm.d,(_xlpm.f=_xlpm.k)*(_xlpm.g=0))))</f>
        <v>0.97802947828885556</v>
      </c>
    </row>
  </sheetData>
  <phoneticPr fontId="1" type="noConversion"/>
  <conditionalFormatting sqref="D2:Q36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9:Q4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7:Q4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8:Q5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aNA.xsk-free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2025-09-11T05:50:34Z</dcterms:modified>
  <cp:category/>
</cp:coreProperties>
</file>