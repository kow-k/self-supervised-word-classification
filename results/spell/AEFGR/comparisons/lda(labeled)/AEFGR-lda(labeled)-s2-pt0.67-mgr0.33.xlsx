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EF75AE64-C8F6-AB4D-9BF6-E7A6B15A40A4}" xr6:coauthVersionLast="47" xr6:coauthVersionMax="47" xr10:uidLastSave="{00000000-0000-0000-0000-000000000000}"/>
  <bookViews>
    <workbookView xWindow="660" yWindow="500" windowWidth="34740" windowHeight="17960" xr2:uid="{AAB55906-58C7-F940-B4CF-E7AFA13CA4FF}"/>
  </bookViews>
  <sheets>
    <sheet name="aNA.simple.xsk-free" sheetId="3" r:id="rId1"/>
    <sheet name="aNA.simple" sheetId="2" r:id="rId2"/>
    <sheet name="aN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3" l="1" a="1"/>
  <c r="D37" i="3" s="1"/>
  <c r="E47" i="2" a="1"/>
  <c r="E47" i="2" s="1"/>
  <c r="F47" i="2" a="1"/>
  <c r="F47" i="2" s="1"/>
  <c r="G47" i="2" a="1"/>
  <c r="G47" i="2"/>
  <c r="H47" i="2" a="1"/>
  <c r="H47" i="2"/>
  <c r="I47" i="2" a="1"/>
  <c r="I47" i="2" s="1"/>
  <c r="J47" i="2" a="1"/>
  <c r="J47" i="2" s="1"/>
  <c r="K47" i="2" a="1"/>
  <c r="K47" i="2"/>
  <c r="L47" i="2" a="1"/>
  <c r="L47" i="2"/>
  <c r="M47" i="2" a="1"/>
  <c r="M47" i="2" s="1"/>
  <c r="N47" i="2" a="1"/>
  <c r="N47" i="2" s="1"/>
  <c r="O47" i="2" a="1"/>
  <c r="O47" i="2"/>
  <c r="P47" i="2" a="1"/>
  <c r="P47" i="2"/>
  <c r="Q47" i="2" a="1"/>
  <c r="Q47" i="2" s="1"/>
  <c r="E48" i="2" a="1"/>
  <c r="E48" i="2" s="1"/>
  <c r="F48" i="2" a="1"/>
  <c r="F48" i="2" s="1"/>
  <c r="G48" i="2" a="1"/>
  <c r="G48" i="2"/>
  <c r="H48" i="2" a="1"/>
  <c r="H48" i="2" s="1"/>
  <c r="I48" i="2" a="1"/>
  <c r="I48" i="2" s="1"/>
  <c r="J48" i="2" a="1"/>
  <c r="J48" i="2" s="1"/>
  <c r="K48" i="2" a="1"/>
  <c r="K48" i="2"/>
  <c r="L48" i="2" a="1"/>
  <c r="L48" i="2" s="1"/>
  <c r="M48" i="2" a="1"/>
  <c r="M48" i="2" s="1"/>
  <c r="N48" i="2" a="1"/>
  <c r="N48" i="2" s="1"/>
  <c r="O48" i="2" a="1"/>
  <c r="O48" i="2"/>
  <c r="P48" i="2" a="1"/>
  <c r="P48" i="2" s="1"/>
  <c r="Q48" i="2" a="1"/>
  <c r="Q48" i="2" s="1"/>
  <c r="E49" i="2" a="1"/>
  <c r="E49" i="2" s="1"/>
  <c r="F49" i="2" a="1"/>
  <c r="F49" i="2"/>
  <c r="G49" i="2" a="1"/>
  <c r="G49" i="2" s="1"/>
  <c r="H49" i="2" a="1"/>
  <c r="H49" i="2" s="1"/>
  <c r="I49" i="2" a="1"/>
  <c r="I49" i="2" s="1"/>
  <c r="J49" i="2" a="1"/>
  <c r="J49" i="2"/>
  <c r="K49" i="2" a="1"/>
  <c r="K49" i="2" s="1"/>
  <c r="L49" i="2" a="1"/>
  <c r="L49" i="2" s="1"/>
  <c r="M49" i="2" a="1"/>
  <c r="M49" i="2" s="1"/>
  <c r="N49" i="2" a="1"/>
  <c r="N49" i="2"/>
  <c r="O49" i="2" a="1"/>
  <c r="O49" i="2" s="1"/>
  <c r="P49" i="2" a="1"/>
  <c r="P49" i="2" s="1"/>
  <c r="Q49" i="2" a="1"/>
  <c r="Q49" i="2" s="1"/>
  <c r="E50" i="2" a="1"/>
  <c r="E50" i="2"/>
  <c r="F50" i="2" a="1"/>
  <c r="F50" i="2" s="1"/>
  <c r="G50" i="2" a="1"/>
  <c r="G50" i="2" s="1"/>
  <c r="H50" i="2" a="1"/>
  <c r="H50" i="2" s="1"/>
  <c r="I50" i="2" a="1"/>
  <c r="I50" i="2"/>
  <c r="J50" i="2" a="1"/>
  <c r="J50" i="2" s="1"/>
  <c r="K50" i="2" a="1"/>
  <c r="K50" i="2" s="1"/>
  <c r="L50" i="2" a="1"/>
  <c r="L50" i="2" s="1"/>
  <c r="M50" i="2" a="1"/>
  <c r="M50" i="2"/>
  <c r="N50" i="2" a="1"/>
  <c r="N50" i="2" s="1"/>
  <c r="O50" i="2" a="1"/>
  <c r="O50" i="2" s="1"/>
  <c r="P50" i="2" a="1"/>
  <c r="P50" i="2" s="1"/>
  <c r="Q50" i="2" a="1"/>
  <c r="Q50" i="2"/>
  <c r="E51" i="2" a="1"/>
  <c r="E51" i="2" s="1"/>
  <c r="F51" i="2" a="1"/>
  <c r="F51" i="2" s="1"/>
  <c r="G51" i="2" a="1"/>
  <c r="G51" i="2" s="1"/>
  <c r="H51" i="2" a="1"/>
  <c r="H51" i="2"/>
  <c r="I51" i="2" a="1"/>
  <c r="I51" i="2" s="1"/>
  <c r="J51" i="2" a="1"/>
  <c r="J51" i="2" s="1"/>
  <c r="K51" i="2" a="1"/>
  <c r="K51" i="2" s="1"/>
  <c r="L51" i="2" a="1"/>
  <c r="L51" i="2"/>
  <c r="M51" i="2" a="1"/>
  <c r="M51" i="2" s="1"/>
  <c r="N51" i="2" a="1"/>
  <c r="N51" i="2" s="1"/>
  <c r="O51" i="2" a="1"/>
  <c r="O51" i="2" s="1"/>
  <c r="P51" i="2" a="1"/>
  <c r="P51" i="2"/>
  <c r="Q51" i="2" a="1"/>
  <c r="Q51" i="2" s="1"/>
  <c r="E52" i="2" a="1"/>
  <c r="E52" i="2" s="1"/>
  <c r="F52" i="2" a="1"/>
  <c r="F52" i="2" s="1"/>
  <c r="G52" i="2" a="1"/>
  <c r="G52" i="2"/>
  <c r="H52" i="2" a="1"/>
  <c r="H52" i="2" s="1"/>
  <c r="I52" i="2" a="1"/>
  <c r="I52" i="2" s="1"/>
  <c r="J52" i="2" a="1"/>
  <c r="J52" i="2" s="1"/>
  <c r="K52" i="2" a="1"/>
  <c r="K52" i="2"/>
  <c r="L52" i="2" a="1"/>
  <c r="L52" i="2" s="1"/>
  <c r="M52" i="2" a="1"/>
  <c r="M52" i="2" s="1"/>
  <c r="N52" i="2" a="1"/>
  <c r="N52" i="2" s="1"/>
  <c r="O52" i="2" a="1"/>
  <c r="O52" i="2" s="1"/>
  <c r="P52" i="2" a="1"/>
  <c r="P52" i="2" s="1"/>
  <c r="Q52" i="2" a="1"/>
  <c r="Q52" i="2" s="1"/>
  <c r="D49" i="2" a="1"/>
  <c r="D49" i="2" s="1"/>
  <c r="D50" i="2" a="1"/>
  <c r="D50" i="2" s="1"/>
  <c r="D51" i="2" a="1"/>
  <c r="D51" i="2" s="1"/>
  <c r="D52" i="2" a="1"/>
  <c r="D52" i="2" s="1"/>
  <c r="D48" i="2" a="1"/>
  <c r="D48" i="2" s="1"/>
  <c r="D47" i="2" a="1"/>
  <c r="D47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D31" i="3" a="1"/>
  <c r="D31" i="3" s="1"/>
  <c r="D30" i="3" a="1"/>
  <c r="D30" i="3" s="1"/>
  <c r="E38" i="3" a="1"/>
  <c r="E38" i="3" s="1"/>
  <c r="F38" i="3" a="1"/>
  <c r="F38" i="3"/>
  <c r="G38" i="3" a="1"/>
  <c r="G38" i="3"/>
  <c r="H38" i="3" a="1"/>
  <c r="H38" i="3"/>
  <c r="I38" i="3" a="1"/>
  <c r="I38" i="3" s="1"/>
  <c r="J38" i="3" a="1"/>
  <c r="J38" i="3"/>
  <c r="K38" i="3" a="1"/>
  <c r="K38" i="3"/>
  <c r="L38" i="3" a="1"/>
  <c r="L38" i="3"/>
  <c r="M38" i="3" a="1"/>
  <c r="M38" i="3" s="1"/>
  <c r="N38" i="3" a="1"/>
  <c r="N38" i="3" s="1"/>
  <c r="O38" i="3" a="1"/>
  <c r="O38" i="3"/>
  <c r="P38" i="3" a="1"/>
  <c r="P38" i="3"/>
  <c r="Q38" i="3" a="1"/>
  <c r="Q38" i="3" s="1"/>
  <c r="E39" i="3" a="1"/>
  <c r="E39" i="3"/>
  <c r="F39" i="3" a="1"/>
  <c r="F39" i="3"/>
  <c r="G39" i="3" a="1"/>
  <c r="G39" i="3"/>
  <c r="H39" i="3" a="1"/>
  <c r="H39" i="3" s="1"/>
  <c r="I39" i="3" a="1"/>
  <c r="I39" i="3"/>
  <c r="J39" i="3" a="1"/>
  <c r="J39" i="3" s="1"/>
  <c r="K39" i="3" a="1"/>
  <c r="K39" i="3"/>
  <c r="L39" i="3" a="1"/>
  <c r="L39" i="3" s="1"/>
  <c r="M39" i="3" a="1"/>
  <c r="M39" i="3" s="1"/>
  <c r="N39" i="3" a="1"/>
  <c r="N39" i="3"/>
  <c r="O39" i="3" a="1"/>
  <c r="O39" i="3"/>
  <c r="P39" i="3" a="1"/>
  <c r="P39" i="3" s="1"/>
  <c r="Q39" i="3" a="1"/>
  <c r="Q39" i="3" s="1"/>
  <c r="E40" i="3" a="1"/>
  <c r="E40" i="3"/>
  <c r="F40" i="3" a="1"/>
  <c r="F40" i="3"/>
  <c r="G40" i="3" a="1"/>
  <c r="G40" i="3" s="1"/>
  <c r="H40" i="3" a="1"/>
  <c r="H40" i="3" s="1"/>
  <c r="I40" i="3" a="1"/>
  <c r="I40" i="3"/>
  <c r="J40" i="3" a="1"/>
  <c r="J40" i="3"/>
  <c r="K40" i="3" a="1"/>
  <c r="K40" i="3" s="1"/>
  <c r="L40" i="3" a="1"/>
  <c r="L40" i="3" s="1"/>
  <c r="M40" i="3" a="1"/>
  <c r="M40" i="3"/>
  <c r="N40" i="3" a="1"/>
  <c r="N40" i="3"/>
  <c r="O40" i="3" a="1"/>
  <c r="O40" i="3" s="1"/>
  <c r="P40" i="3" a="1"/>
  <c r="P40" i="3" s="1"/>
  <c r="Q40" i="3" a="1"/>
  <c r="Q40" i="3"/>
  <c r="E41" i="3" a="1"/>
  <c r="E41" i="3"/>
  <c r="F41" i="3" a="1"/>
  <c r="F41" i="3" s="1"/>
  <c r="G41" i="3" a="1"/>
  <c r="G41" i="3" s="1"/>
  <c r="H41" i="3" a="1"/>
  <c r="H41" i="3"/>
  <c r="I41" i="3" a="1"/>
  <c r="I41" i="3"/>
  <c r="J41" i="3" a="1"/>
  <c r="J41" i="3" s="1"/>
  <c r="K41" i="3" a="1"/>
  <c r="K41" i="3" s="1"/>
  <c r="L41" i="3" a="1"/>
  <c r="L41" i="3"/>
  <c r="M41" i="3" a="1"/>
  <c r="M41" i="3"/>
  <c r="N41" i="3" a="1"/>
  <c r="N41" i="3" s="1"/>
  <c r="O41" i="3" a="1"/>
  <c r="O41" i="3" s="1"/>
  <c r="P41" i="3" a="1"/>
  <c r="P41" i="3"/>
  <c r="Q41" i="3" a="1"/>
  <c r="Q41" i="3"/>
  <c r="E42" i="3" a="1"/>
  <c r="E42" i="3" s="1"/>
  <c r="F42" i="3" a="1"/>
  <c r="F42" i="3" s="1"/>
  <c r="G42" i="3" a="1"/>
  <c r="G42" i="3"/>
  <c r="H42" i="3" a="1"/>
  <c r="H42" i="3"/>
  <c r="I42" i="3" a="1"/>
  <c r="I42" i="3" s="1"/>
  <c r="J42" i="3" a="1"/>
  <c r="J42" i="3" s="1"/>
  <c r="K42" i="3" a="1"/>
  <c r="K42" i="3"/>
  <c r="L42" i="3" a="1"/>
  <c r="L42" i="3"/>
  <c r="M42" i="3" a="1"/>
  <c r="M42" i="3" s="1"/>
  <c r="N42" i="3" a="1"/>
  <c r="N42" i="3" s="1"/>
  <c r="O42" i="3" a="1"/>
  <c r="O42" i="3" s="1"/>
  <c r="P42" i="3" a="1"/>
  <c r="P42" i="3"/>
  <c r="Q42" i="3" a="1"/>
  <c r="Q42" i="3" s="1"/>
  <c r="D39" i="3" a="1"/>
  <c r="D39" i="3" s="1"/>
  <c r="D40" i="3" a="1"/>
  <c r="D40" i="3" s="1"/>
  <c r="D41" i="3" a="1"/>
  <c r="D41" i="3" s="1"/>
  <c r="D42" i="3" a="1"/>
  <c r="D42" i="3" s="1"/>
  <c r="D38" i="3" a="1"/>
  <c r="D38" i="3" s="1"/>
  <c r="E37" i="3" a="1"/>
  <c r="E37" i="3" s="1"/>
  <c r="F37" i="3" a="1"/>
  <c r="F37" i="3" s="1"/>
  <c r="G37" i="3" a="1"/>
  <c r="G37" i="3"/>
  <c r="H37" i="3" a="1"/>
  <c r="H37" i="3"/>
  <c r="I37" i="3" a="1"/>
  <c r="I37" i="3" s="1"/>
  <c r="J37" i="3" a="1"/>
  <c r="J37" i="3" s="1"/>
  <c r="K37" i="3" a="1"/>
  <c r="K37" i="3"/>
  <c r="L37" i="3" a="1"/>
  <c r="L37" i="3"/>
  <c r="M37" i="3" a="1"/>
  <c r="M37" i="3" s="1"/>
  <c r="N37" i="3" a="1"/>
  <c r="N37" i="3" s="1"/>
  <c r="O37" i="3" a="1"/>
  <c r="O37" i="3"/>
  <c r="P37" i="3" a="1"/>
  <c r="P37" i="3"/>
  <c r="Q37" i="3" a="1"/>
  <c r="Q37" i="3" s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A2" i="3" l="1"/>
  <c r="E40" i="2" l="1" a="1"/>
  <c r="E40" i="2" s="1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D43" i="2" s="1" a="1"/>
  <c r="D43" i="2" s="1"/>
  <c r="A6" i="2"/>
  <c r="A5" i="2"/>
  <c r="A4" i="2"/>
  <c r="A3" i="2"/>
  <c r="A2" i="2"/>
  <c r="F40" i="2" s="1" a="1"/>
  <c r="F40" i="2" s="1"/>
  <c r="I30" i="3" a="1"/>
  <c r="I30" i="3" s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I31" i="3" s="1" a="1"/>
  <c r="I31" i="3" s="1"/>
  <c r="A5" i="3"/>
  <c r="A4" i="3"/>
  <c r="A3" i="3"/>
  <c r="G30" i="3" s="1" a="1"/>
  <c r="G30" i="3" s="1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R26" i="3"/>
  <c r="Q26" i="3"/>
  <c r="R25" i="3"/>
  <c r="Q25" i="3"/>
  <c r="R24" i="3"/>
  <c r="Q24" i="3"/>
  <c r="R23" i="3"/>
  <c r="Q23" i="3"/>
  <c r="S23" i="3" s="1"/>
  <c r="R22" i="3"/>
  <c r="Q22" i="3"/>
  <c r="R21" i="3"/>
  <c r="Q21" i="3"/>
  <c r="R20" i="3"/>
  <c r="Q20" i="3"/>
  <c r="R19" i="3"/>
  <c r="Q19" i="3"/>
  <c r="S19" i="3" s="1"/>
  <c r="R18" i="3"/>
  <c r="Q18" i="3"/>
  <c r="R17" i="3"/>
  <c r="Q17" i="3"/>
  <c r="S17" i="3" s="1"/>
  <c r="R16" i="3"/>
  <c r="Q16" i="3"/>
  <c r="R15" i="3"/>
  <c r="Q15" i="3"/>
  <c r="R14" i="3"/>
  <c r="Q14" i="3"/>
  <c r="R13" i="3"/>
  <c r="Q13" i="3"/>
  <c r="S13" i="3" s="1"/>
  <c r="R12" i="3"/>
  <c r="Q12" i="3"/>
  <c r="R11" i="3"/>
  <c r="Q11" i="3"/>
  <c r="S11" i="3" s="1"/>
  <c r="R10" i="3"/>
  <c r="Q10" i="3"/>
  <c r="R9" i="3"/>
  <c r="Q9" i="3"/>
  <c r="R8" i="3"/>
  <c r="Q8" i="3"/>
  <c r="R7" i="3"/>
  <c r="Q7" i="3"/>
  <c r="S7" i="3" s="1"/>
  <c r="R6" i="3"/>
  <c r="Q6" i="3"/>
  <c r="R5" i="3"/>
  <c r="Q5" i="3"/>
  <c r="S5" i="3" s="1"/>
  <c r="R4" i="3"/>
  <c r="Q4" i="3"/>
  <c r="R3" i="3"/>
  <c r="Q3" i="3"/>
  <c r="R2" i="3"/>
  <c r="Q2" i="3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R36" i="2"/>
  <c r="Q36" i="2"/>
  <c r="R35" i="2"/>
  <c r="Q35" i="2"/>
  <c r="R34" i="2"/>
  <c r="Q34" i="2"/>
  <c r="R33" i="2"/>
  <c r="Q33" i="2"/>
  <c r="S33" i="2" s="1"/>
  <c r="R32" i="2"/>
  <c r="Q32" i="2"/>
  <c r="R31" i="2"/>
  <c r="Q31" i="2"/>
  <c r="R30" i="2"/>
  <c r="Q30" i="2"/>
  <c r="S30" i="2" s="1"/>
  <c r="R29" i="2"/>
  <c r="Q29" i="2"/>
  <c r="S29" i="2" s="1"/>
  <c r="R28" i="2"/>
  <c r="Q28" i="2"/>
  <c r="R27" i="2"/>
  <c r="Q27" i="2"/>
  <c r="R26" i="2"/>
  <c r="Q26" i="2"/>
  <c r="R25" i="2"/>
  <c r="Q25" i="2"/>
  <c r="S25" i="2" s="1"/>
  <c r="R24" i="2"/>
  <c r="Q24" i="2"/>
  <c r="S24" i="2" s="1"/>
  <c r="R23" i="2"/>
  <c r="Q23" i="2"/>
  <c r="R22" i="2"/>
  <c r="Q22" i="2"/>
  <c r="S22" i="2" s="1"/>
  <c r="R21" i="2"/>
  <c r="Q21" i="2"/>
  <c r="S21" i="2" s="1"/>
  <c r="R20" i="2"/>
  <c r="Q20" i="2"/>
  <c r="R19" i="2"/>
  <c r="Q19" i="2"/>
  <c r="R18" i="2"/>
  <c r="Q18" i="2"/>
  <c r="S18" i="2" s="1"/>
  <c r="R17" i="2"/>
  <c r="Q17" i="2"/>
  <c r="S17" i="2" s="1"/>
  <c r="R16" i="2"/>
  <c r="Q16" i="2"/>
  <c r="S16" i="2" s="1"/>
  <c r="R15" i="2"/>
  <c r="Q15" i="2"/>
  <c r="R14" i="2"/>
  <c r="Q14" i="2"/>
  <c r="S14" i="2" s="1"/>
  <c r="R13" i="2"/>
  <c r="Q13" i="2"/>
  <c r="S13" i="2" s="1"/>
  <c r="R12" i="2"/>
  <c r="Q12" i="2"/>
  <c r="R11" i="2"/>
  <c r="Q11" i="2"/>
  <c r="R10" i="2"/>
  <c r="Q10" i="2"/>
  <c r="S10" i="2" s="1"/>
  <c r="R9" i="2"/>
  <c r="Q9" i="2"/>
  <c r="S9" i="2" s="1"/>
  <c r="R8" i="2"/>
  <c r="Q8" i="2"/>
  <c r="S8" i="2" s="1"/>
  <c r="R7" i="2"/>
  <c r="Q7" i="2"/>
  <c r="R6" i="2"/>
  <c r="Q6" i="2"/>
  <c r="S6" i="2" s="1"/>
  <c r="R5" i="2"/>
  <c r="Q5" i="2"/>
  <c r="S5" i="2" s="1"/>
  <c r="R4" i="2"/>
  <c r="Q4" i="2"/>
  <c r="R3" i="2"/>
  <c r="Q3" i="2"/>
  <c r="R2" i="2"/>
  <c r="Q2" i="2"/>
  <c r="U39" i="1"/>
  <c r="U42" i="1"/>
  <c r="U41" i="1"/>
  <c r="U4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H39" i="1"/>
  <c r="I39" i="1"/>
  <c r="J39" i="1"/>
  <c r="K39" i="1"/>
  <c r="L39" i="1"/>
  <c r="M39" i="1"/>
  <c r="N39" i="1"/>
  <c r="O39" i="1"/>
  <c r="P39" i="1"/>
  <c r="Q39" i="1"/>
  <c r="R39" i="1"/>
  <c r="S39" i="1"/>
  <c r="H44" i="1"/>
  <c r="I44" i="1"/>
  <c r="J44" i="1"/>
  <c r="K44" i="1"/>
  <c r="L44" i="1"/>
  <c r="M44" i="1"/>
  <c r="N44" i="1"/>
  <c r="O44" i="1"/>
  <c r="P44" i="1"/>
  <c r="Q44" i="1"/>
  <c r="R44" i="1"/>
  <c r="S44" i="1"/>
  <c r="G3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G44" i="1"/>
  <c r="D4" i="1"/>
  <c r="D7" i="1"/>
  <c r="C4" i="1"/>
  <c r="E4" i="1" s="1"/>
  <c r="C12" i="1"/>
  <c r="C36" i="1"/>
  <c r="F2" i="1"/>
  <c r="D2" i="1" s="1"/>
  <c r="F3" i="1"/>
  <c r="D3" i="1" s="1"/>
  <c r="F4" i="1"/>
  <c r="F5" i="1"/>
  <c r="D5" i="1" s="1"/>
  <c r="F6" i="1"/>
  <c r="D6" i="1" s="1"/>
  <c r="F7" i="1"/>
  <c r="C7" i="1" s="1"/>
  <c r="F8" i="1"/>
  <c r="D8" i="1" s="1"/>
  <c r="F9" i="1"/>
  <c r="D9" i="1" s="1"/>
  <c r="F10" i="1"/>
  <c r="D10" i="1" s="1"/>
  <c r="F11" i="1"/>
  <c r="C11" i="1" s="1"/>
  <c r="F12" i="1"/>
  <c r="D12" i="1" s="1"/>
  <c r="F13" i="1"/>
  <c r="D13" i="1" s="1"/>
  <c r="F14" i="1"/>
  <c r="D14" i="1" s="1"/>
  <c r="F15" i="1"/>
  <c r="C15" i="1" s="1"/>
  <c r="F16" i="1"/>
  <c r="D16" i="1" s="1"/>
  <c r="F17" i="1"/>
  <c r="C17" i="1" s="1"/>
  <c r="F18" i="1"/>
  <c r="D18" i="1" s="1"/>
  <c r="F19" i="1"/>
  <c r="C19" i="1" s="1"/>
  <c r="F20" i="1"/>
  <c r="C20" i="1" s="1"/>
  <c r="F21" i="1"/>
  <c r="D21" i="1" s="1"/>
  <c r="F22" i="1"/>
  <c r="D22" i="1" s="1"/>
  <c r="F23" i="1"/>
  <c r="C23" i="1" s="1"/>
  <c r="F24" i="1"/>
  <c r="D24" i="1" s="1"/>
  <c r="F25" i="1"/>
  <c r="D25" i="1" s="1"/>
  <c r="F26" i="1"/>
  <c r="D26" i="1" s="1"/>
  <c r="F27" i="1"/>
  <c r="D27" i="1" s="1"/>
  <c r="F28" i="1"/>
  <c r="D28" i="1" s="1"/>
  <c r="F29" i="1"/>
  <c r="D29" i="1" s="1"/>
  <c r="F30" i="1"/>
  <c r="D30" i="1" s="1"/>
  <c r="F31" i="1"/>
  <c r="C31" i="1" s="1"/>
  <c r="F32" i="1"/>
  <c r="D32" i="1" s="1"/>
  <c r="F33" i="1"/>
  <c r="C33" i="1" s="1"/>
  <c r="F34" i="1"/>
  <c r="D34" i="1" s="1"/>
  <c r="F35" i="1"/>
  <c r="D35" i="1" s="1"/>
  <c r="F36" i="1"/>
  <c r="D36" i="1" s="1"/>
  <c r="D41" i="2" l="1" a="1"/>
  <c r="D41" i="2" s="1"/>
  <c r="D42" i="2" a="1"/>
  <c r="D42" i="2" s="1"/>
  <c r="M44" i="2" a="1"/>
  <c r="M44" i="2" s="1"/>
  <c r="G44" i="2" a="1"/>
  <c r="G44" i="2" s="1"/>
  <c r="N43" i="2" a="1"/>
  <c r="N43" i="2" s="1"/>
  <c r="I43" i="2" a="1"/>
  <c r="I43" i="2" s="1"/>
  <c r="P42" i="2" a="1"/>
  <c r="P42" i="2" s="1"/>
  <c r="K42" i="2" a="1"/>
  <c r="K42" i="2" s="1"/>
  <c r="F42" i="2" a="1"/>
  <c r="F42" i="2" s="1"/>
  <c r="M41" i="2" a="1"/>
  <c r="M41" i="2" s="1"/>
  <c r="H41" i="2" a="1"/>
  <c r="H41" i="2" s="1"/>
  <c r="P40" i="2" a="1"/>
  <c r="P40" i="2" s="1"/>
  <c r="J40" i="2" a="1"/>
  <c r="J40" i="2" s="1"/>
  <c r="N41" i="2" a="1"/>
  <c r="N41" i="2" s="1"/>
  <c r="E42" i="2" a="1"/>
  <c r="E42" i="2" s="1"/>
  <c r="D44" i="2" a="1"/>
  <c r="D44" i="2" s="1"/>
  <c r="M43" i="2" a="1"/>
  <c r="M43" i="2" s="1"/>
  <c r="J42" i="2" a="1"/>
  <c r="J42" i="2" s="1"/>
  <c r="Q41" i="2" a="1"/>
  <c r="Q41" i="2" s="1"/>
  <c r="L41" i="2" a="1"/>
  <c r="L41" i="2" s="1"/>
  <c r="G41" i="2" a="1"/>
  <c r="G41" i="2" s="1"/>
  <c r="N40" i="2" a="1"/>
  <c r="N40" i="2" s="1"/>
  <c r="I40" i="2" a="1"/>
  <c r="I40" i="2" s="1"/>
  <c r="K40" i="2" a="1"/>
  <c r="K40" i="2" s="1"/>
  <c r="F44" i="2" a="1"/>
  <c r="F44" i="2" s="1"/>
  <c r="E44" i="2" a="1"/>
  <c r="E44" i="2" s="1"/>
  <c r="Q44" i="2" a="1"/>
  <c r="Q44" i="2" s="1"/>
  <c r="K44" i="2" a="1"/>
  <c r="K44" i="2" s="1"/>
  <c r="L43" i="2" a="1"/>
  <c r="L43" i="2" s="1"/>
  <c r="I42" i="2" a="1"/>
  <c r="I42" i="2" s="1"/>
  <c r="F41" i="2" a="1"/>
  <c r="F41" i="2" s="1"/>
  <c r="N44" i="2" a="1"/>
  <c r="N44" i="2" s="1"/>
  <c r="O40" i="2" a="1"/>
  <c r="O40" i="2" s="1"/>
  <c r="O42" i="2" a="1"/>
  <c r="O42" i="2" s="1"/>
  <c r="J44" i="2" a="1"/>
  <c r="J44" i="2" s="1"/>
  <c r="Q43" i="2" a="1"/>
  <c r="Q43" i="2" s="1"/>
  <c r="K43" i="2" a="1"/>
  <c r="K43" i="2" s="1"/>
  <c r="F43" i="2" a="1"/>
  <c r="F43" i="2" s="1"/>
  <c r="N42" i="2" a="1"/>
  <c r="N42" i="2" s="1"/>
  <c r="H42" i="2" a="1"/>
  <c r="H42" i="2" s="1"/>
  <c r="P41" i="2" a="1"/>
  <c r="P41" i="2" s="1"/>
  <c r="K41" i="2" a="1"/>
  <c r="K41" i="2" s="1"/>
  <c r="E41" i="2" a="1"/>
  <c r="E41" i="2" s="1"/>
  <c r="M40" i="2" a="1"/>
  <c r="M40" i="2" s="1"/>
  <c r="H40" i="2" a="1"/>
  <c r="H40" i="2" s="1"/>
  <c r="Q42" i="2" a="1"/>
  <c r="Q42" i="2" s="1"/>
  <c r="H43" i="2" a="1"/>
  <c r="H43" i="2" s="1"/>
  <c r="L44" i="2" a="1"/>
  <c r="L44" i="2" s="1"/>
  <c r="I44" i="2" a="1"/>
  <c r="I44" i="2" s="1"/>
  <c r="P43" i="2" a="1"/>
  <c r="P43" i="2" s="1"/>
  <c r="M42" i="2" a="1"/>
  <c r="M42" i="2" s="1"/>
  <c r="J41" i="2" a="1"/>
  <c r="J41" i="2" s="1"/>
  <c r="G40" i="2" a="1"/>
  <c r="G40" i="2" s="1"/>
  <c r="H44" i="2" a="1"/>
  <c r="H44" i="2" s="1"/>
  <c r="G43" i="2" a="1"/>
  <c r="G43" i="2" s="1"/>
  <c r="P44" i="2" a="1"/>
  <c r="P44" i="2" s="1"/>
  <c r="D40" i="2" a="1"/>
  <c r="D40" i="2" s="1"/>
  <c r="O44" i="2" a="1"/>
  <c r="O44" i="2" s="1"/>
  <c r="O43" i="2" a="1"/>
  <c r="O43" i="2" s="1"/>
  <c r="J43" i="2" a="1"/>
  <c r="J43" i="2" s="1"/>
  <c r="E43" i="2" a="1"/>
  <c r="E43" i="2" s="1"/>
  <c r="L42" i="2" a="1"/>
  <c r="L42" i="2" s="1"/>
  <c r="G42" i="2" a="1"/>
  <c r="G42" i="2" s="1"/>
  <c r="O41" i="2" a="1"/>
  <c r="O41" i="2" s="1"/>
  <c r="I41" i="2" a="1"/>
  <c r="I41" i="2" s="1"/>
  <c r="Q40" i="2" a="1"/>
  <c r="Q40" i="2" s="1"/>
  <c r="L40" i="2" a="1"/>
  <c r="L40" i="2" s="1"/>
  <c r="H34" i="3" a="1"/>
  <c r="H34" i="3" s="1"/>
  <c r="G33" i="3" a="1"/>
  <c r="G33" i="3" s="1"/>
  <c r="G32" i="3" a="1"/>
  <c r="G32" i="3" s="1"/>
  <c r="E31" i="3" a="1"/>
  <c r="E31" i="3" s="1"/>
  <c r="F30" i="3" a="1"/>
  <c r="F30" i="3" s="1"/>
  <c r="N34" i="3" a="1"/>
  <c r="N34" i="3" s="1"/>
  <c r="M32" i="3" a="1"/>
  <c r="M32" i="3" s="1"/>
  <c r="K31" i="3" a="1"/>
  <c r="K31" i="3" s="1"/>
  <c r="E30" i="3" a="1"/>
  <c r="E30" i="3" s="1"/>
  <c r="M34" i="3" a="1"/>
  <c r="M34" i="3" s="1"/>
  <c r="G34" i="3" a="1"/>
  <c r="G34" i="3" s="1"/>
  <c r="M33" i="3" a="1"/>
  <c r="M33" i="3" s="1"/>
  <c r="F33" i="3" a="1"/>
  <c r="F33" i="3" s="1"/>
  <c r="L32" i="3" a="1"/>
  <c r="L32" i="3" s="1"/>
  <c r="E32" i="3" a="1"/>
  <c r="E32" i="3" s="1"/>
  <c r="P30" i="3" a="1"/>
  <c r="P30" i="3" s="1"/>
  <c r="K30" i="3" a="1"/>
  <c r="K30" i="3" s="1"/>
  <c r="O34" i="3" a="1"/>
  <c r="O34" i="3" s="1"/>
  <c r="O33" i="3" a="1"/>
  <c r="O33" i="3" s="1"/>
  <c r="N32" i="3" a="1"/>
  <c r="N32" i="3" s="1"/>
  <c r="L31" i="3" a="1"/>
  <c r="L31" i="3" s="1"/>
  <c r="N33" i="3" a="1"/>
  <c r="N33" i="3" s="1"/>
  <c r="F32" i="3" a="1"/>
  <c r="F32" i="3" s="1"/>
  <c r="Q30" i="3" a="1"/>
  <c r="Q30" i="3" s="1"/>
  <c r="L30" i="3" a="1"/>
  <c r="L30" i="3" s="1"/>
  <c r="D32" i="3" a="1"/>
  <c r="D32" i="3" s="1"/>
  <c r="F34" i="3" a="1"/>
  <c r="F34" i="3" s="1"/>
  <c r="L33" i="3" a="1"/>
  <c r="L33" i="3" s="1"/>
  <c r="E33" i="3" a="1"/>
  <c r="E33" i="3" s="1"/>
  <c r="K32" i="3" a="1"/>
  <c r="K32" i="3" s="1"/>
  <c r="Q31" i="3" a="1"/>
  <c r="Q31" i="3" s="1"/>
  <c r="J31" i="3" a="1"/>
  <c r="J31" i="3" s="1"/>
  <c r="J30" i="3" a="1"/>
  <c r="J30" i="3" s="1"/>
  <c r="L34" i="3" a="1"/>
  <c r="L34" i="3" s="1"/>
  <c r="K33" i="3" a="1"/>
  <c r="K33" i="3" s="1"/>
  <c r="J32" i="3" a="1"/>
  <c r="J32" i="3" s="1"/>
  <c r="P31" i="3" a="1"/>
  <c r="P31" i="3" s="1"/>
  <c r="O30" i="3" a="1"/>
  <c r="O30" i="3" s="1"/>
  <c r="Q33" i="3" a="1"/>
  <c r="Q33" i="3" s="1"/>
  <c r="P32" i="3" a="1"/>
  <c r="P32" i="3" s="1"/>
  <c r="O31" i="3" a="1"/>
  <c r="O31" i="3" s="1"/>
  <c r="N30" i="3" a="1"/>
  <c r="N30" i="3" s="1"/>
  <c r="Q34" i="3" a="1"/>
  <c r="Q34" i="3" s="1"/>
  <c r="J34" i="3" a="1"/>
  <c r="J34" i="3" s="1"/>
  <c r="I33" i="3" a="1"/>
  <c r="I33" i="3" s="1"/>
  <c r="I32" i="3" a="1"/>
  <c r="I32" i="3" s="1"/>
  <c r="N31" i="3" a="1"/>
  <c r="N31" i="3" s="1"/>
  <c r="G31" i="3" a="1"/>
  <c r="G31" i="3" s="1"/>
  <c r="H30" i="3" a="1"/>
  <c r="H30" i="3" s="1"/>
  <c r="D33" i="3" a="1"/>
  <c r="D33" i="3" s="1"/>
  <c r="E34" i="3" a="1"/>
  <c r="E34" i="3" s="1"/>
  <c r="Q32" i="3" a="1"/>
  <c r="Q32" i="3" s="1"/>
  <c r="D34" i="3" a="1"/>
  <c r="D34" i="3" s="1"/>
  <c r="K34" i="3" a="1"/>
  <c r="K34" i="3" s="1"/>
  <c r="J33" i="3" a="1"/>
  <c r="J33" i="3" s="1"/>
  <c r="H31" i="3" a="1"/>
  <c r="H31" i="3" s="1"/>
  <c r="P34" i="3" a="1"/>
  <c r="P34" i="3" s="1"/>
  <c r="I34" i="3" a="1"/>
  <c r="I34" i="3" s="1"/>
  <c r="P33" i="3" a="1"/>
  <c r="P33" i="3" s="1"/>
  <c r="H33" i="3" a="1"/>
  <c r="H33" i="3" s="1"/>
  <c r="O32" i="3" a="1"/>
  <c r="O32" i="3" s="1"/>
  <c r="H32" i="3" a="1"/>
  <c r="H32" i="3" s="1"/>
  <c r="M31" i="3" a="1"/>
  <c r="M31" i="3" s="1"/>
  <c r="F31" i="3" a="1"/>
  <c r="F31" i="3" s="1"/>
  <c r="M30" i="3" a="1"/>
  <c r="M30" i="3" s="1"/>
  <c r="S32" i="2"/>
  <c r="S24" i="3"/>
  <c r="S6" i="3"/>
  <c r="S18" i="3"/>
  <c r="S25" i="3"/>
  <c r="S4" i="3"/>
  <c r="S10" i="3"/>
  <c r="S12" i="3"/>
  <c r="S16" i="3"/>
  <c r="S22" i="3"/>
  <c r="S3" i="3"/>
  <c r="S8" i="3"/>
  <c r="S9" i="3"/>
  <c r="S14" i="3"/>
  <c r="S15" i="3"/>
  <c r="S20" i="3"/>
  <c r="S2" i="3"/>
  <c r="S21" i="3"/>
  <c r="S26" i="3"/>
  <c r="Q29" i="3"/>
  <c r="S34" i="2"/>
  <c r="S3" i="2"/>
  <c r="S7" i="2"/>
  <c r="S11" i="2"/>
  <c r="S15" i="2"/>
  <c r="S23" i="2"/>
  <c r="S27" i="2"/>
  <c r="S31" i="2"/>
  <c r="S35" i="2"/>
  <c r="S12" i="2"/>
  <c r="Q39" i="2"/>
  <c r="S4" i="2"/>
  <c r="S36" i="2"/>
  <c r="S28" i="2"/>
  <c r="S20" i="2"/>
  <c r="S19" i="2"/>
  <c r="S26" i="2"/>
  <c r="S2" i="2"/>
  <c r="N45" i="1" a="1"/>
  <c r="N45" i="1" s="1"/>
  <c r="D31" i="1"/>
  <c r="D20" i="1"/>
  <c r="H45" i="1" a="1"/>
  <c r="H45" i="1" s="1"/>
  <c r="P45" i="1" a="1"/>
  <c r="P45" i="1" s="1"/>
  <c r="E36" i="1"/>
  <c r="I48" i="1" a="1"/>
  <c r="I48" i="1" s="1"/>
  <c r="M45" i="1" a="1"/>
  <c r="M45" i="1" s="1"/>
  <c r="C35" i="1"/>
  <c r="E35" i="1" s="1"/>
  <c r="C3" i="1"/>
  <c r="E3" i="1" s="1"/>
  <c r="D19" i="1"/>
  <c r="E19" i="1" s="1"/>
  <c r="L49" i="1" a="1"/>
  <c r="L49" i="1" s="1"/>
  <c r="P48" i="1" a="1"/>
  <c r="P48" i="1" s="1"/>
  <c r="H48" i="1" a="1"/>
  <c r="H48" i="1" s="1"/>
  <c r="L47" i="1" a="1"/>
  <c r="L47" i="1" s="1"/>
  <c r="P46" i="1" a="1"/>
  <c r="P46" i="1" s="1"/>
  <c r="H46" i="1" a="1"/>
  <c r="H46" i="1" s="1"/>
  <c r="L45" i="1" a="1"/>
  <c r="L45" i="1" s="1"/>
  <c r="Q46" i="1" a="1"/>
  <c r="Q46" i="1" s="1"/>
  <c r="S49" i="1" a="1"/>
  <c r="S49" i="1" s="1"/>
  <c r="O48" i="1" a="1"/>
  <c r="O48" i="1" s="1"/>
  <c r="S47" i="1" a="1"/>
  <c r="S47" i="1" s="1"/>
  <c r="K47" i="1" a="1"/>
  <c r="K47" i="1" s="1"/>
  <c r="O46" i="1" a="1"/>
  <c r="O46" i="1" s="1"/>
  <c r="S45" i="1" a="1"/>
  <c r="S45" i="1" s="1"/>
  <c r="K45" i="1" a="1"/>
  <c r="K45" i="1" s="1"/>
  <c r="G49" i="1" a="1"/>
  <c r="G49" i="1" s="1"/>
  <c r="Q48" i="1" a="1"/>
  <c r="Q48" i="1" s="1"/>
  <c r="M47" i="1" a="1"/>
  <c r="M47" i="1" s="1"/>
  <c r="I46" i="1" a="1"/>
  <c r="I46" i="1" s="1"/>
  <c r="C28" i="1"/>
  <c r="E28" i="1" s="1"/>
  <c r="D15" i="1"/>
  <c r="K49" i="1" a="1"/>
  <c r="K49" i="1" s="1"/>
  <c r="C27" i="1"/>
  <c r="E27" i="1" s="1"/>
  <c r="R49" i="1" a="1"/>
  <c r="R49" i="1" s="1"/>
  <c r="J49" i="1" a="1"/>
  <c r="J49" i="1" s="1"/>
  <c r="N48" i="1" a="1"/>
  <c r="N48" i="1" s="1"/>
  <c r="R47" i="1" a="1"/>
  <c r="R47" i="1" s="1"/>
  <c r="J47" i="1" a="1"/>
  <c r="J47" i="1" s="1"/>
  <c r="N46" i="1" a="1"/>
  <c r="N46" i="1" s="1"/>
  <c r="R45" i="1" a="1"/>
  <c r="R45" i="1" s="1"/>
  <c r="D11" i="1"/>
  <c r="G45" i="1" a="1"/>
  <c r="G45" i="1" s="1"/>
  <c r="Q49" i="1" a="1"/>
  <c r="Q49" i="1" s="1"/>
  <c r="I49" i="1" a="1"/>
  <c r="I49" i="1" s="1"/>
  <c r="M48" i="1" a="1"/>
  <c r="M48" i="1" s="1"/>
  <c r="Q47" i="1" a="1"/>
  <c r="Q47" i="1" s="1"/>
  <c r="I47" i="1" a="1"/>
  <c r="I47" i="1" s="1"/>
  <c r="M46" i="1" a="1"/>
  <c r="M46" i="1" s="1"/>
  <c r="Q45" i="1" a="1"/>
  <c r="Q45" i="1" s="1"/>
  <c r="J45" i="1" a="1"/>
  <c r="J45" i="1" s="1"/>
  <c r="M49" i="1" a="1"/>
  <c r="M49" i="1" s="1"/>
  <c r="E20" i="1"/>
  <c r="G46" i="1" a="1"/>
  <c r="G46" i="1" s="1"/>
  <c r="P49" i="1" a="1"/>
  <c r="P49" i="1" s="1"/>
  <c r="H49" i="1" a="1"/>
  <c r="H49" i="1" s="1"/>
  <c r="L48" i="1" a="1"/>
  <c r="L48" i="1" s="1"/>
  <c r="P47" i="1" a="1"/>
  <c r="P47" i="1" s="1"/>
  <c r="H47" i="1" a="1"/>
  <c r="H47" i="1" s="1"/>
  <c r="L46" i="1" a="1"/>
  <c r="L46" i="1" s="1"/>
  <c r="I45" i="1" a="1"/>
  <c r="I45" i="1" s="1"/>
  <c r="E12" i="1"/>
  <c r="G47" i="1" a="1"/>
  <c r="G47" i="1" s="1"/>
  <c r="O49" i="1" a="1"/>
  <c r="O49" i="1" s="1"/>
  <c r="S48" i="1" a="1"/>
  <c r="S48" i="1" s="1"/>
  <c r="K48" i="1" a="1"/>
  <c r="K48" i="1" s="1"/>
  <c r="O47" i="1" a="1"/>
  <c r="O47" i="1" s="1"/>
  <c r="S46" i="1" a="1"/>
  <c r="S46" i="1" s="1"/>
  <c r="K46" i="1" a="1"/>
  <c r="K46" i="1" s="1"/>
  <c r="O45" i="1" a="1"/>
  <c r="O45" i="1" s="1"/>
  <c r="D23" i="1"/>
  <c r="G48" i="1" a="1"/>
  <c r="G48" i="1" s="1"/>
  <c r="N49" i="1" a="1"/>
  <c r="N49" i="1" s="1"/>
  <c r="R48" i="1" a="1"/>
  <c r="R48" i="1" s="1"/>
  <c r="J48" i="1" a="1"/>
  <c r="J48" i="1" s="1"/>
  <c r="N47" i="1" a="1"/>
  <c r="N47" i="1" s="1"/>
  <c r="R46" i="1" a="1"/>
  <c r="R46" i="1" s="1"/>
  <c r="J46" i="1" a="1"/>
  <c r="J46" i="1" s="1"/>
  <c r="T39" i="1"/>
  <c r="C25" i="1"/>
  <c r="E25" i="1" s="1"/>
  <c r="C9" i="1"/>
  <c r="E9" i="1" s="1"/>
  <c r="C24" i="1"/>
  <c r="E24" i="1" s="1"/>
  <c r="C8" i="1"/>
  <c r="E8" i="1" s="1"/>
  <c r="C30" i="1"/>
  <c r="E30" i="1" s="1"/>
  <c r="C22" i="1"/>
  <c r="E22" i="1" s="1"/>
  <c r="C14" i="1"/>
  <c r="E14" i="1" s="1"/>
  <c r="C6" i="1"/>
  <c r="E6" i="1" s="1"/>
  <c r="D33" i="1"/>
  <c r="E33" i="1" s="1"/>
  <c r="D17" i="1"/>
  <c r="Q41" i="1" s="1"/>
  <c r="C32" i="1"/>
  <c r="E32" i="1" s="1"/>
  <c r="C16" i="1"/>
  <c r="E16" i="1" s="1"/>
  <c r="C29" i="1"/>
  <c r="E29" i="1" s="1"/>
  <c r="C21" i="1"/>
  <c r="E21" i="1" s="1"/>
  <c r="C13" i="1"/>
  <c r="E13" i="1" s="1"/>
  <c r="C5" i="1"/>
  <c r="E5" i="1" s="1"/>
  <c r="E7" i="1"/>
  <c r="C34" i="1"/>
  <c r="E34" i="1" s="1"/>
  <c r="C26" i="1"/>
  <c r="E26" i="1" s="1"/>
  <c r="C18" i="1"/>
  <c r="E18" i="1" s="1"/>
  <c r="C10" i="1"/>
  <c r="E10" i="1" s="1"/>
  <c r="C2" i="1"/>
  <c r="E31" i="1"/>
  <c r="E23" i="1"/>
  <c r="E15" i="1"/>
  <c r="K41" i="1" l="1"/>
  <c r="T41" i="1"/>
  <c r="J41" i="1"/>
  <c r="S41" i="1"/>
  <c r="M41" i="1"/>
  <c r="I41" i="1"/>
  <c r="N41" i="1"/>
  <c r="P41" i="1"/>
  <c r="M42" i="1"/>
  <c r="N42" i="1"/>
  <c r="O42" i="1"/>
  <c r="H42" i="1"/>
  <c r="P42" i="1"/>
  <c r="I42" i="1"/>
  <c r="Q42" i="1"/>
  <c r="G42" i="1"/>
  <c r="J42" i="1"/>
  <c r="R42" i="1"/>
  <c r="K42" i="1"/>
  <c r="S42" i="1"/>
  <c r="L42" i="1"/>
  <c r="O41" i="1"/>
  <c r="H41" i="1"/>
  <c r="R41" i="1"/>
  <c r="T42" i="1"/>
  <c r="G41" i="1"/>
  <c r="L41" i="1"/>
  <c r="E11" i="1"/>
  <c r="E2" i="1"/>
  <c r="E17" i="1"/>
  <c r="M40" i="1" l="1"/>
  <c r="N40" i="1"/>
  <c r="G40" i="1"/>
  <c r="O40" i="1"/>
  <c r="H40" i="1"/>
  <c r="P40" i="1"/>
  <c r="I40" i="1"/>
  <c r="Q40" i="1"/>
  <c r="L40" i="1"/>
  <c r="J40" i="1"/>
  <c r="R40" i="1"/>
  <c r="K40" i="1"/>
  <c r="S40" i="1"/>
  <c r="T40" i="1"/>
  <c r="T46" i="1" a="1"/>
  <c r="T46" i="1" s="1"/>
  <c r="T49" i="1" a="1"/>
  <c r="T49" i="1" s="1"/>
  <c r="T47" i="1" a="1"/>
  <c r="T47" i="1" s="1"/>
  <c r="T48" i="1" a="1"/>
  <c r="T48" i="1" s="1"/>
  <c r="T44" i="1"/>
  <c r="T45" i="1" a="1"/>
  <c r="T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<sst xmlns="http://schemas.openxmlformats.org/spreadsheetml/2006/main" count="193" uniqueCount="66">
  <si>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</si>
  <si>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</si>
  <si>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</si>
  <si>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</si>
  <si>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</si>
  <si>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</si>
  <si>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</si>
  <si>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</si>
  <si>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</si>
  <si>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</si>
  <si>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</si>
  <si>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</si>
  <si>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</si>
  <si>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</si>
  <si>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</si>
  <si>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</si>
  <si>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</si>
  <si>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</si>
  <si>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</si>
  <si>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</si>
  <si>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</si>
  <si>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</si>
  <si>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</si>
  <si>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</si>
  <si>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</si>
  <si>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</si>
  <si>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</si>
  <si>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</si>
  <si>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</si>
  <si>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</si>
  <si>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</si>
  <si>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</si>
  <si>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</si>
  <si>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</si>
  <si>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</si>
  <si>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</si>
  <si>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average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</si>
  <si>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</si>
  <si>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</si>
  <si>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</si>
  <si>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</si>
  <si>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</si>
  <si>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</si>
  <si>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</si>
  <si>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</si>
  <si>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</si>
  <si>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</si>
  <si>
    <t>11</t>
  </si>
  <si>
    <t>13</t>
  </si>
  <si>
    <t>14</t>
  </si>
  <si>
    <t>xsk</t>
  </si>
  <si>
    <t>sk</t>
  </si>
  <si>
    <t>encoding</t>
  </si>
  <si>
    <t>all</t>
  </si>
  <si>
    <t>arabic</t>
  </si>
  <si>
    <t>german</t>
  </si>
  <si>
    <t>english</t>
  </si>
  <si>
    <t>french</t>
  </si>
  <si>
    <t>russian</t>
  </si>
  <si>
    <t>lang</t>
  </si>
  <si>
    <t>norm</t>
  </si>
  <si>
    <t>stdev</t>
  </si>
  <si>
    <t>score</t>
  </si>
  <si>
    <t>1g</t>
  </si>
  <si>
    <t>1g excluded</t>
  </si>
  <si>
    <t>1g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</si>
</sst>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55"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/>
              <a:t> </a:t>
            </a:r>
            <a:r>
              <a:rPr lang="en-US" altLang="ja-JP"/>
              <a:t>distributions</a:t>
            </a:r>
            <a:r>
              <a:rPr lang="ja-JP" altLang="en-US"/>
              <a:t> </a:t>
            </a:r>
            <a:r>
              <a:rPr lang="en-US" altLang="ja-JP"/>
              <a:t>for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/>
              <a:t> </a:t>
            </a:r>
            <a:r>
              <a:rPr lang="en-US" altLang="ja-JP"/>
              <a:t>by</a:t>
            </a:r>
            <a:r>
              <a:rPr lang="ja-JP" altLang="en-US"/>
              <a:t> </a:t>
            </a:r>
            <a:r>
              <a:rPr lang="en-US" altLang="ja-JP"/>
              <a:t>languages</a:t>
            </a:r>
            <a:r>
              <a:rPr lang="ja-JP" altLang="en-US"/>
              <a:t> </a:t>
            </a:r>
            <a:r>
              <a:rPr lang="en-US" altLang="ja-JP"/>
              <a:t>(s2,</a:t>
            </a:r>
            <a:r>
              <a:rPr lang="ja-JP" altLang="en-US"/>
              <a:t> </a:t>
            </a:r>
            <a:r>
              <a:rPr lang="en-US" altLang="ja-JP"/>
              <a:t>pt=0.50;</a:t>
            </a:r>
            <a:r>
              <a:rPr lang="ja-JP" altLang="en-US"/>
              <a:t> </a:t>
            </a:r>
            <a:r>
              <a:rPr lang="en-US" altLang="ja-JP"/>
              <a:t>1g</a:t>
            </a:r>
            <a:r>
              <a:rPr lang="ja-JP" altLang="en-US"/>
              <a:t> </a:t>
            </a:r>
            <a:r>
              <a:rPr lang="en-US" altLang="ja-JP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'aNA.simple.xsk-free'!$C$38</c:f>
              <c:strCache>
                <c:ptCount val="1"/>
                <c:pt idx="0">
                  <c:v>arabic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'aNA.simple.xsk-free'!$D$1:$P$1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'aNA.simple.xsk-free'!$D$38:$P$38</c:f>
              <c:numCache>
                <c:formatCode>0.00</c:formatCode>
                <c:ptCount val="13"/>
                <c:pt idx="0">
                  <c:v>0.99262386005787528</c:v>
                </c:pt>
                <c:pt idx="1">
                  <c:v>0.99777307765157752</c:v>
                </c:pt>
                <c:pt idx="2">
                  <c:v>0.99938497433039675</c:v>
                </c:pt>
                <c:pt idx="3">
                  <c:v>0.99959739566924921</c:v>
                </c:pt>
                <c:pt idx="4">
                  <c:v>0.99325436129464173</c:v>
                </c:pt>
                <c:pt idx="5">
                  <c:v>0.99957189144677749</c:v>
                </c:pt>
                <c:pt idx="6">
                  <c:v>0.999802991221448</c:v>
                </c:pt>
                <c:pt idx="7">
                  <c:v>0.99886269581668552</c:v>
                </c:pt>
                <c:pt idx="8">
                  <c:v>1</c:v>
                </c:pt>
                <c:pt idx="9">
                  <c:v>0.98961597113754451</c:v>
                </c:pt>
                <c:pt idx="10">
                  <c:v>1</c:v>
                </c:pt>
                <c:pt idx="11">
                  <c:v>0.99924819414049781</c:v>
                </c:pt>
                <c:pt idx="12">
                  <c:v>0.95585327688248201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F-474F-965E-4F04A3DF0268}"/>
            </c:ext>
          </c:extLst>
        </c:ser>
        <c:ser>
          <c:idx val="1"/>
          <c:order val="1"/>
          <c:tx>
            <c:strRef>
              <c:f>'aNA.simple.xsk-free'!$C$39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'aNA.simple.xsk-free'!$D$1:$P$1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'aNA.simple.xsk-free'!$D$39:$P$39</c:f>
              <c:numCache>
                <c:formatCode>0.00</c:formatCode>
                <c:ptCount val="13"/>
                <c:pt idx="0">
                  <c:v>0.46594477020003672</c:v>
                </c:pt>
                <c:pt idx="1">
                  <c:v>0.33905168513487827</c:v>
                </c:pt>
                <c:pt idx="2">
                  <c:v>0.36081695523340279</c:v>
                </c:pt>
                <c:pt idx="3">
                  <c:v>0.4342022548825995</c:v>
                </c:pt>
                <c:pt idx="4">
                  <c:v>0.35152426606845349</c:v>
                </c:pt>
                <c:pt idx="5">
                  <c:v>0.30605711394944346</c:v>
                </c:pt>
                <c:pt idx="6">
                  <c:v>0.27833170531631451</c:v>
                </c:pt>
                <c:pt idx="7">
                  <c:v>0.31974571902203019</c:v>
                </c:pt>
                <c:pt idx="8">
                  <c:v>0.19502801808976999</c:v>
                </c:pt>
                <c:pt idx="9">
                  <c:v>0.19874031323610275</c:v>
                </c:pt>
                <c:pt idx="10">
                  <c:v>0.185588161522206</c:v>
                </c:pt>
                <c:pt idx="11">
                  <c:v>0.16171916218332399</c:v>
                </c:pt>
                <c:pt idx="12">
                  <c:v>0.24357028748328352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F-474F-965E-4F04A3DF0268}"/>
            </c:ext>
          </c:extLst>
        </c:ser>
        <c:ser>
          <c:idx val="2"/>
          <c:order val="2"/>
          <c:tx>
            <c:strRef>
              <c:f>'aNA.simple.xsk-free'!$C$40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'aNA.simple.xsk-free'!$D$1:$P$1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'aNA.simple.xsk-free'!$D$40:$P$40</c:f>
              <c:numCache>
                <c:formatCode>0.00</c:formatCode>
                <c:ptCount val="13"/>
                <c:pt idx="0">
                  <c:v>0.51711823320570682</c:v>
                </c:pt>
                <c:pt idx="1">
                  <c:v>0.52914471858678547</c:v>
                </c:pt>
                <c:pt idx="2">
                  <c:v>0.42755843389438619</c:v>
                </c:pt>
                <c:pt idx="3">
                  <c:v>0.53242246594761644</c:v>
                </c:pt>
                <c:pt idx="4">
                  <c:v>0.38686248890692149</c:v>
                </c:pt>
                <c:pt idx="5">
                  <c:v>0.44134873709036276</c:v>
                </c:pt>
                <c:pt idx="6">
                  <c:v>0.25506546258791873</c:v>
                </c:pt>
                <c:pt idx="7">
                  <c:v>0.33525292475843727</c:v>
                </c:pt>
                <c:pt idx="8">
                  <c:v>0.32201288374984727</c:v>
                </c:pt>
                <c:pt idx="9">
                  <c:v>0.34814345810999298</c:v>
                </c:pt>
                <c:pt idx="10">
                  <c:v>0.21578663061172174</c:v>
                </c:pt>
                <c:pt idx="11">
                  <c:v>0.28213798215089947</c:v>
                </c:pt>
                <c:pt idx="12">
                  <c:v>0.23377565181976701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1F-474F-965E-4F04A3DF0268}"/>
            </c:ext>
          </c:extLst>
        </c:ser>
        <c:ser>
          <c:idx val="3"/>
          <c:order val="3"/>
          <c:tx>
            <c:strRef>
              <c:f>'aNA.simple.xsk-free'!$C$41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'aNA.simple.xsk-free'!$D$1:$P$1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'aNA.simple.xsk-free'!$D$41:$P$41</c:f>
              <c:numCache>
                <c:formatCode>0.00</c:formatCode>
                <c:ptCount val="13"/>
                <c:pt idx="0">
                  <c:v>0.69936083241765656</c:v>
                </c:pt>
                <c:pt idx="1">
                  <c:v>0.71473502146053247</c:v>
                </c:pt>
                <c:pt idx="2">
                  <c:v>0.49916055144482224</c:v>
                </c:pt>
                <c:pt idx="3">
                  <c:v>0.40806310557726944</c:v>
                </c:pt>
                <c:pt idx="4">
                  <c:v>0.36575280656829978</c:v>
                </c:pt>
                <c:pt idx="5">
                  <c:v>0.52305657928633276</c:v>
                </c:pt>
                <c:pt idx="6">
                  <c:v>0.37314517614969872</c:v>
                </c:pt>
                <c:pt idx="7">
                  <c:v>0.38640265887629527</c:v>
                </c:pt>
                <c:pt idx="8">
                  <c:v>0.40808548070102402</c:v>
                </c:pt>
                <c:pt idx="9">
                  <c:v>0.45925660646325794</c:v>
                </c:pt>
                <c:pt idx="10">
                  <c:v>0.37894557800024725</c:v>
                </c:pt>
                <c:pt idx="11">
                  <c:v>0.49406777114556055</c:v>
                </c:pt>
                <c:pt idx="12">
                  <c:v>0.56850337890022673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1F-474F-965E-4F04A3DF0268}"/>
            </c:ext>
          </c:extLst>
        </c:ser>
        <c:ser>
          <c:idx val="4"/>
          <c:order val="4"/>
          <c:tx>
            <c:strRef>
              <c:f>'aNA.simple.xsk-free'!$C$42</c:f>
              <c:strCache>
                <c:ptCount val="1"/>
                <c:pt idx="0">
                  <c:v>russian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'aNA.simple.xsk-free'!$D$1:$P$1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'aNA.simple.xsk-free'!$D$42:$P$42</c:f>
              <c:numCache>
                <c:formatCode>0.00</c:formatCode>
                <c:ptCount val="13"/>
                <c:pt idx="0">
                  <c:v>0.99850938387674248</c:v>
                </c:pt>
                <c:pt idx="1">
                  <c:v>0.98162134226631492</c:v>
                </c:pt>
                <c:pt idx="2">
                  <c:v>0.99896941259116656</c:v>
                </c:pt>
                <c:pt idx="3">
                  <c:v>0.99774740798145278</c:v>
                </c:pt>
                <c:pt idx="4">
                  <c:v>0.95844638466457699</c:v>
                </c:pt>
                <c:pt idx="5">
                  <c:v>0.97081913540817</c:v>
                </c:pt>
                <c:pt idx="6">
                  <c:v>0.95903179128912153</c:v>
                </c:pt>
                <c:pt idx="7">
                  <c:v>0.99502562547509044</c:v>
                </c:pt>
                <c:pt idx="8">
                  <c:v>0.99416069096694148</c:v>
                </c:pt>
                <c:pt idx="9">
                  <c:v>1</c:v>
                </c:pt>
                <c:pt idx="10">
                  <c:v>0.84905162588645799</c:v>
                </c:pt>
                <c:pt idx="11">
                  <c:v>0.99767220756615527</c:v>
                </c:pt>
                <c:pt idx="12">
                  <c:v>0.9906331406060418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1F-474F-965E-4F04A3DF0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7600640"/>
        <c:axId val="1768918175"/>
      </c:lineChart>
      <c:catAx>
        <c:axId val="20576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68918175"/>
        <c:crosses val="autoZero"/>
        <c:auto val="1"/>
        <c:lblAlgn val="ctr"/>
        <c:lblOffset val="100"/>
        <c:noMultiLvlLbl val="0"/>
      </c:catAx>
      <c:valAx>
        <c:axId val="176891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5760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425450</xdr:colOff>
      <xdr:row>36</xdr:row>
      <xdr:rowOff>88900</xdr:rowOff>
    </xdr:from>
    <xdr:to>
      <xdr:col>22</xdr:col>
      <xdr:colOff>211550</xdr:colOff>
      <xdr:row>43</xdr:row>
      <xdr:rowOff>301900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E78D3-0E6F-85BA-5C2C-83CC3625D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046399-139B-634A-88C7-1B62C6D4C047}" name="Table134" displayName="Table134" ref="A1:S26" totalsRowShown="0">
  <autoFilter ref="A1:S26" xr:uid="{CFFBF5C2-C562-4A4E-B95B-091D1721BBE3}"/>
  <tableColumns count="19">
    <tableColumn id="1" xr3:uid="{7B534F2A-932B-254E-9AA9-0305771855D3}" name="lang">
      <calculatedColumnFormula>_xlfn.LET(_xlpm.c,_xlfn.SINGLE(Table134[condition]),_xlfn.TEXTBEFORE(_xlpm.c,"-"))</calculatedColumnFormula>
    </tableColumn>
    <tableColumn id="17" xr3:uid="{616580AE-CB29-C74A-A9F8-2003F86D0EC2}" name="1g" dataDxfId="54">
      <calculatedColumnFormula>_xlfn.LET(_xlpm.c,_xlfn.SINGLE(Table134[condition]),IF(RIGHT(_xlpm.c,2)="1g",1,0))</calculatedColumnFormula>
    </tableColumn>
    <tableColumn id="16" xr3:uid="{03C5E639-EF59-9E40-B94A-CADA2DF00FC4}" name="condition"/>
    <tableColumn id="2" xr3:uid="{B2F8EA39-041E-6148-87FB-5E72CE00686E}" name="3" dataDxfId="53"/>
    <tableColumn id="3" xr3:uid="{D50E34B5-9E3A-A945-9412-71DE4A41B204}" name="4" dataDxfId="52"/>
    <tableColumn id="4" xr3:uid="{3A53CE5E-205A-284F-8367-85B6D802CF74}" name="5" dataDxfId="51"/>
    <tableColumn id="5" xr3:uid="{2736DAFE-57E1-1F4D-917E-C62F4841DC8E}" name="6" dataDxfId="50"/>
    <tableColumn id="6" xr3:uid="{48C91D42-5A5F-1947-8ED6-E7CE558E665E}" name="7" dataDxfId="49"/>
    <tableColumn id="7" xr3:uid="{BEBA5BBD-8A68-964D-B100-A34E36EFE359}" name="8" dataDxfId="48"/>
    <tableColumn id="8" xr3:uid="{23F8A8DD-8CCC-584E-BD3C-D7ED7EDD6CC2}" name="9" dataDxfId="47"/>
    <tableColumn id="9" xr3:uid="{566D1935-71F6-9046-B916-3920064632D1}" name="10" dataDxfId="46"/>
    <tableColumn id="13" xr3:uid="{63983451-5F71-6E43-8601-C70E9D462308}" name="11" dataDxfId="45"/>
    <tableColumn id="10" xr3:uid="{B7D37EDA-0A87-AA4B-8AB1-807225766F66}" name="12" dataDxfId="44"/>
    <tableColumn id="14" xr3:uid="{4663E374-3410-6B47-8537-D49A8ABDD3DD}" name="13" dataDxfId="43"/>
    <tableColumn id="15" xr3:uid="{DDEE3FB7-0420-E640-8C36-02095A818D6C}" name="14" dataDxfId="42"/>
    <tableColumn id="11" xr3:uid="{4B209DD0-854C-7042-8F53-5B60035C0650}" name="15" dataDxfId="41"/>
    <tableColumn id="12" xr3:uid="{8448E26E-3DDB-0F4B-BF97-68A3E0CD1F92}" name="average" dataDxfId="40">
      <calculatedColumnFormula>_xlfn.LET(_xlpm.d,$D2:$P2,AVERAGE(_xlpm.d))</calculatedColumnFormula>
    </tableColumn>
    <tableColumn id="21" xr3:uid="{14A11389-EDC7-F049-A14D-766F26C93235}" name="stdev" dataDxfId="39">
      <calculatedColumnFormula>_xlfn.LET(_xlpm.d,$D2:$P2,STDEV(_xlpm.d))</calculatedColumnFormula>
    </tableColumn>
    <tableColumn id="22" xr3:uid="{1202EEEA-21F7-4043-BCAC-CDA4690C44B1}" name="score" dataDxfId="38">
      <calculatedColumnFormula>Table134[[#This Row],[average]]-SQRT(Table134[[#This Row],[stdev]])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E39A2-3F88-BC47-9552-70018CF8FBD2}" name="Table13" displayName="Table13" ref="A1:S36" totalsRowShown="0">
  <autoFilter ref="A1:S36" xr:uid="{CFFBF5C2-C562-4A4E-B95B-091D1721BBE3}"/>
  <tableColumns count="19">
    <tableColumn id="1" xr3:uid="{5FA330AF-5AC1-1D45-8CDC-0BDFD794DEFE}" name="lang">
      <calculatedColumnFormula>_xlfn.LET(_xlpm.c,_xlfn.SINGLE(Table13[condition]),_xlfn.TEXTBEFORE(_xlpm.c,"-"))</calculatedColumnFormula>
    </tableColumn>
    <tableColumn id="17" xr3:uid="{73879FEA-C45F-1649-8AD3-51DB9444377F}" name="1g" dataDxfId="37">
      <calculatedColumnFormula>_xlfn.LET(_xlpm.c,_xlfn.SINGLE(Table13[condition]),IF(RIGHT(_xlpm.c,2)="1g",1,0))</calculatedColumnFormula>
    </tableColumn>
    <tableColumn id="16" xr3:uid="{B314E726-6900-144F-91AA-458AEC7E52A2}" name="condition"/>
    <tableColumn id="2" xr3:uid="{4CA470D3-F958-7F47-8CDA-76CD6233B733}" name="3" dataDxfId="36"/>
    <tableColumn id="3" xr3:uid="{E34F5376-BD28-8844-9EBE-FAAD23E29C66}" name="4" dataDxfId="35"/>
    <tableColumn id="4" xr3:uid="{69DB00B1-8FC2-3743-AA6A-14670685A98A}" name="5" dataDxfId="34"/>
    <tableColumn id="5" xr3:uid="{6D3EB189-EAD3-CA40-8651-943882FA47B4}" name="6" dataDxfId="33"/>
    <tableColumn id="6" xr3:uid="{E7D869F3-4C03-2A46-9630-F8BD8C0F47F6}" name="7" dataDxfId="32"/>
    <tableColumn id="7" xr3:uid="{7F1F6495-4776-7D4D-A02A-1CF776A6B44F}" name="8" dataDxfId="31"/>
    <tableColumn id="8" xr3:uid="{DA0E3F98-0FA5-534A-BF60-7F8FAC8314C6}" name="9" dataDxfId="30"/>
    <tableColumn id="9" xr3:uid="{36C68ACD-5916-0B47-B5F4-25BC01A00C5E}" name="10" dataDxfId="29"/>
    <tableColumn id="13" xr3:uid="{41D33140-34AE-7448-8B20-9DBC65BCFFC7}" name="11" dataDxfId="28"/>
    <tableColumn id="10" xr3:uid="{2633299B-22B7-224D-B649-1E14168B3D35}" name="12" dataDxfId="27"/>
    <tableColumn id="14" xr3:uid="{D31FDAD6-9F13-244D-A87B-00084C7C58EA}" name="13" dataDxfId="26"/>
    <tableColumn id="15" xr3:uid="{F2BAB94F-8FA2-084D-9F24-E5FA69C54B59}" name="14" dataDxfId="25"/>
    <tableColumn id="11" xr3:uid="{A3AC9D2A-365E-574D-B42A-768808916D38}" name="15" dataDxfId="24"/>
    <tableColumn id="12" xr3:uid="{87B441F9-3AF7-DB45-82BA-18CD0F753193}" name="average" dataDxfId="23">
      <calculatedColumnFormula>_xlfn.LET(_xlpm.d,$D2:$P2,AVERAGE(_xlpm.d))</calculatedColumnFormula>
    </tableColumn>
    <tableColumn id="21" xr3:uid="{A11A6AA0-4E17-F349-98D6-D2DC034D6A9A}" name="stdev" dataDxfId="22">
      <calculatedColumnFormula>_xlfn.LET(_xlpm.d,$D2:$P2,STDEV(_xlpm.d))</calculatedColumnFormula>
    </tableColumn>
    <tableColumn id="22" xr3:uid="{E5F54F79-BD24-6A43-9502-98B674AE1640}" name="score" dataDxfId="21">
      <calculatedColumnFormula>Table13[[#This Row],[average]]-SQRT(Table13[[#This Row],[stdev]])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V36" totalsRowShown="0">
  <autoFilter ref="A1:V36" xr:uid="{CFFBF5C2-C562-4A4E-B95B-091D1721BBE3}"/>
  <tableColumns count="22">
    <tableColumn id="1" xr3:uid="{B965C989-233C-BA49-B251-382897A2BABE}" name="condition"/>
    <tableColumn id="20" xr3:uid="{F35624D0-F949-214D-BD2D-CAFFBDB13FDF}" name="lang" dataDxfId="20">
      <calculatedColumnFormula>_xlfn.TEXTBEFORE(Table1[[#This Row],[condition]],"-")</calculatedColumnFormula>
    </tableColumn>
    <tableColumn id="16" xr3:uid="{ED3D7830-52D2-2342-8C36-5C732C80DA5C}" name="xsk" dataDxfId="19">
      <calculatedColumnFormula>LEFT(Table1[[#This Row],[encoding]],3)=C$1</calculatedColumnFormula>
    </tableColumn>
    <tableColumn id="17" xr3:uid="{35EE7A08-BCD5-3140-9F5F-1714F122F254}" name="sk" dataDxfId="18">
      <calculatedColumnFormula>LEFT(Table1[[#This Row],[encoding]],2)=D$1</calculatedColumnFormula>
    </tableColumn>
    <tableColumn id="18" xr3:uid="{4BC61AEB-8174-4E44-89C2-380B7D578DCF}" name="norm" dataDxfId="17">
      <calculatedColumnFormula>NOT(OR(C2,D2))</calculatedColumnFormula>
    </tableColumn>
    <tableColumn id="19" xr3:uid="{0BBF53C1-52D1-C444-B8CE-3927D3347C52}" name="encoding" dataDxfId="16">
      <calculatedColumnFormula>_xlfn.TEXTAFTER(Table1[[#This Row],[condition]],"-")</calculatedColumnFormula>
    </tableColumn>
    <tableColumn id="2" xr3:uid="{E49E0B59-37B0-284D-BE77-40B5319AB755}" name="3" dataDxfId="15"/>
    <tableColumn id="3" xr3:uid="{12F044D8-6B04-8146-9059-0DD6BE8C153F}" name="4" dataDxfId="14"/>
    <tableColumn id="4" xr3:uid="{28314014-34F8-EF4B-AF7B-FC88FF8A6DA9}" name="5" dataDxfId="13"/>
    <tableColumn id="5" xr3:uid="{0BD4A703-F893-784A-B65E-DB2D1E798103}" name="6" dataDxfId="12"/>
    <tableColumn id="6" xr3:uid="{50D9F421-0114-CF41-9767-B830E35DC34D}" name="7" dataDxfId="11"/>
    <tableColumn id="7" xr3:uid="{E0DD0445-0346-1E47-9A2C-83486C4A03C4}" name="8" dataDxfId="10"/>
    <tableColumn id="8" xr3:uid="{5556115A-B62B-C140-944D-BADBB061EBB5}" name="9" dataDxfId="9"/>
    <tableColumn id="9" xr3:uid="{1B92E407-F94E-544F-B76D-B160EB3BC0AB}" name="10" dataDxfId="8"/>
    <tableColumn id="13" xr3:uid="{9CDDE4F6-FA7F-644D-B533-4942218F0695}" name="11" dataDxfId="7"/>
    <tableColumn id="10" xr3:uid="{6871B4E2-64FC-EF4F-91D7-DFBFD9EFB3C2}" name="12" dataDxfId="6"/>
    <tableColumn id="14" xr3:uid="{2A4D86B7-DFA8-4F4A-B5BF-8AD445AD0336}" name="13" dataDxfId="5"/>
    <tableColumn id="15" xr3:uid="{6A54E2D7-49D8-8B47-B14C-B80C17AAE8A0}" name="14" dataDxfId="4"/>
    <tableColumn id="11" xr3:uid="{059EBDD8-5269-D041-AFDD-56AB88BB8F27}" name="15" dataDxfId="3"/>
    <tableColumn id="12" xr3:uid="{486FCDF8-9414-E045-9047-739B6B9DD560}" name="average" dataDxfId="2">
      <calculatedColumnFormula>_xlfn.LET(_xlpm.d,$G2:$S2,AVERAGE(_xlpm.d))</calculatedColumnFormula>
    </tableColumn>
    <tableColumn id="21" xr3:uid="{E3733C8F-2F2F-6A4B-A352-A07FCBB06045}" name="stdev" dataDxfId="1">
      <calculatedColumnFormula>_xlfn.LET(_xlpm.d,$G2:$S2,STDEV(_xlpm.d))</calculatedColumnFormula>
    </tableColumn>
    <tableColumn id="22" xr3:uid="{93D88A92-C19B-B24D-9FE2-7F612F31FB11}" name="score" dataDxfId="0">
      <calculatedColumnFormula>Table1[[#This Row],[average]]-SQRT(Table1[[#This Row],[stdev]])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C0EB-A05D-2947-9EB7-2BCF9B760FF4}">
  <dimension ref="A1:S42"/>
  <sheetViews>
    <sheetView tabSelected="1" workbookViewId="0">
      <pane xSplit="9080" ySplit="3520" topLeftCell="K34" activePane="bottomRight"/>
      <selection activeCell="A2" sqref="A2"/>
      <selection pane="topRight" activeCell="B2" sqref="B2"/>
      <selection pane="bottomLeft" activeCell="A7" sqref="A7:XFD8"/>
      <selection pane="bottomRight" activeCell="U34" sqref="U34"/>
    </sheetView>
  </sheetViews>
  <sheetFormatPr baseColWidth="10" defaultRowHeight="30" customHeight="1"/>
  <cols>
    <col min="1" max="1" width="11.25" customWidth="1"/>
    <col min="2" max="2" width="6.375" customWidth="1"/>
    <col min="3" max="3" width="15.25" customWidth="1"/>
    <col min="4" max="16" width="7" customWidth="1"/>
    <col min="17" max="18" width="7.375" customWidth="1"/>
    <col min="19" max="19" width="8.75" customWidth="1"/>
    <col min="20" max="20" width="9.125" customWidth="1"/>
    <col min="21" max="21" width="8.75" customWidth="1"/>
  </cols>
  <sheetData>
    <row r="1" spans="1:19" ht="30" customHeight="1">
      <c r="A1" t="s">
        <v>59</v>
      </c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36</v>
      </c>
      <c r="R1" t="s">
        <v>61</v>
      </c>
      <c r="S1" t="s">
        <v>62</v>
      </c>
    </row>
    <row r="2" spans="1:19" ht="30" customHeight="1">
      <c r="A2" t="str">
        <f>_xlfn.LET(_xlpm.c,_xlfn.SINGLE(Table134[condition]),_xlfn.TEXTBEFORE(_xlpm.c,"-"))</f>
        <v>arabic</v>
      </c>
      <c r="B2">
        <f>_xlfn.LET(_xlpm.c,_xlfn.SINGLE(Table134[condition]),IF(RIGHT(_xlpm.c,2)="1g",1,0))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3">
        <f>_xlfn.LET(_xlpm.d,$D2:$P2,STDEV(_xlpm.d))</f>
        <v>0</v>
      </c>
      <c r="S2" s="1">
        <f>Table134[[#This Row],[average]]-SQRT(Table134[[#This Row],[stdev]])</f>
        <v>1</v>
      </c>
    </row>
    <row r="3" spans="1:19" ht="30" customHeight="1">
      <c r="A3" t="str">
        <f>_xlfn.LET(_xlpm.c,_xlfn.SINGLE(Table134[condition]),_xlfn.TEXTBEFORE(_xlpm.c,"-"))</f>
        <v>arabic</v>
      </c>
      <c r="B3">
        <f>_xlfn.LET(_xlpm.c,_xlfn.SINGLE(Table134[condition]),IF(RIGHT(_xlpm.c,2)="1g",1,0))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ref="Q3:Q26" si="0">_xlfn.LET(_xlpm.d,$D3:$P3,AVERAGE(_xlpm.d))</f>
        <v>1</v>
      </c>
      <c r="R3" s="3">
        <f t="shared" ref="R3:R26" si="1">_xlfn.LET(_xlpm.d,$D3:$P3,STDEV(_xlpm.d))</f>
        <v>0</v>
      </c>
      <c r="S3" s="1">
        <f>Table134[[#This Row],[average]]-SQRT(Table134[[#This Row],[stdev]])</f>
        <v>1</v>
      </c>
    </row>
    <row r="4" spans="1:19" ht="30" customHeight="1">
      <c r="A4" t="str">
        <f>_xlfn.LET(_xlpm.c,_xlfn.SINGLE(Table134[condition]),_xlfn.TEXTBEFORE(_xlpm.c,"-"))</f>
        <v>arabic</v>
      </c>
      <c r="B4">
        <f>_xlfn.LET(_xlpm.c,_xlfn.SINGLE(Table134[condition]),IF(RIGHT(_xlpm.c,2)="1g",1,0))</f>
        <v>0</v>
      </c>
      <c r="C4" t="s">
        <v>13</v>
      </c>
      <c r="D4" s="1">
        <v>0.99653580692653299</v>
      </c>
      <c r="E4" s="1">
        <v>1</v>
      </c>
      <c r="F4" s="1">
        <v>1</v>
      </c>
      <c r="G4" s="1">
        <v>1</v>
      </c>
      <c r="H4" s="1">
        <v>0.99902623846222705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0.99965861887605834</v>
      </c>
      <c r="R4" s="3">
        <f t="shared" si="1"/>
        <v>9.7612376475852047E-4</v>
      </c>
      <c r="S4" s="1">
        <f>Table134[[#This Row],[average]]-SQRT(Table134[[#This Row],[stdev]])</f>
        <v>0.96841563942853248</v>
      </c>
    </row>
    <row r="5" spans="1:19" ht="30" customHeight="1">
      <c r="A5" t="str">
        <f>_xlfn.LET(_xlpm.c,_xlfn.SINGLE(Table134[condition]),_xlfn.TEXTBEFORE(_xlpm.c,"-"))</f>
        <v>arabic</v>
      </c>
      <c r="B5">
        <f>_xlfn.LET(_xlpm.c,_xlfn.SINGLE(Table134[condition]),IF(RIGHT(_xlpm.c,2)="1g",1,0))</f>
        <v>0</v>
      </c>
      <c r="C5" t="s">
        <v>14</v>
      </c>
      <c r="D5" s="1">
        <v>0.98973753430527001</v>
      </c>
      <c r="E5" s="1">
        <v>0.99109231060630998</v>
      </c>
      <c r="F5" s="1">
        <v>0.99851843180169497</v>
      </c>
      <c r="G5" s="1">
        <v>1</v>
      </c>
      <c r="H5" s="1">
        <v>0.99911735996297601</v>
      </c>
      <c r="I5" s="1">
        <v>1</v>
      </c>
      <c r="J5" s="1">
        <v>0.999211964885792</v>
      </c>
      <c r="K5" s="1">
        <v>0.99545078326674197</v>
      </c>
      <c r="L5" s="1">
        <v>1</v>
      </c>
      <c r="M5" s="1">
        <v>0.95846388455017795</v>
      </c>
      <c r="N5" s="1">
        <v>1</v>
      </c>
      <c r="O5" s="1">
        <v>0.99948051835901797</v>
      </c>
      <c r="P5" s="1">
        <v>0.97123972641136003</v>
      </c>
      <c r="Q5" s="1">
        <f t="shared" si="0"/>
        <v>0.99248557801148773</v>
      </c>
      <c r="R5" s="3">
        <f t="shared" si="1"/>
        <v>1.2998598307476428E-2</v>
      </c>
      <c r="S5" s="1">
        <f>Table134[[#This Row],[average]]-SQRT(Table134[[#This Row],[stdev]])</f>
        <v>0.87847418249561648</v>
      </c>
    </row>
    <row r="6" spans="1:19" ht="30" customHeight="1">
      <c r="A6" t="str">
        <f>_xlfn.LET(_xlpm.c,_xlfn.SINGLE(Table134[condition]),_xlfn.TEXTBEFORE(_xlpm.c,"-"))</f>
        <v>arabic</v>
      </c>
      <c r="B6">
        <f>_xlfn.LET(_xlpm.c,_xlfn.SINGLE(Table134[condition]),IF(RIGHT(_xlpm.c,2)="1g",1,0))</f>
        <v>0</v>
      </c>
      <c r="C6" t="s">
        <v>15</v>
      </c>
      <c r="D6" s="1">
        <v>0.98422209899969804</v>
      </c>
      <c r="E6" s="1">
        <v>1</v>
      </c>
      <c r="F6" s="1">
        <v>0.99902146551989202</v>
      </c>
      <c r="G6" s="1">
        <v>0.99838958267699696</v>
      </c>
      <c r="H6" s="1">
        <v>0.97487384675336397</v>
      </c>
      <c r="I6" s="1">
        <v>0.99828756578710998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0.99751225820297296</v>
      </c>
      <c r="P6" s="1">
        <v>0.852173381118568</v>
      </c>
      <c r="Q6" s="1">
        <f t="shared" si="0"/>
        <v>0.98496001531220001</v>
      </c>
      <c r="R6" s="3">
        <f t="shared" si="1"/>
        <v>4.0625353781443919E-2</v>
      </c>
      <c r="S6" s="1">
        <f>Table134[[#This Row],[average]]-SQRT(Table134[[#This Row],[stdev]])</f>
        <v>0.78340269398289697</v>
      </c>
    </row>
    <row r="7" spans="1:19" ht="30" customHeight="1">
      <c r="A7" t="str">
        <f>_xlfn.LET(_xlpm.c,_xlfn.SINGLE(Table134[condition]),_xlfn.TEXTBEFORE(_xlpm.c,"-"))</f>
        <v>english</v>
      </c>
      <c r="B7">
        <f>_xlfn.LET(_xlpm.c,_xlfn.SINGLE(Table134[condition]),IF(RIGHT(_xlpm.c,2)="1g",1,0))</f>
        <v>1</v>
      </c>
      <c r="C7" t="s">
        <v>16</v>
      </c>
      <c r="D7" s="1">
        <v>0.88398687792569397</v>
      </c>
      <c r="E7" s="1">
        <v>0.82944456288853996</v>
      </c>
      <c r="F7" s="1">
        <v>0.72941786387876595</v>
      </c>
      <c r="G7" s="1">
        <v>0.70607240797549597</v>
      </c>
      <c r="H7" s="1">
        <v>0.68338674645011899</v>
      </c>
      <c r="I7" s="1">
        <v>0.135238547455899</v>
      </c>
      <c r="J7" s="1">
        <v>0.63069749318300405</v>
      </c>
      <c r="K7" s="1">
        <v>0.22161916920896299</v>
      </c>
      <c r="L7" s="1">
        <v>0.33664174497660998</v>
      </c>
      <c r="M7" s="1">
        <v>0.56342581481906995</v>
      </c>
      <c r="N7" s="1">
        <v>0.27876272032571803</v>
      </c>
      <c r="O7" s="1">
        <v>0</v>
      </c>
      <c r="P7" s="1">
        <v>0</v>
      </c>
      <c r="Q7" s="1">
        <f t="shared" si="0"/>
        <v>0.46143799608368297</v>
      </c>
      <c r="R7" s="3">
        <f t="shared" si="1"/>
        <v>0.31260474181093967</v>
      </c>
      <c r="S7" s="1">
        <f>Table134[[#This Row],[average]]-SQRT(Table134[[#This Row],[stdev]])</f>
        <v>-9.7672674366219736E-2</v>
      </c>
    </row>
    <row r="8" spans="1:19" ht="30" customHeight="1">
      <c r="A8" t="str">
        <f>_xlfn.LET(_xlpm.c,_xlfn.SINGLE(Table134[condition]),_xlfn.TEXTBEFORE(_xlpm.c,"-"))</f>
        <v>english</v>
      </c>
      <c r="B8">
        <f>_xlfn.LET(_xlpm.c,_xlfn.SINGLE(Table134[condition]),IF(RIGHT(_xlpm.c,2)="1g",1,0))</f>
        <v>0</v>
      </c>
      <c r="C8" t="s">
        <v>17</v>
      </c>
      <c r="D8" s="1">
        <v>0.46139349378975503</v>
      </c>
      <c r="E8" s="1">
        <v>0.25181802036422901</v>
      </c>
      <c r="F8" s="1">
        <v>0.16513271578834399</v>
      </c>
      <c r="G8" s="1">
        <v>0.31727070041208599</v>
      </c>
      <c r="H8" s="1">
        <v>0.168624474643601</v>
      </c>
      <c r="I8" s="1">
        <v>0.362610107541875</v>
      </c>
      <c r="J8" s="1">
        <v>0.370189947738364</v>
      </c>
      <c r="K8" s="1">
        <v>0.12506618089322799</v>
      </c>
      <c r="L8" s="1">
        <v>0.23004863050656199</v>
      </c>
      <c r="M8" s="1">
        <v>0.29500032032593099</v>
      </c>
      <c r="N8" s="1">
        <v>0</v>
      </c>
      <c r="O8" s="1">
        <v>0</v>
      </c>
      <c r="P8" s="1">
        <v>0</v>
      </c>
      <c r="Q8" s="1">
        <f t="shared" si="0"/>
        <v>0.21131958400030579</v>
      </c>
      <c r="R8" s="3">
        <f t="shared" si="1"/>
        <v>0.15172569245981746</v>
      </c>
      <c r="S8" s="1">
        <f>Table134[[#This Row],[average]]-SQRT(Table134[[#This Row],[stdev]])</f>
        <v>-0.17820023893534079</v>
      </c>
    </row>
    <row r="9" spans="1:19" ht="30" customHeight="1">
      <c r="A9" t="str">
        <f>_xlfn.LET(_xlpm.c,_xlfn.SINGLE(Table134[condition]),_xlfn.TEXTBEFORE(_xlpm.c,"-"))</f>
        <v>english</v>
      </c>
      <c r="B9">
        <f>_xlfn.LET(_xlpm.c,_xlfn.SINGLE(Table134[condition]),IF(RIGHT(_xlpm.c,2)="1g",1,0))</f>
        <v>0</v>
      </c>
      <c r="C9" t="s">
        <v>18</v>
      </c>
      <c r="D9" s="1">
        <v>0.51312029254407598</v>
      </c>
      <c r="E9" s="1">
        <v>0.29548092177012503</v>
      </c>
      <c r="F9" s="1">
        <v>0.45419768276644401</v>
      </c>
      <c r="G9" s="1">
        <v>0.42075149021782698</v>
      </c>
      <c r="H9" s="1">
        <v>0.16562467567404701</v>
      </c>
      <c r="I9" s="1">
        <v>0.25180621128555097</v>
      </c>
      <c r="J9" s="1">
        <v>0.15641126987472501</v>
      </c>
      <c r="K9" s="1">
        <v>0.352973847235866</v>
      </c>
      <c r="L9" s="1">
        <v>0.15370294352672501</v>
      </c>
      <c r="M9" s="1">
        <v>0.30030120694684398</v>
      </c>
      <c r="N9" s="1">
        <v>0.223639889541806</v>
      </c>
      <c r="O9" s="1">
        <v>0.197059307072628</v>
      </c>
      <c r="P9" s="1">
        <v>0.37506921561287698</v>
      </c>
      <c r="Q9" s="1">
        <f t="shared" si="0"/>
        <v>0.296933765697657</v>
      </c>
      <c r="R9" s="3">
        <f t="shared" si="1"/>
        <v>0.11935436938835448</v>
      </c>
      <c r="S9" s="1">
        <f>Table134[[#This Row],[average]]-SQRT(Table134[[#This Row],[stdev]])</f>
        <v>-4.8543251466082071E-2</v>
      </c>
    </row>
    <row r="10" spans="1:19" ht="30" customHeight="1">
      <c r="A10" t="str">
        <f>_xlfn.LET(_xlpm.c,_xlfn.SINGLE(Table134[condition]),_xlfn.TEXTBEFORE(_xlpm.c,"-"))</f>
        <v>english</v>
      </c>
      <c r="B10">
        <f>_xlfn.LET(_xlpm.c,_xlfn.SINGLE(Table134[condition]),IF(RIGHT(_xlpm.c,2)="1g",1,0))</f>
        <v>0</v>
      </c>
      <c r="C10" t="s">
        <v>19</v>
      </c>
      <c r="D10" s="1">
        <v>0.44871667676257898</v>
      </c>
      <c r="E10" s="1">
        <v>0.34531322601167203</v>
      </c>
      <c r="F10" s="1">
        <v>0.39120945605068902</v>
      </c>
      <c r="G10" s="1">
        <v>0.50939693724402102</v>
      </c>
      <c r="H10" s="1">
        <v>0.56401915638836397</v>
      </c>
      <c r="I10" s="1">
        <v>0.29649280892871999</v>
      </c>
      <c r="J10" s="1">
        <v>0.41975860081824501</v>
      </c>
      <c r="K10" s="1">
        <v>0.57763848513606397</v>
      </c>
      <c r="L10" s="1">
        <v>0.143352582099396</v>
      </c>
      <c r="M10" s="1">
        <v>0</v>
      </c>
      <c r="N10" s="1">
        <v>0.22842314161521901</v>
      </c>
      <c r="O10" s="1">
        <v>0.20094078922780001</v>
      </c>
      <c r="P10" s="1">
        <v>0.37379417949302701</v>
      </c>
      <c r="Q10" s="1">
        <f t="shared" si="0"/>
        <v>0.34608123382890732</v>
      </c>
      <c r="R10" s="3">
        <f t="shared" si="1"/>
        <v>0.16950776131160133</v>
      </c>
      <c r="S10" s="1">
        <f>Table134[[#This Row],[average]]-SQRT(Table134[[#This Row],[stdev]])</f>
        <v>-6.5631968912517213E-2</v>
      </c>
    </row>
    <row r="11" spans="1:19" ht="30" customHeight="1">
      <c r="A11" t="str">
        <f>_xlfn.LET(_xlpm.c,_xlfn.SINGLE(Table134[condition]),_xlfn.TEXTBEFORE(_xlpm.c,"-"))</f>
        <v>english</v>
      </c>
      <c r="B11">
        <f>_xlfn.LET(_xlpm.c,_xlfn.SINGLE(Table134[condition]),IF(RIGHT(_xlpm.c,2)="1g",1,0))</f>
        <v>0</v>
      </c>
      <c r="C11" t="s">
        <v>20</v>
      </c>
      <c r="D11" s="1">
        <v>0.44054861770373699</v>
      </c>
      <c r="E11" s="1">
        <v>0.463594572393487</v>
      </c>
      <c r="F11" s="1">
        <v>0.43272796632813398</v>
      </c>
      <c r="G11" s="1">
        <v>0.48938989165646402</v>
      </c>
      <c r="H11" s="1">
        <v>0.50782875756780199</v>
      </c>
      <c r="I11" s="1">
        <v>0.31331932804162799</v>
      </c>
      <c r="J11" s="1">
        <v>0.16696700283392399</v>
      </c>
      <c r="K11" s="1">
        <v>0.22330436282296301</v>
      </c>
      <c r="L11" s="1">
        <v>0.25300791622639701</v>
      </c>
      <c r="M11" s="1">
        <v>0.19965972567163601</v>
      </c>
      <c r="N11" s="1">
        <v>0.290289614931799</v>
      </c>
      <c r="O11" s="1">
        <v>0.24887655243286799</v>
      </c>
      <c r="P11" s="1">
        <v>0.22541775482723</v>
      </c>
      <c r="Q11" s="1">
        <f t="shared" si="0"/>
        <v>0.32730246641831301</v>
      </c>
      <c r="R11" s="3">
        <f t="shared" si="1"/>
        <v>0.12172676158858667</v>
      </c>
      <c r="S11" s="1">
        <f>Table134[[#This Row],[average]]-SQRT(Table134[[#This Row],[stdev]])</f>
        <v>-2.1591158614571004E-2</v>
      </c>
    </row>
    <row r="12" spans="1:19" ht="30" customHeight="1">
      <c r="A12" t="str">
        <f>_xlfn.LET(_xlpm.c,_xlfn.SINGLE(Table134[condition]),_xlfn.TEXTBEFORE(_xlpm.c,"-"))</f>
        <v>french</v>
      </c>
      <c r="B12">
        <f>_xlfn.LET(_xlpm.c,_xlfn.SINGLE(Table134[condition]),IF(RIGHT(_xlpm.c,2)="1g",1,0))</f>
        <v>1</v>
      </c>
      <c r="C12" t="s">
        <v>21</v>
      </c>
      <c r="D12" s="1">
        <v>0.87914130913120603</v>
      </c>
      <c r="E12" s="1">
        <v>0.776776330371862</v>
      </c>
      <c r="F12" s="1">
        <v>0.76493736930508205</v>
      </c>
      <c r="G12" s="1">
        <v>0.71019542131973001</v>
      </c>
      <c r="H12" s="1">
        <v>0.54499717614940302</v>
      </c>
      <c r="I12" s="1">
        <v>0.118781689230049</v>
      </c>
      <c r="J12" s="1">
        <v>0.31182517276819</v>
      </c>
      <c r="K12" s="1">
        <v>0.28661942877881103</v>
      </c>
      <c r="L12" s="1">
        <v>0.50327711378820095</v>
      </c>
      <c r="M12" s="1">
        <v>0.18112248724365601</v>
      </c>
      <c r="N12" s="1">
        <v>0</v>
      </c>
      <c r="O12" s="1">
        <v>0.31454427279109298</v>
      </c>
      <c r="P12" s="1">
        <v>0</v>
      </c>
      <c r="Q12" s="1">
        <f t="shared" si="0"/>
        <v>0.41478598237517555</v>
      </c>
      <c r="R12" s="3">
        <f t="shared" si="1"/>
        <v>0.30341243028565101</v>
      </c>
      <c r="S12" s="1">
        <f>Table134[[#This Row],[average]]-SQRT(Table134[[#This Row],[stdev]])</f>
        <v>-0.13604287515286922</v>
      </c>
    </row>
    <row r="13" spans="1:19" ht="30" customHeight="1">
      <c r="A13" t="str">
        <f>_xlfn.LET(_xlpm.c,_xlfn.SINGLE(Table134[condition]),_xlfn.TEXTBEFORE(_xlpm.c,"-"))</f>
        <v>french</v>
      </c>
      <c r="B13">
        <f>_xlfn.LET(_xlpm.c,_xlfn.SINGLE(Table134[condition]),IF(RIGHT(_xlpm.c,2)="1g",1,0))</f>
        <v>0</v>
      </c>
      <c r="C13" t="s">
        <v>22</v>
      </c>
      <c r="D13" s="1">
        <v>0.640392047593769</v>
      </c>
      <c r="E13" s="1">
        <v>0.45780869291981702</v>
      </c>
      <c r="F13" s="1">
        <v>0.294246614290818</v>
      </c>
      <c r="G13" s="1">
        <v>0.53398032782773497</v>
      </c>
      <c r="H13" s="1">
        <v>0.235057659312714</v>
      </c>
      <c r="I13" s="1">
        <v>0.23819116085778799</v>
      </c>
      <c r="J13" s="1">
        <v>0</v>
      </c>
      <c r="K13" s="1">
        <v>0.28891106603382299</v>
      </c>
      <c r="L13" s="1">
        <v>0.18321398331388999</v>
      </c>
      <c r="M13" s="1">
        <v>0.34366441909363299</v>
      </c>
      <c r="N13" s="1">
        <v>0</v>
      </c>
      <c r="O13" s="1">
        <v>0.204705871496241</v>
      </c>
      <c r="P13" s="1">
        <v>0.28825793646449999</v>
      </c>
      <c r="Q13" s="1">
        <f t="shared" si="0"/>
        <v>0.28526382916959447</v>
      </c>
      <c r="R13" s="3">
        <f t="shared" si="1"/>
        <v>0.18385964307547387</v>
      </c>
      <c r="S13" s="1">
        <f>Table134[[#This Row],[average]]-SQRT(Table134[[#This Row],[stdev]])</f>
        <v>-0.14352474702556706</v>
      </c>
    </row>
    <row r="14" spans="1:19" ht="30" customHeight="1">
      <c r="A14" t="str">
        <f>_xlfn.LET(_xlpm.c,_xlfn.SINGLE(Table134[condition]),_xlfn.TEXTBEFORE(_xlpm.c,"-"))</f>
        <v>french</v>
      </c>
      <c r="B14">
        <f>_xlfn.LET(_xlpm.c,_xlfn.SINGLE(Table134[condition]),IF(RIGHT(_xlpm.c,2)="1g",1,0))</f>
        <v>0</v>
      </c>
      <c r="C14" t="s">
        <v>23</v>
      </c>
      <c r="D14" s="1">
        <v>0.38585322626504598</v>
      </c>
      <c r="E14" s="1">
        <v>0.44672873271171998</v>
      </c>
      <c r="F14" s="1">
        <v>0.42759660020511298</v>
      </c>
      <c r="G14" s="1">
        <v>0.70058835054597501</v>
      </c>
      <c r="H14" s="1">
        <v>0.593631531410862</v>
      </c>
      <c r="I14" s="1">
        <v>0.53721311583091202</v>
      </c>
      <c r="J14" s="1">
        <v>0.119322489266103</v>
      </c>
      <c r="K14" s="1">
        <v>0.238553527018874</v>
      </c>
      <c r="L14" s="1">
        <v>0.31710131781702999</v>
      </c>
      <c r="M14" s="1">
        <v>0.39260947751208802</v>
      </c>
      <c r="N14" s="1">
        <v>0.31676124338050299</v>
      </c>
      <c r="O14" s="1">
        <v>0.25765227588996298</v>
      </c>
      <c r="P14" s="1">
        <v>0.166214238025752</v>
      </c>
      <c r="Q14" s="1">
        <f t="shared" si="0"/>
        <v>0.37690970199076462</v>
      </c>
      <c r="R14" s="3">
        <f t="shared" si="1"/>
        <v>0.16745823535640986</v>
      </c>
      <c r="S14" s="1">
        <f>Table134[[#This Row],[average]]-SQRT(Table134[[#This Row],[stdev]])</f>
        <v>-3.2306909788876903E-2</v>
      </c>
    </row>
    <row r="15" spans="1:19" ht="30" customHeight="1">
      <c r="A15" t="str">
        <f>_xlfn.LET(_xlpm.c,_xlfn.SINGLE(Table134[condition]),_xlfn.TEXTBEFORE(_xlpm.c,"-"))</f>
        <v>french</v>
      </c>
      <c r="B15">
        <f>_xlfn.LET(_xlpm.c,_xlfn.SINGLE(Table134[condition]),IF(RIGHT(_xlpm.c,2)="1g",1,0))</f>
        <v>0</v>
      </c>
      <c r="C15" t="s">
        <v>24</v>
      </c>
      <c r="D15" s="1">
        <v>0.60938723343328005</v>
      </c>
      <c r="E15" s="1">
        <v>0.68889335919650097</v>
      </c>
      <c r="F15" s="1">
        <v>0.53207117934063997</v>
      </c>
      <c r="G15" s="1">
        <v>0.46451126142121302</v>
      </c>
      <c r="H15" s="1">
        <v>0.39771019995256701</v>
      </c>
      <c r="I15" s="1">
        <v>0.38721647157367201</v>
      </c>
      <c r="J15" s="1">
        <v>0.40721602266183998</v>
      </c>
      <c r="K15" s="1">
        <v>0.30983268631775401</v>
      </c>
      <c r="L15" s="1">
        <v>0.37125951700830701</v>
      </c>
      <c r="M15" s="1">
        <v>0.22768526437282499</v>
      </c>
      <c r="N15" s="1">
        <v>0.34754639573745799</v>
      </c>
      <c r="O15" s="1">
        <v>0.183276889551647</v>
      </c>
      <c r="P15" s="1">
        <v>0.48063043278881601</v>
      </c>
      <c r="Q15" s="1">
        <f t="shared" si="0"/>
        <v>0.41594130102742455</v>
      </c>
      <c r="R15" s="3">
        <f t="shared" si="1"/>
        <v>0.14162570221937676</v>
      </c>
      <c r="S15" s="1">
        <f>Table134[[#This Row],[average]]-SQRT(Table134[[#This Row],[stdev]])</f>
        <v>3.9609396693794152E-2</v>
      </c>
    </row>
    <row r="16" spans="1:19" ht="30" customHeight="1">
      <c r="A16" t="str">
        <f>_xlfn.LET(_xlpm.c,_xlfn.SINGLE(Table134[condition]),_xlfn.TEXTBEFORE(_xlpm.c,"-"))</f>
        <v>french</v>
      </c>
      <c r="B16">
        <f>_xlfn.LET(_xlpm.c,_xlfn.SINGLE(Table134[condition]),IF(RIGHT(_xlpm.c,2)="1g",1,0))</f>
        <v>0</v>
      </c>
      <c r="C16" t="s">
        <v>25</v>
      </c>
      <c r="D16" s="1">
        <v>0.43284042553073199</v>
      </c>
      <c r="E16" s="1">
        <v>0.52314808951910396</v>
      </c>
      <c r="F16" s="1">
        <v>0.45631934174097399</v>
      </c>
      <c r="G16" s="1">
        <v>0.43060992399554299</v>
      </c>
      <c r="H16" s="1">
        <v>0.32105056495154299</v>
      </c>
      <c r="I16" s="1">
        <v>0.602774200099079</v>
      </c>
      <c r="J16" s="1">
        <v>0.49372333842373201</v>
      </c>
      <c r="K16" s="1">
        <v>0.503714419663298</v>
      </c>
      <c r="L16" s="1">
        <v>0.41647671686016202</v>
      </c>
      <c r="M16" s="1">
        <v>0.42861467146142601</v>
      </c>
      <c r="N16" s="1">
        <v>0.19883888332892599</v>
      </c>
      <c r="O16" s="1">
        <v>0.48291689166574697</v>
      </c>
      <c r="P16" s="1">
        <v>0</v>
      </c>
      <c r="Q16" s="1">
        <f t="shared" si="0"/>
        <v>0.40700211286463583</v>
      </c>
      <c r="R16" s="3">
        <f t="shared" si="1"/>
        <v>0.15680078086005339</v>
      </c>
      <c r="S16" s="1">
        <f>Table134[[#This Row],[average]]-SQRT(Table134[[#This Row],[stdev]])</f>
        <v>1.1021329416684433E-2</v>
      </c>
    </row>
    <row r="17" spans="1:19" ht="30" customHeight="1">
      <c r="A17" t="str">
        <f>_xlfn.LET(_xlpm.c,_xlfn.SINGLE(Table134[condition]),_xlfn.TEXTBEFORE(_xlpm.c,"-"))</f>
        <v>german</v>
      </c>
      <c r="B17">
        <f>_xlfn.LET(_xlpm.c,_xlfn.SINGLE(Table134[condition]),IF(RIGHT(_xlpm.c,2)="1g",1,0))</f>
        <v>1</v>
      </c>
      <c r="C17" t="s">
        <v>26</v>
      </c>
      <c r="D17" s="1">
        <v>0.94042431231878498</v>
      </c>
      <c r="E17" s="1">
        <v>0.99094466594535102</v>
      </c>
      <c r="F17" s="1">
        <v>0.76654383222234701</v>
      </c>
      <c r="G17" s="1">
        <v>0.69437083249651699</v>
      </c>
      <c r="H17" s="1">
        <v>0.413559163182185</v>
      </c>
      <c r="I17" s="1">
        <v>0.73437597160178503</v>
      </c>
      <c r="J17" s="1">
        <v>0.29038584735183298</v>
      </c>
      <c r="K17" s="1">
        <v>0.26840255011419301</v>
      </c>
      <c r="L17" s="1">
        <v>0.46729674309518199</v>
      </c>
      <c r="M17" s="1">
        <v>0.44081142449011002</v>
      </c>
      <c r="N17" s="1">
        <v>0.20092757568331601</v>
      </c>
      <c r="O17" s="1">
        <v>0</v>
      </c>
      <c r="P17" s="1">
        <v>0</v>
      </c>
      <c r="Q17" s="1">
        <f t="shared" si="0"/>
        <v>0.4775417629616619</v>
      </c>
      <c r="R17" s="3">
        <f t="shared" si="1"/>
        <v>0.32803273784401865</v>
      </c>
      <c r="S17" s="1">
        <f>Table134[[#This Row],[average]]-SQRT(Table134[[#This Row],[stdev]])</f>
        <v>-9.519966023384846E-2</v>
      </c>
    </row>
    <row r="18" spans="1:19" ht="30" customHeight="1">
      <c r="A18" t="str">
        <f>_xlfn.LET(_xlpm.c,_xlfn.SINGLE(Table134[condition]),_xlfn.TEXTBEFORE(_xlpm.c,"-"))</f>
        <v>german</v>
      </c>
      <c r="B18">
        <f>_xlfn.LET(_xlpm.c,_xlfn.SINGLE(Table134[condition]),IF(RIGHT(_xlpm.c,2)="1g",1,0))</f>
        <v>0</v>
      </c>
      <c r="C18" t="s">
        <v>27</v>
      </c>
      <c r="D18" s="1">
        <v>0.64590090806390799</v>
      </c>
      <c r="E18" s="1">
        <v>0.61914868566040804</v>
      </c>
      <c r="F18" s="1">
        <v>0.33286711560238502</v>
      </c>
      <c r="G18" s="1">
        <v>0.27161595785352799</v>
      </c>
      <c r="H18" s="1">
        <v>0.31363484744096398</v>
      </c>
      <c r="I18" s="1">
        <v>0.32001932684760998</v>
      </c>
      <c r="J18" s="1">
        <v>0.32617948728513002</v>
      </c>
      <c r="K18" s="1">
        <v>0.34816062194092201</v>
      </c>
      <c r="L18" s="1">
        <v>0.156417923158963</v>
      </c>
      <c r="M18" s="1">
        <v>0.537830643302184</v>
      </c>
      <c r="N18" s="1">
        <v>0.25732060565394799</v>
      </c>
      <c r="O18" s="1">
        <v>0.429546973675551</v>
      </c>
      <c r="P18" s="1">
        <v>0.59348930638775299</v>
      </c>
      <c r="Q18" s="1">
        <f t="shared" si="0"/>
        <v>0.39631787714409644</v>
      </c>
      <c r="R18" s="3">
        <f t="shared" si="1"/>
        <v>0.15499922883056705</v>
      </c>
      <c r="S18" s="1">
        <f>Table134[[#This Row],[average]]-SQRT(Table134[[#This Row],[stdev]])</f>
        <v>2.6184628308832947E-3</v>
      </c>
    </row>
    <row r="19" spans="1:19" ht="30" customHeight="1">
      <c r="A19" t="str">
        <f>_xlfn.LET(_xlpm.c,_xlfn.SINGLE(Table134[condition]),_xlfn.TEXTBEFORE(_xlpm.c,"-"))</f>
        <v>german</v>
      </c>
      <c r="B19">
        <f>_xlfn.LET(_xlpm.c,_xlfn.SINGLE(Table134[condition]),IF(RIGHT(_xlpm.c,2)="1g",1,0))</f>
        <v>0</v>
      </c>
      <c r="C19" t="s">
        <v>28</v>
      </c>
      <c r="D19" s="1">
        <v>0.75718024400140804</v>
      </c>
      <c r="E19" s="1">
        <v>0.78497042294789598</v>
      </c>
      <c r="F19" s="1">
        <v>0.57979726687005795</v>
      </c>
      <c r="G19" s="1">
        <v>0.51629335097916595</v>
      </c>
      <c r="H19" s="1">
        <v>0.15327486796473899</v>
      </c>
      <c r="I19" s="1">
        <v>0.60842721093151597</v>
      </c>
      <c r="J19" s="1">
        <v>0.40218382304195699</v>
      </c>
      <c r="K19" s="1">
        <v>0.55855916915163895</v>
      </c>
      <c r="L19" s="1">
        <v>0.46375218679847602</v>
      </c>
      <c r="M19" s="1">
        <v>0.31479979316849899</v>
      </c>
      <c r="N19" s="1">
        <v>0.36478587560876102</v>
      </c>
      <c r="O19" s="1">
        <v>0.56254195673465801</v>
      </c>
      <c r="P19" s="1">
        <v>0.70700963550516605</v>
      </c>
      <c r="Q19" s="1">
        <f t="shared" si="0"/>
        <v>0.52104429259261065</v>
      </c>
      <c r="R19" s="3">
        <f t="shared" si="1"/>
        <v>0.18116705257382704</v>
      </c>
      <c r="S19" s="1">
        <f>Table134[[#This Row],[average]]-SQRT(Table134[[#This Row],[stdev]])</f>
        <v>9.5407061404093663E-2</v>
      </c>
    </row>
    <row r="20" spans="1:19" ht="30" customHeight="1">
      <c r="A20" t="str">
        <f>_xlfn.LET(_xlpm.c,_xlfn.SINGLE(Table134[condition]),_xlfn.TEXTBEFORE(_xlpm.c,"-"))</f>
        <v>german</v>
      </c>
      <c r="B20">
        <f>_xlfn.LET(_xlpm.c,_xlfn.SINGLE(Table134[condition]),IF(RIGHT(_xlpm.c,2)="1g",1,0))</f>
        <v>0</v>
      </c>
      <c r="C20" t="s">
        <v>29</v>
      </c>
      <c r="D20" s="1">
        <v>0.67908800612833398</v>
      </c>
      <c r="E20" s="1">
        <v>0.685075490961636</v>
      </c>
      <c r="F20" s="1">
        <v>0.46403036688765997</v>
      </c>
      <c r="G20" s="1">
        <v>0.42203219785453999</v>
      </c>
      <c r="H20" s="1">
        <v>0.48502115148215502</v>
      </c>
      <c r="I20" s="1">
        <v>0.57294876862285804</v>
      </c>
      <c r="J20" s="1">
        <v>0.42799501655390598</v>
      </c>
      <c r="K20" s="1">
        <v>0.257657954828654</v>
      </c>
      <c r="L20" s="1">
        <v>0.52741799586628402</v>
      </c>
      <c r="M20" s="1">
        <v>0.48572407819003099</v>
      </c>
      <c r="N20" s="1">
        <v>0.43530494770712902</v>
      </c>
      <c r="O20" s="1">
        <v>0.50100270501706101</v>
      </c>
      <c r="P20" s="1">
        <v>0.49364443264873098</v>
      </c>
      <c r="Q20" s="1">
        <f t="shared" si="0"/>
        <v>0.49514947021145994</v>
      </c>
      <c r="R20" s="3">
        <f t="shared" si="1"/>
        <v>0.11106869300591497</v>
      </c>
      <c r="S20" s="1">
        <f>Table134[[#This Row],[average]]-SQRT(Table134[[#This Row],[stdev]])</f>
        <v>0.16187977010970306</v>
      </c>
    </row>
    <row r="21" spans="1:19" ht="30" customHeight="1">
      <c r="A21" t="str">
        <f>_xlfn.LET(_xlpm.c,_xlfn.SINGLE(Table134[condition]),_xlfn.TEXTBEFORE(_xlpm.c,"-"))</f>
        <v>german</v>
      </c>
      <c r="B21">
        <f>_xlfn.LET(_xlpm.c,_xlfn.SINGLE(Table134[condition]),IF(RIGHT(_xlpm.c,2)="1g",1,0))</f>
        <v>0</v>
      </c>
      <c r="C21" t="s">
        <v>30</v>
      </c>
      <c r="D21" s="1">
        <v>0.71527417147697603</v>
      </c>
      <c r="E21" s="1">
        <v>0.76974548627218997</v>
      </c>
      <c r="F21" s="1">
        <v>0.61994745641918603</v>
      </c>
      <c r="G21" s="1">
        <v>0.42231091562184397</v>
      </c>
      <c r="H21" s="1">
        <v>0.51108035938534102</v>
      </c>
      <c r="I21" s="1">
        <v>0.59083101074334698</v>
      </c>
      <c r="J21" s="1">
        <v>0.336222377717802</v>
      </c>
      <c r="K21" s="1">
        <v>0.38123288958396601</v>
      </c>
      <c r="L21" s="1">
        <v>0.48475381698037301</v>
      </c>
      <c r="M21" s="1">
        <v>0.49867191119231802</v>
      </c>
      <c r="N21" s="1">
        <v>0.45837088303115098</v>
      </c>
      <c r="O21" s="1">
        <v>0.48317944915497202</v>
      </c>
      <c r="P21" s="1">
        <v>0.47987014105925702</v>
      </c>
      <c r="Q21" s="1">
        <f t="shared" si="0"/>
        <v>0.51934545143374788</v>
      </c>
      <c r="R21" s="3">
        <f t="shared" si="1"/>
        <v>0.1247064875412786</v>
      </c>
      <c r="S21" s="1">
        <f>Table134[[#This Row],[average]]-SQRT(Table134[[#This Row],[stdev]])</f>
        <v>0.16620739409458402</v>
      </c>
    </row>
    <row r="22" spans="1:19" ht="30" customHeight="1">
      <c r="A22" t="str">
        <f>_xlfn.LET(_xlpm.c,_xlfn.SINGLE(Table134[condition]),_xlfn.TEXTBEFORE(_xlpm.c,"-"))</f>
        <v>russian</v>
      </c>
      <c r="B22">
        <f>_xlfn.LET(_xlpm.c,_xlfn.SINGLE(Table134[condition]),IF(RIGHT(_xlpm.c,2)="1g",1,0))</f>
        <v>1</v>
      </c>
      <c r="C22" t="s">
        <v>31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f t="shared" si="0"/>
        <v>1</v>
      </c>
      <c r="R22" s="3">
        <f t="shared" si="1"/>
        <v>0</v>
      </c>
      <c r="S22" s="1">
        <f>Table134[[#This Row],[average]]-SQRT(Table134[[#This Row],[stdev]])</f>
        <v>1</v>
      </c>
    </row>
    <row r="23" spans="1:19" ht="30" customHeight="1">
      <c r="A23" t="str">
        <f>_xlfn.LET(_xlpm.c,_xlfn.SINGLE(Table134[condition]),_xlfn.TEXTBEFORE(_xlpm.c,"-"))</f>
        <v>russian</v>
      </c>
      <c r="B23">
        <f>_xlfn.LET(_xlpm.c,_xlfn.SINGLE(Table134[condition]),IF(RIGHT(_xlpm.c,2)="1g",1,0))</f>
        <v>0</v>
      </c>
      <c r="C23" t="s">
        <v>32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f t="shared" si="0"/>
        <v>1</v>
      </c>
      <c r="R23" s="3">
        <f t="shared" si="1"/>
        <v>0</v>
      </c>
      <c r="S23" s="1">
        <f>Table134[[#This Row],[average]]-SQRT(Table134[[#This Row],[stdev]])</f>
        <v>1</v>
      </c>
    </row>
    <row r="24" spans="1:19" ht="30" customHeight="1">
      <c r="A24" t="str">
        <f>_xlfn.LET(_xlpm.c,_xlfn.SINGLE(Table134[condition]),_xlfn.TEXTBEFORE(_xlpm.c,"-"))</f>
        <v>russian</v>
      </c>
      <c r="B24">
        <f>_xlfn.LET(_xlpm.c,_xlfn.SINGLE(Table134[condition]),IF(RIGHT(_xlpm.c,2)="1g",1,0))</f>
        <v>0</v>
      </c>
      <c r="C24" t="s">
        <v>33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 t="shared" si="0"/>
        <v>1</v>
      </c>
      <c r="R24" s="3">
        <f t="shared" si="1"/>
        <v>0</v>
      </c>
      <c r="S24" s="1">
        <f>Table134[[#This Row],[average]]-SQRT(Table134[[#This Row],[stdev]])</f>
        <v>1</v>
      </c>
    </row>
    <row r="25" spans="1:19" ht="30" customHeight="1">
      <c r="A25" t="str">
        <f>_xlfn.LET(_xlpm.c,_xlfn.SINGLE(Table134[condition]),_xlfn.TEXTBEFORE(_xlpm.c,"-"))</f>
        <v>russian</v>
      </c>
      <c r="B25">
        <f>_xlfn.LET(_xlpm.c,_xlfn.SINGLE(Table134[condition]),IF(RIGHT(_xlpm.c,2)="1g",1,0))</f>
        <v>0</v>
      </c>
      <c r="C25" t="s">
        <v>34</v>
      </c>
      <c r="D25" s="1">
        <v>1</v>
      </c>
      <c r="E25" s="1">
        <v>0.99841256641768805</v>
      </c>
      <c r="F25" s="1">
        <v>1</v>
      </c>
      <c r="G25" s="1">
        <v>1</v>
      </c>
      <c r="H25" s="1">
        <v>1</v>
      </c>
      <c r="I25" s="1">
        <v>0.90700490545652201</v>
      </c>
      <c r="J25" s="1">
        <v>0.99673840199256303</v>
      </c>
      <c r="K25" s="1">
        <v>1</v>
      </c>
      <c r="L25" s="1">
        <v>1</v>
      </c>
      <c r="M25" s="1">
        <v>1</v>
      </c>
      <c r="N25" s="1">
        <v>0.60395815363122796</v>
      </c>
      <c r="O25" s="1">
        <v>1</v>
      </c>
      <c r="P25" s="1">
        <v>0.98275349237887699</v>
      </c>
      <c r="Q25" s="1">
        <f t="shared" si="0"/>
        <v>0.96068211691360594</v>
      </c>
      <c r="R25" s="3">
        <f t="shared" si="1"/>
        <v>0.11019346040081221</v>
      </c>
      <c r="S25" s="1">
        <f>Table134[[#This Row],[average]]-SQRT(Table134[[#This Row],[stdev]])</f>
        <v>0.62872811347214697</v>
      </c>
    </row>
    <row r="26" spans="1:19" ht="30" customHeight="1">
      <c r="A26" t="str">
        <f>_xlfn.LET(_xlpm.c,_xlfn.SINGLE(Table134[condition]),_xlfn.TEXTBEFORE(_xlpm.c,"-"))</f>
        <v>russian</v>
      </c>
      <c r="B26">
        <f>_xlfn.LET(_xlpm.c,_xlfn.SINGLE(Table134[condition]),IF(RIGHT(_xlpm.c,2)="1g",1,0))</f>
        <v>0</v>
      </c>
      <c r="C26" t="s">
        <v>35</v>
      </c>
      <c r="D26" s="1">
        <v>0.99403753550697005</v>
      </c>
      <c r="E26" s="1">
        <v>0.92807280264757197</v>
      </c>
      <c r="F26" s="1">
        <v>0.99587765036466602</v>
      </c>
      <c r="G26" s="1">
        <v>0.99098963192581102</v>
      </c>
      <c r="H26" s="1">
        <v>0.83378553865830796</v>
      </c>
      <c r="I26" s="1">
        <v>0.97627163617615798</v>
      </c>
      <c r="J26" s="1">
        <v>0.83938876316392297</v>
      </c>
      <c r="K26" s="1">
        <v>0.98010250190036197</v>
      </c>
      <c r="L26" s="1">
        <v>0.97664276386776605</v>
      </c>
      <c r="M26" s="1">
        <v>1</v>
      </c>
      <c r="N26" s="1">
        <v>0.79224834991460402</v>
      </c>
      <c r="O26" s="1">
        <v>0.99068883026462096</v>
      </c>
      <c r="P26" s="1">
        <v>0.97977907004528997</v>
      </c>
      <c r="Q26" s="1">
        <f t="shared" si="0"/>
        <v>0.94445269803354226</v>
      </c>
      <c r="R26" s="3">
        <f t="shared" si="1"/>
        <v>7.2903916273915154E-2</v>
      </c>
      <c r="S26" s="1">
        <f>Table134[[#This Row],[average]]-SQRT(Table134[[#This Row],[stdev]])</f>
        <v>0.67444544577183885</v>
      </c>
    </row>
    <row r="28" spans="1:19" ht="30" customHeight="1">
      <c r="C28" t="s">
        <v>65</v>
      </c>
    </row>
    <row r="29" spans="1:19" ht="30" customHeight="1">
      <c r="C29" t="s">
        <v>53</v>
      </c>
      <c r="D29" s="2">
        <f t="shared" ref="D29:Q29" si="2">_xlfn.LET(_xlpm.d,D$2:D$26,AVERAGE(_xlpm.d))</f>
        <v>0.77591123273631013</v>
      </c>
      <c r="E29" s="2">
        <f t="shared" si="2"/>
        <v>0.75385875758424437</v>
      </c>
      <c r="F29" s="2">
        <f t="shared" si="2"/>
        <v>0.69617841501531574</v>
      </c>
      <c r="G29" s="2">
        <f t="shared" si="2"/>
        <v>0.70395076728097972</v>
      </c>
      <c r="H29" s="2">
        <f t="shared" si="2"/>
        <v>0.6346121726317312</v>
      </c>
      <c r="I29" s="2">
        <f t="shared" si="2"/>
        <v>0.63807240148048328</v>
      </c>
      <c r="J29" s="2">
        <f t="shared" si="2"/>
        <v>0.58777668078244127</v>
      </c>
      <c r="K29" s="2">
        <f t="shared" si="2"/>
        <v>0.59671198575584483</v>
      </c>
      <c r="L29" s="2">
        <f t="shared" si="2"/>
        <v>0.59937455583561294</v>
      </c>
      <c r="M29" s="2">
        <f t="shared" si="2"/>
        <v>0.60673540489361721</v>
      </c>
      <c r="N29" s="2">
        <f t="shared" si="2"/>
        <v>0.51988713120366259</v>
      </c>
      <c r="O29" s="2">
        <f t="shared" si="2"/>
        <v>0.56215702166147363</v>
      </c>
      <c r="P29" s="2">
        <f t="shared" si="2"/>
        <v>0.55877371771068807</v>
      </c>
      <c r="Q29" s="2">
        <f t="shared" si="2"/>
        <v>0.63338463419787738</v>
      </c>
    </row>
    <row r="30" spans="1:19" ht="30" customHeight="1">
      <c r="C30" t="s">
        <v>54</v>
      </c>
      <c r="D30" s="2" cm="1">
        <f t="array" ref="D30">_xlfn.LET(_xlpm.d,D$2:D$26,_xlpm.f,$A$2:$A$26,_xlpm.k,$C30,AVERAGE(_xlfn._xlws.FILTER(_xlpm.d,_xlpm.f=_xlpm.k)))</f>
        <v>0.99409908804630009</v>
      </c>
      <c r="E30" s="2" cm="1">
        <f t="array" ref="E30">_xlfn.LET(_xlpm.d,E$2:E$26,_xlpm.f,$A$2:$A$26,_xlpm.k,$C30,AVERAGE(_xlfn._xlws.FILTER(_xlpm.d,_xlpm.f=_xlpm.k)))</f>
        <v>0.99821846212126208</v>
      </c>
      <c r="F30" s="2" cm="1">
        <f t="array" ref="F30">_xlfn.LET(_xlpm.d,F$2:F$26,_xlpm.f,$A$2:$A$26,_xlpm.k,$C30,AVERAGE(_xlfn._xlws.FILTER(_xlpm.d,_xlpm.f=_xlpm.k)))</f>
        <v>0.99950797946431746</v>
      </c>
      <c r="G30" s="2" cm="1">
        <f t="array" ref="G30">_xlfn.LET(_xlpm.d,G$2:G$26,_xlpm.f,$A$2:$A$26,_xlpm.k,$C30,AVERAGE(_xlfn._xlws.FILTER(_xlpm.d,_xlpm.f=_xlpm.k)))</f>
        <v>0.99967791653539939</v>
      </c>
      <c r="H30" s="2" cm="1">
        <f t="array" ref="H30">_xlfn.LET(_xlpm.d,H$2:H$26,_xlpm.f,$A$2:$A$26,_xlpm.k,$C30,AVERAGE(_xlfn._xlws.FILTER(_xlpm.d,_xlpm.f=_xlpm.k)))</f>
        <v>0.99460348903571327</v>
      </c>
      <c r="I30" s="2" cm="1">
        <f t="array" ref="I30">_xlfn.LET(_xlpm.d,I$2:I$26,_xlpm.f,$A$2:$A$26,_xlpm.k,$C30,AVERAGE(_xlfn._xlws.FILTER(_xlpm.d,_xlpm.f=_xlpm.k)))</f>
        <v>0.99965751315742202</v>
      </c>
      <c r="J30" s="2" cm="1">
        <f t="array" ref="J30">_xlfn.LET(_xlpm.d,J$2:J$26,_xlpm.f,$A$2:$A$26,_xlpm.k,$C30,AVERAGE(_xlfn._xlws.FILTER(_xlpm.d,_xlpm.f=_xlpm.k)))</f>
        <v>0.99984239297715827</v>
      </c>
      <c r="K30" s="2" cm="1">
        <f t="array" ref="K30">_xlfn.LET(_xlpm.d,K$2:K$26,_xlpm.f,$A$2:$A$26,_xlpm.k,$C30,AVERAGE(_xlfn._xlws.FILTER(_xlpm.d,_xlpm.f=_xlpm.k)))</f>
        <v>0.99909015665334844</v>
      </c>
      <c r="L30" s="2" cm="1">
        <f t="array" ref="L30">_xlfn.LET(_xlpm.d,L$2:L$26,_xlpm.f,$A$2:$A$26,_xlpm.k,$C30,AVERAGE(_xlfn._xlws.FILTER(_xlpm.d,_xlpm.f=_xlpm.k)))</f>
        <v>1</v>
      </c>
      <c r="M30" s="2" cm="1">
        <f t="array" ref="M30">_xlfn.LET(_xlpm.d,M$2:M$26,_xlpm.f,$A$2:$A$26,_xlpm.k,$C30,AVERAGE(_xlfn._xlws.FILTER(_xlpm.d,_xlpm.f=_xlpm.k)))</f>
        <v>0.99169277691003566</v>
      </c>
      <c r="N30" s="2" cm="1">
        <f t="array" ref="N30">_xlfn.LET(_xlpm.d,N$2:N$26,_xlpm.f,$A$2:$A$26,_xlpm.k,$C30,AVERAGE(_xlfn._xlws.FILTER(_xlpm.d,_xlpm.f=_xlpm.k)))</f>
        <v>1</v>
      </c>
      <c r="O30" s="2" cm="1">
        <f t="array" ref="O30">_xlfn.LET(_xlpm.d,O$2:O$26,_xlpm.f,$A$2:$A$26,_xlpm.k,$C30,AVERAGE(_xlfn._xlws.FILTER(_xlpm.d,_xlpm.f=_xlpm.k)))</f>
        <v>0.9993985553123983</v>
      </c>
      <c r="P30" s="2" cm="1">
        <f t="array" ref="P30">_xlfn.LET(_xlpm.d,P$2:P$26,_xlpm.f,$A$2:$A$26,_xlpm.k,$C30,AVERAGE(_xlfn._xlws.FILTER(_xlpm.d,_xlpm.f=_xlpm.k)))</f>
        <v>0.96468262150598572</v>
      </c>
      <c r="Q30" s="2" cm="1">
        <f t="array" ref="Q30">_xlfn.LET(_xlpm.d,Q$2:Q$26,_xlpm.f,$A$2:$A$26,_xlpm.k,$C30,AVERAGE(_xlfn._xlws.FILTER(_xlpm.d,_xlpm.f=_xlpm.k)))</f>
        <v>0.99542084243994933</v>
      </c>
    </row>
    <row r="31" spans="1:19" ht="30" customHeight="1">
      <c r="C31" t="s">
        <v>56</v>
      </c>
      <c r="D31" s="2" cm="1">
        <f t="array" ref="D31">_xlfn.LET(_xlpm.d,D$2:D$26,_xlpm.f,$A$2:$A$26,_xlpm.k,$C31,AVERAGE(_xlfn._xlws.FILTER(_xlpm.d,_xlpm.f=_xlpm.k)))</f>
        <v>0.54955319174516826</v>
      </c>
      <c r="E31" s="2" cm="1">
        <f t="array" ref="E31">_xlfn.LET(_xlpm.d,E$2:E$26,_xlpm.f,$A$2:$A$26,_xlpm.k,$C31,AVERAGE(_xlfn._xlws.FILTER(_xlpm.d,_xlpm.f=_xlpm.k)))</f>
        <v>0.43713026068561056</v>
      </c>
      <c r="F31" s="2" cm="1">
        <f t="array" ref="F31">_xlfn.LET(_xlpm.d,F$2:F$26,_xlpm.f,$A$2:$A$26,_xlpm.k,$C31,AVERAGE(_xlfn._xlws.FILTER(_xlpm.d,_xlpm.f=_xlpm.k)))</f>
        <v>0.43453713696247542</v>
      </c>
      <c r="G31" s="2" cm="1">
        <f t="array" ref="G31">_xlfn.LET(_xlpm.d,G$2:G$26,_xlpm.f,$A$2:$A$26,_xlpm.k,$C31,AVERAGE(_xlfn._xlws.FILTER(_xlpm.d,_xlpm.f=_xlpm.k)))</f>
        <v>0.48857628550117882</v>
      </c>
      <c r="H31" s="2" cm="1">
        <f t="array" ref="H31">_xlfn.LET(_xlpm.d,H$2:H$26,_xlpm.f,$A$2:$A$26,_xlpm.k,$C31,AVERAGE(_xlfn._xlws.FILTER(_xlpm.d,_xlpm.f=_xlpm.k)))</f>
        <v>0.41789676214478655</v>
      </c>
      <c r="I31" s="2" cm="1">
        <f t="array" ref="I31">_xlfn.LET(_xlpm.d,I$2:I$26,_xlpm.f,$A$2:$A$26,_xlpm.k,$C31,AVERAGE(_xlfn._xlws.FILTER(_xlpm.d,_xlpm.f=_xlpm.k)))</f>
        <v>0.27189340065073458</v>
      </c>
      <c r="J31" s="2" cm="1">
        <f t="array" ref="J31">_xlfn.LET(_xlpm.d,J$2:J$26,_xlpm.f,$A$2:$A$26,_xlpm.k,$C31,AVERAGE(_xlfn._xlws.FILTER(_xlpm.d,_xlpm.f=_xlpm.k)))</f>
        <v>0.3488048628896524</v>
      </c>
      <c r="K31" s="2" cm="1">
        <f t="array" ref="K31">_xlfn.LET(_xlpm.d,K$2:K$26,_xlpm.f,$A$2:$A$26,_xlpm.k,$C31,AVERAGE(_xlfn._xlws.FILTER(_xlpm.d,_xlpm.f=_xlpm.k)))</f>
        <v>0.30012040905941684</v>
      </c>
      <c r="L31" s="2" cm="1">
        <f t="array" ref="L31">_xlfn.LET(_xlpm.d,L$2:L$26,_xlpm.f,$A$2:$A$26,_xlpm.k,$C31,AVERAGE(_xlfn._xlws.FILTER(_xlpm.d,_xlpm.f=_xlpm.k)))</f>
        <v>0.22335076346713797</v>
      </c>
      <c r="M31" s="2" cm="1">
        <f t="array" ref="M31">_xlfn.LET(_xlpm.d,M$2:M$26,_xlpm.f,$A$2:$A$26,_xlpm.k,$C31,AVERAGE(_xlfn._xlws.FILTER(_xlpm.d,_xlpm.f=_xlpm.k)))</f>
        <v>0.27167741355269615</v>
      </c>
      <c r="N31" s="2" cm="1">
        <f t="array" ref="N31">_xlfn.LET(_xlpm.d,N$2:N$26,_xlpm.f,$A$2:$A$26,_xlpm.k,$C31,AVERAGE(_xlfn._xlws.FILTER(_xlpm.d,_xlpm.f=_xlpm.k)))</f>
        <v>0.2042230732829084</v>
      </c>
      <c r="O31" s="2" cm="1">
        <f t="array" ref="O31">_xlfn.LET(_xlpm.d,O$2:O$26,_xlpm.f,$A$2:$A$26,_xlpm.k,$C31,AVERAGE(_xlfn._xlws.FILTER(_xlpm.d,_xlpm.f=_xlpm.k)))</f>
        <v>0.12937532974665919</v>
      </c>
      <c r="P31" s="2" cm="1">
        <f t="array" ref="P31">_xlfn.LET(_xlpm.d,P$2:P$26,_xlpm.f,$A$2:$A$26,_xlpm.k,$C31,AVERAGE(_xlfn._xlws.FILTER(_xlpm.d,_xlpm.f=_xlpm.k)))</f>
        <v>0.19485622998662683</v>
      </c>
      <c r="Q31" s="2" cm="1">
        <f t="array" ref="Q31">_xlfn.LET(_xlpm.d,Q$2:Q$26,_xlpm.f,$A$2:$A$26,_xlpm.k,$C31,AVERAGE(_xlfn._xlws.FILTER(_xlpm.d,_xlpm.f=_xlpm.k)))</f>
        <v>0.32861500920577325</v>
      </c>
    </row>
    <row r="32" spans="1:19" ht="30" customHeight="1">
      <c r="C32" t="s">
        <v>57</v>
      </c>
      <c r="D32" s="2" cm="1">
        <f t="array" ref="D32">_xlfn.LET(_xlpm.d,D$2:D$26,_xlpm.f,$A$2:$A$26,_xlpm.k,$C32,AVERAGE(_xlfn._xlws.FILTER(_xlpm.d,_xlpm.f=_xlpm.k)))</f>
        <v>0.5895228483908066</v>
      </c>
      <c r="E32" s="2" cm="1">
        <f t="array" ref="E32">_xlfn.LET(_xlpm.d,E$2:E$26,_xlpm.f,$A$2:$A$26,_xlpm.k,$C32,AVERAGE(_xlfn._xlws.FILTER(_xlpm.d,_xlpm.f=_xlpm.k)))</f>
        <v>0.57867104094380084</v>
      </c>
      <c r="F32" s="2" cm="1">
        <f t="array" ref="F32">_xlfn.LET(_xlpm.d,F$2:F$26,_xlpm.f,$A$2:$A$26,_xlpm.k,$C32,AVERAGE(_xlfn._xlws.FILTER(_xlpm.d,_xlpm.f=_xlpm.k)))</f>
        <v>0.49503422097652539</v>
      </c>
      <c r="G32" s="2" cm="1">
        <f t="array" ref="G32">_xlfn.LET(_xlpm.d,G$2:G$26,_xlpm.f,$A$2:$A$26,_xlpm.k,$C32,AVERAGE(_xlfn._xlws.FILTER(_xlpm.d,_xlpm.f=_xlpm.k)))</f>
        <v>0.56797705702203916</v>
      </c>
      <c r="H32" s="2" cm="1">
        <f t="array" ref="H32">_xlfn.LET(_xlpm.d,H$2:H$26,_xlpm.f,$A$2:$A$26,_xlpm.k,$C32,AVERAGE(_xlfn._xlws.FILTER(_xlpm.d,_xlpm.f=_xlpm.k)))</f>
        <v>0.41848942635541786</v>
      </c>
      <c r="I32" s="2" cm="1">
        <f t="array" ref="I32">_xlfn.LET(_xlpm.d,I$2:I$26,_xlpm.f,$A$2:$A$26,_xlpm.k,$C32,AVERAGE(_xlfn._xlws.FILTER(_xlpm.d,_xlpm.f=_xlpm.k)))</f>
        <v>0.37683532751829996</v>
      </c>
      <c r="J32" s="2" cm="1">
        <f t="array" ref="J32">_xlfn.LET(_xlpm.d,J$2:J$26,_xlpm.f,$A$2:$A$26,_xlpm.k,$C32,AVERAGE(_xlfn._xlws.FILTER(_xlpm.d,_xlpm.f=_xlpm.k)))</f>
        <v>0.26641740462397301</v>
      </c>
      <c r="K32" s="2" cm="1">
        <f t="array" ref="K32">_xlfn.LET(_xlpm.d,K$2:K$26,_xlpm.f,$A$2:$A$26,_xlpm.k,$C32,AVERAGE(_xlfn._xlws.FILTER(_xlpm.d,_xlpm.f=_xlpm.k)))</f>
        <v>0.32552622556251204</v>
      </c>
      <c r="L32" s="2" cm="1">
        <f t="array" ref="L32">_xlfn.LET(_xlpm.d,L$2:L$26,_xlpm.f,$A$2:$A$26,_xlpm.k,$C32,AVERAGE(_xlfn._xlws.FILTER(_xlpm.d,_xlpm.f=_xlpm.k)))</f>
        <v>0.35826572975751803</v>
      </c>
      <c r="M32" s="2" cm="1">
        <f t="array" ref="M32">_xlfn.LET(_xlpm.d,M$2:M$26,_xlpm.f,$A$2:$A$26,_xlpm.k,$C32,AVERAGE(_xlfn._xlws.FILTER(_xlpm.d,_xlpm.f=_xlpm.k)))</f>
        <v>0.31473926393672558</v>
      </c>
      <c r="N32" s="2" cm="1">
        <f t="array" ref="N32">_xlfn.LET(_xlpm.d,N$2:N$26,_xlpm.f,$A$2:$A$26,_xlpm.k,$C32,AVERAGE(_xlfn._xlws.FILTER(_xlpm.d,_xlpm.f=_xlpm.k)))</f>
        <v>0.17262930448937738</v>
      </c>
      <c r="O32" s="2" cm="1">
        <f t="array" ref="O32">_xlfn.LET(_xlpm.d,O$2:O$26,_xlpm.f,$A$2:$A$26,_xlpm.k,$C32,AVERAGE(_xlfn._xlws.FILTER(_xlpm.d,_xlpm.f=_xlpm.k)))</f>
        <v>0.28861924027893815</v>
      </c>
      <c r="P32" s="2" cm="1">
        <f t="array" ref="P32">_xlfn.LET(_xlpm.d,P$2:P$26,_xlpm.f,$A$2:$A$26,_xlpm.k,$C32,AVERAGE(_xlfn._xlws.FILTER(_xlpm.d,_xlpm.f=_xlpm.k)))</f>
        <v>0.1870205214558136</v>
      </c>
      <c r="Q32" s="2" cm="1">
        <f t="array" ref="Q32">_xlfn.LET(_xlpm.d,Q$2:Q$26,_xlpm.f,$A$2:$A$26,_xlpm.k,$C32,AVERAGE(_xlfn._xlws.FILTER(_xlpm.d,_xlpm.f=_xlpm.k)))</f>
        <v>0.37998058548551894</v>
      </c>
    </row>
    <row r="33" spans="3:17" ht="30" customHeight="1">
      <c r="C33" t="s">
        <v>55</v>
      </c>
      <c r="D33" s="2" cm="1">
        <f t="array" ref="D33">_xlfn.LET(_xlpm.d,D$2:D$26,_xlpm.f,$A$2:$A$26,_xlpm.k,$C33,AVERAGE(_xlfn._xlws.FILTER(_xlpm.d,_xlpm.f=_xlpm.k)))</f>
        <v>0.74757352839788216</v>
      </c>
      <c r="E33" s="2" cm="1">
        <f t="array" ref="E33">_xlfn.LET(_xlpm.d,E$2:E$26,_xlpm.f,$A$2:$A$26,_xlpm.k,$C33,AVERAGE(_xlfn._xlws.FILTER(_xlpm.d,_xlpm.f=_xlpm.k)))</f>
        <v>0.76997695035749625</v>
      </c>
      <c r="F33" s="2" cm="1">
        <f t="array" ref="F33">_xlfn.LET(_xlpm.d,F$2:F$26,_xlpm.f,$A$2:$A$26,_xlpm.k,$C33,AVERAGE(_xlfn._xlws.FILTER(_xlpm.d,_xlpm.f=_xlpm.k)))</f>
        <v>0.5526372076003272</v>
      </c>
      <c r="G33" s="2" cm="1">
        <f t="array" ref="G33">_xlfn.LET(_xlpm.d,G$2:G$26,_xlpm.f,$A$2:$A$26,_xlpm.k,$C33,AVERAGE(_xlfn._xlws.FILTER(_xlpm.d,_xlpm.f=_xlpm.k)))</f>
        <v>0.46532465096111897</v>
      </c>
      <c r="H33" s="2" cm="1">
        <f t="array" ref="H33">_xlfn.LET(_xlpm.d,H$2:H$26,_xlpm.f,$A$2:$A$26,_xlpm.k,$C33,AVERAGE(_xlfn._xlws.FILTER(_xlpm.d,_xlpm.f=_xlpm.k)))</f>
        <v>0.37531407789107679</v>
      </c>
      <c r="I33" s="2" cm="1">
        <f t="array" ref="I33">_xlfn.LET(_xlpm.d,I$2:I$26,_xlpm.f,$A$2:$A$26,_xlpm.k,$C33,AVERAGE(_xlfn._xlws.FILTER(_xlpm.d,_xlpm.f=_xlpm.k)))</f>
        <v>0.5653204577494233</v>
      </c>
      <c r="J33" s="2" cm="1">
        <f t="array" ref="J33">_xlfn.LET(_xlpm.d,J$2:J$26,_xlpm.f,$A$2:$A$26,_xlpm.k,$C33,AVERAGE(_xlfn._xlws.FILTER(_xlpm.d,_xlpm.f=_xlpm.k)))</f>
        <v>0.3565933103901256</v>
      </c>
      <c r="K33" s="2" cm="1">
        <f t="array" ref="K33">_xlfn.LET(_xlpm.d,K$2:K$26,_xlpm.f,$A$2:$A$26,_xlpm.k,$C33,AVERAGE(_xlfn._xlws.FILTER(_xlpm.d,_xlpm.f=_xlpm.k)))</f>
        <v>0.36280263712387478</v>
      </c>
      <c r="L33" s="2" cm="1">
        <f t="array" ref="L33">_xlfn.LET(_xlpm.d,L$2:L$26,_xlpm.f,$A$2:$A$26,_xlpm.k,$C33,AVERAGE(_xlfn._xlws.FILTER(_xlpm.d,_xlpm.f=_xlpm.k)))</f>
        <v>0.4199277331798556</v>
      </c>
      <c r="M33" s="2" cm="1">
        <f t="array" ref="M33">_xlfn.LET(_xlpm.d,M$2:M$26,_xlpm.f,$A$2:$A$26,_xlpm.k,$C33,AVERAGE(_xlfn._xlws.FILTER(_xlpm.d,_xlpm.f=_xlpm.k)))</f>
        <v>0.45556757006862841</v>
      </c>
      <c r="N33" s="2" cm="1">
        <f t="array" ref="N33">_xlfn.LET(_xlpm.d,N$2:N$26,_xlpm.f,$A$2:$A$26,_xlpm.k,$C33,AVERAGE(_xlfn._xlws.FILTER(_xlpm.d,_xlpm.f=_xlpm.k)))</f>
        <v>0.34334197753686102</v>
      </c>
      <c r="O33" s="2" cm="1">
        <f t="array" ref="O33">_xlfn.LET(_xlpm.d,O$2:O$26,_xlpm.f,$A$2:$A$26,_xlpm.k,$C33,AVERAGE(_xlfn._xlws.FILTER(_xlpm.d,_xlpm.f=_xlpm.k)))</f>
        <v>0.39525421691644846</v>
      </c>
      <c r="P33" s="2" cm="1">
        <f t="array" ref="P33">_xlfn.LET(_xlpm.d,P$2:P$26,_xlpm.f,$A$2:$A$26,_xlpm.k,$C33,AVERAGE(_xlfn._xlws.FILTER(_xlpm.d,_xlpm.f=_xlpm.k)))</f>
        <v>0.4548027031201814</v>
      </c>
      <c r="Q33" s="2" cm="1">
        <f t="array" ref="Q33">_xlfn.LET(_xlpm.d,Q$2:Q$26,_xlpm.f,$A$2:$A$26,_xlpm.k,$C33,AVERAGE(_xlfn._xlws.FILTER(_xlpm.d,_xlpm.f=_xlpm.k)))</f>
        <v>0.48187977086871536</v>
      </c>
    </row>
    <row r="34" spans="3:17" ht="30" customHeight="1">
      <c r="C34" t="s">
        <v>58</v>
      </c>
      <c r="D34" s="2" cm="1">
        <f t="array" ref="D34">_xlfn.LET(_xlpm.d,D$2:D$26,_xlpm.f,$A$2:$A$26,_xlpm.k,$C34,AVERAGE(_xlfn._xlws.FILTER(_xlpm.d,_xlpm.f=_xlpm.k)))</f>
        <v>0.99880750710139399</v>
      </c>
      <c r="E34" s="2" cm="1">
        <f t="array" ref="E34">_xlfn.LET(_xlpm.d,E$2:E$26,_xlpm.f,$A$2:$A$26,_xlpm.k,$C34,AVERAGE(_xlfn._xlws.FILTER(_xlpm.d,_xlpm.f=_xlpm.k)))</f>
        <v>0.98529707381305198</v>
      </c>
      <c r="F34" s="2" cm="1">
        <f t="array" ref="F34">_xlfn.LET(_xlpm.d,F$2:F$26,_xlpm.f,$A$2:$A$26,_xlpm.k,$C34,AVERAGE(_xlfn._xlws.FILTER(_xlpm.d,_xlpm.f=_xlpm.k)))</f>
        <v>0.99917553007293325</v>
      </c>
      <c r="G34" s="2" cm="1">
        <f t="array" ref="G34">_xlfn.LET(_xlpm.d,G$2:G$26,_xlpm.f,$A$2:$A$26,_xlpm.k,$C34,AVERAGE(_xlfn._xlws.FILTER(_xlpm.d,_xlpm.f=_xlpm.k)))</f>
        <v>0.99819792638516225</v>
      </c>
      <c r="H34" s="2" cm="1">
        <f t="array" ref="H34">_xlfn.LET(_xlpm.d,H$2:H$26,_xlpm.f,$A$2:$A$26,_xlpm.k,$C34,AVERAGE(_xlfn._xlws.FILTER(_xlpm.d,_xlpm.f=_xlpm.k)))</f>
        <v>0.96675710773166157</v>
      </c>
      <c r="I34" s="2" cm="1">
        <f t="array" ref="I34">_xlfn.LET(_xlpm.d,I$2:I$26,_xlpm.f,$A$2:$A$26,_xlpm.k,$C34,AVERAGE(_xlfn._xlws.FILTER(_xlpm.d,_xlpm.f=_xlpm.k)))</f>
        <v>0.97665530832653591</v>
      </c>
      <c r="J34" s="2" cm="1">
        <f t="array" ref="J34">_xlfn.LET(_xlpm.d,J$2:J$26,_xlpm.f,$A$2:$A$26,_xlpm.k,$C34,AVERAGE(_xlfn._xlws.FILTER(_xlpm.d,_xlpm.f=_xlpm.k)))</f>
        <v>0.96722543303129727</v>
      </c>
      <c r="K34" s="2" cm="1">
        <f t="array" ref="K34">_xlfn.LET(_xlpm.d,K$2:K$26,_xlpm.f,$A$2:$A$26,_xlpm.k,$C34,AVERAGE(_xlfn._xlws.FILTER(_xlpm.d,_xlpm.f=_xlpm.k)))</f>
        <v>0.99602050038007239</v>
      </c>
      <c r="L34" s="2" cm="1">
        <f t="array" ref="L34">_xlfn.LET(_xlpm.d,L$2:L$26,_xlpm.f,$A$2:$A$26,_xlpm.k,$C34,AVERAGE(_xlfn._xlws.FILTER(_xlpm.d,_xlpm.f=_xlpm.k)))</f>
        <v>0.99532855277355325</v>
      </c>
      <c r="M34" s="2" cm="1">
        <f t="array" ref="M34">_xlfn.LET(_xlpm.d,M$2:M$26,_xlpm.f,$A$2:$A$26,_xlpm.k,$C34,AVERAGE(_xlfn._xlws.FILTER(_xlpm.d,_xlpm.f=_xlpm.k)))</f>
        <v>1</v>
      </c>
      <c r="N34" s="2" cm="1">
        <f t="array" ref="N34">_xlfn.LET(_xlpm.d,N$2:N$26,_xlpm.f,$A$2:$A$26,_xlpm.k,$C34,AVERAGE(_xlfn._xlws.FILTER(_xlpm.d,_xlpm.f=_xlpm.k)))</f>
        <v>0.8792413007091664</v>
      </c>
      <c r="O34" s="2" cm="1">
        <f t="array" ref="O34">_xlfn.LET(_xlpm.d,O$2:O$26,_xlpm.f,$A$2:$A$26,_xlpm.k,$C34,AVERAGE(_xlfn._xlws.FILTER(_xlpm.d,_xlpm.f=_xlpm.k)))</f>
        <v>0.99813776605292426</v>
      </c>
      <c r="P34" s="2" cm="1">
        <f t="array" ref="P34">_xlfn.LET(_xlpm.d,P$2:P$26,_xlpm.f,$A$2:$A$26,_xlpm.k,$C34,AVERAGE(_xlfn._xlws.FILTER(_xlpm.d,_xlpm.f=_xlpm.k)))</f>
        <v>0.99250651248483346</v>
      </c>
      <c r="Q34" s="2" cm="1">
        <f t="array" ref="Q34">_xlfn.LET(_xlpm.d,Q$2:Q$26,_xlpm.f,$A$2:$A$26,_xlpm.k,$C34,AVERAGE(_xlfn._xlws.FILTER(_xlpm.d,_xlpm.f=_xlpm.k)))</f>
        <v>0.98102696298942971</v>
      </c>
    </row>
    <row r="36" spans="3:17" ht="30" customHeight="1">
      <c r="C36" t="s">
        <v>64</v>
      </c>
    </row>
    <row r="37" spans="3:17" ht="30" customHeight="1">
      <c r="C37" t="s">
        <v>53</v>
      </c>
      <c r="D37" s="2" cm="1">
        <f t="array" ref="D37">_xlfn.LET(_xlpm.d,D$2:D$26,_xlpm.g,$B$2:$B$26,_xlpm.k,$C37,AVERAGE(_xlfn._xlws.FILTER(_xlpm.d,(_xlpm.g=0))))</f>
        <v>0.7347114159516035</v>
      </c>
      <c r="E37" s="2" cm="1">
        <f t="array" ref="E37">_xlfn.LET(_xlpm.d,E$2:E$26,_xlpm.g,$B2:$B26,_xlpm.k,$C37,AVERAGE(_xlfn._xlws.FILTER(_xlpm.d,(_xlpm.g=0))))</f>
        <v>0.71246516902001766</v>
      </c>
      <c r="F37" s="2" cm="1">
        <f t="array" ref="F37">_xlfn.LET(_xlpm.d,F$2:F$26,_xlpm.g,$B2:$B26,_xlpm.k,$C37,AVERAGE(_xlfn._xlws.FILTER(_xlpm.d,(_xlpm.g=0))))</f>
        <v>0.65717806549883484</v>
      </c>
      <c r="G37" s="2" cm="1">
        <f t="array" ref="G37">_xlfn.LET(_xlpm.d,G$2:G$26,_xlpm.g,$B2:$B26,_xlpm.k,$C37,AVERAGE(_xlfn._xlws.FILTER(_xlpm.d,(_xlpm.g=0))))</f>
        <v>0.67440652601163753</v>
      </c>
      <c r="H37" s="2" cm="1">
        <f t="array" ref="H37">_xlfn.LET(_xlpm.d,H$2:H$26,_xlpm.g,$B2:$B26,_xlpm.k,$C37,AVERAGE(_xlfn._xlws.FILTER(_xlpm.d,(_xlpm.g=0))))</f>
        <v>0.61116806150057879</v>
      </c>
      <c r="I37" s="2" cm="1">
        <f t="array" ref="I37">_xlfn.LET(_xlpm.d,I$2:I$26,_xlpm.g,$B2:$B26,_xlpm.k,$C37,AVERAGE(_xlfn._xlws.FILTER(_xlpm.d,(_xlpm.g=0))))</f>
        <v>0.64817069143621731</v>
      </c>
      <c r="J37" s="2" cm="1">
        <f t="array" ref="J37">_xlfn.LET(_xlpm.d,J$2:J$26,_xlpm.g,$B2:$B26,_xlpm.k,$C37,AVERAGE(_xlfn._xlws.FILTER(_xlpm.d,(_xlpm.g=0))))</f>
        <v>0.57307542531290023</v>
      </c>
      <c r="K37" s="2" cm="1">
        <f t="array" ref="K37">_xlfn.LET(_xlpm.d,K$2:K$26,_xlpm.g,$B2:$B26,_xlpm.k,$C37,AVERAGE(_xlfn._xlws.FILTER(_xlpm.d,(_xlpm.g=0))))</f>
        <v>0.60705792478970788</v>
      </c>
      <c r="L37" s="2" cm="1">
        <f t="array" ref="L37">_xlfn.LET(_xlpm.d,L$2:L$26,_xlpm.g,$B2:$B26,_xlpm.k,$C37,AVERAGE(_xlfn._xlws.FILTER(_xlpm.d,(_xlpm.g=0))))</f>
        <v>0.58385741470151653</v>
      </c>
      <c r="M37" s="2" cm="1">
        <f t="array" ref="M37">_xlfn.LET(_xlpm.d,M$2:M$26,_xlpm.g,$B2:$B26,_xlpm.k,$C37,AVERAGE(_xlfn._xlws.FILTER(_xlpm.d,(_xlpm.g=0))))</f>
        <v>0.5991512697893796</v>
      </c>
      <c r="N37" s="2" cm="1">
        <f t="array" ref="N37">_xlfn.LET(_xlpm.d,N$2:N$26,_xlpm.g,$B2:$B26,_xlpm.k,$C37,AVERAGE(_xlfn._xlws.FILTER(_xlpm.d,(_xlpm.g=0))))</f>
        <v>0.52587439920412671</v>
      </c>
      <c r="O37" s="2" cm="1">
        <f t="array" ref="O37">_xlfn.LET(_xlpm.d,O$2:O$26,_xlpm.g,$B2:$B26,_xlpm.k,$C37,AVERAGE(_xlfn._xlws.FILTER(_xlpm.d,(_xlpm.g=0))))</f>
        <v>0.58696906343728739</v>
      </c>
      <c r="P37" s="2" cm="1">
        <f t="array" ref="P37">_xlfn.LET(_xlpm.d,P$2:P$26,_xlpm.g,$B2:$B26,_xlpm.k,$C37,AVERAGE(_xlfn._xlws.FILTER(_xlpm.d,(_xlpm.g=0))))</f>
        <v>0.59846714713836024</v>
      </c>
      <c r="Q37" s="2" cm="1">
        <f t="array" ref="Q37">_xlfn.LET(_xlpm.d,Q$2:Q$26,_xlpm.g,$B2:$B26,_xlpm.k,$C37,AVERAGE(_xlfn._xlws.FILTER(_xlpm.d,(_xlpm.g=0))))</f>
        <v>0.62404250567632069</v>
      </c>
    </row>
    <row r="38" spans="3:17" ht="30" customHeight="1">
      <c r="C38" t="s">
        <v>54</v>
      </c>
      <c r="D38" s="2" cm="1">
        <f t="array" ref="D38">_xlfn.LET(_xlpm.d,D$2:D$26,_xlpm.f,$A$2:$A$26,_xlpm.g,$B$2:$B$26,_xlpm.k,$C38,AVERAGE(_xlfn._xlws.FILTER(_xlpm.d,(_xlpm.f=_xlpm.k)*(_xlpm.g=0))))</f>
        <v>0.99262386005787528</v>
      </c>
      <c r="E38" s="2" cm="1">
        <f t="array" ref="E38">_xlfn.LET(_xlpm.d,E$2:E$26,_xlpm.f,$A$2:$A$26,_xlpm.g,$B$2:$B$26,_xlpm.k,$C38,AVERAGE(_xlfn._xlws.FILTER(_xlpm.d,(_xlpm.f=_xlpm.k)*(_xlpm.g=0))))</f>
        <v>0.99777307765157752</v>
      </c>
      <c r="F38" s="2" cm="1">
        <f t="array" ref="F38">_xlfn.LET(_xlpm.d,F$2:F$26,_xlpm.f,$A$2:$A$26,_xlpm.g,$B$2:$B$26,_xlpm.k,$C38,AVERAGE(_xlfn._xlws.FILTER(_xlpm.d,(_xlpm.f=_xlpm.k)*(_xlpm.g=0))))</f>
        <v>0.99938497433039675</v>
      </c>
      <c r="G38" s="2" cm="1">
        <f t="array" ref="G38">_xlfn.LET(_xlpm.d,G$2:G$26,_xlpm.f,$A$2:$A$26,_xlpm.g,$B$2:$B$26,_xlpm.k,$C38,AVERAGE(_xlfn._xlws.FILTER(_xlpm.d,(_xlpm.f=_xlpm.k)*(_xlpm.g=0))))</f>
        <v>0.99959739566924921</v>
      </c>
      <c r="H38" s="2" cm="1">
        <f t="array" ref="H38">_xlfn.LET(_xlpm.d,H$2:H$26,_xlpm.f,$A$2:$A$26,_xlpm.g,$B$2:$B$26,_xlpm.k,$C38,AVERAGE(_xlfn._xlws.FILTER(_xlpm.d,(_xlpm.f=_xlpm.k)*(_xlpm.g=0))))</f>
        <v>0.99325436129464173</v>
      </c>
      <c r="I38" s="2" cm="1">
        <f t="array" ref="I38">_xlfn.LET(_xlpm.d,I$2:I$26,_xlpm.f,$A$2:$A$26,_xlpm.g,$B$2:$B$26,_xlpm.k,$C38,AVERAGE(_xlfn._xlws.FILTER(_xlpm.d,(_xlpm.f=_xlpm.k)*(_xlpm.g=0))))</f>
        <v>0.99957189144677749</v>
      </c>
      <c r="J38" s="2" cm="1">
        <f t="array" ref="J38">_xlfn.LET(_xlpm.d,J$2:J$26,_xlpm.f,$A$2:$A$26,_xlpm.g,$B$2:$B$26,_xlpm.k,$C38,AVERAGE(_xlfn._xlws.FILTER(_xlpm.d,(_xlpm.f=_xlpm.k)*(_xlpm.g=0))))</f>
        <v>0.999802991221448</v>
      </c>
      <c r="K38" s="2" cm="1">
        <f t="array" ref="K38">_xlfn.LET(_xlpm.d,K$2:K$26,_xlpm.f,$A$2:$A$26,_xlpm.g,$B$2:$B$26,_xlpm.k,$C38,AVERAGE(_xlfn._xlws.FILTER(_xlpm.d,(_xlpm.f=_xlpm.k)*(_xlpm.g=0))))</f>
        <v>0.99886269581668552</v>
      </c>
      <c r="L38" s="2" cm="1">
        <f t="array" ref="L38">_xlfn.LET(_xlpm.d,L$2:L$26,_xlpm.f,$A$2:$A$26,_xlpm.g,$B$2:$B$26,_xlpm.k,$C38,AVERAGE(_xlfn._xlws.FILTER(_xlpm.d,(_xlpm.f=_xlpm.k)*(_xlpm.g=0))))</f>
        <v>1</v>
      </c>
      <c r="M38" s="2" cm="1">
        <f t="array" ref="M38">_xlfn.LET(_xlpm.d,M$2:M$26,_xlpm.f,$A$2:$A$26,_xlpm.g,$B$2:$B$26,_xlpm.k,$C38,AVERAGE(_xlfn._xlws.FILTER(_xlpm.d,(_xlpm.f=_xlpm.k)*(_xlpm.g=0))))</f>
        <v>0.98961597113754451</v>
      </c>
      <c r="N38" s="2" cm="1">
        <f t="array" ref="N38">_xlfn.LET(_xlpm.d,N$2:N$26,_xlpm.f,$A$2:$A$26,_xlpm.g,$B$2:$B$26,_xlpm.k,$C38,AVERAGE(_xlfn._xlws.FILTER(_xlpm.d,(_xlpm.f=_xlpm.k)*(_xlpm.g=0))))</f>
        <v>1</v>
      </c>
      <c r="O38" s="2" cm="1">
        <f t="array" ref="O38">_xlfn.LET(_xlpm.d,O$2:O$26,_xlpm.f,$A$2:$A$26,_xlpm.g,$B$2:$B$26,_xlpm.k,$C38,AVERAGE(_xlfn._xlws.FILTER(_xlpm.d,(_xlpm.f=_xlpm.k)*(_xlpm.g=0))))</f>
        <v>0.99924819414049781</v>
      </c>
      <c r="P38" s="2" cm="1">
        <f t="array" ref="P38">_xlfn.LET(_xlpm.d,P$2:P$26,_xlpm.f,$A$2:$A$26,_xlpm.g,$B$2:$B$26,_xlpm.k,$C38,AVERAGE(_xlfn._xlws.FILTER(_xlpm.d,(_xlpm.f=_xlpm.k)*(_xlpm.g=0))))</f>
        <v>0.95585327688248201</v>
      </c>
      <c r="Q38" s="2" cm="1">
        <f t="array" ref="Q38">_xlfn.LET(_xlpm.d,Q$2:Q$26,_xlpm.f,$A$2:$A$26,_xlpm.g,$B$2:$B$26,_xlpm.k,$C38,AVERAGE(_xlfn._xlws.FILTER(_xlpm.d,(_xlpm.f=_xlpm.k)*(_xlpm.g=0))))</f>
        <v>0.99427605304993649</v>
      </c>
    </row>
    <row r="39" spans="3:17" ht="30" customHeight="1">
      <c r="C39" t="s">
        <v>56</v>
      </c>
      <c r="D39" s="2" cm="1">
        <f t="array" ref="D39">_xlfn.LET(_xlpm.d,D$2:D$26,_xlpm.f,$A$2:$A$26,_xlpm.g,$B$2:$B$26,_xlpm.k,$C39,AVERAGE(_xlfn._xlws.FILTER(_xlpm.d,(_xlpm.f=_xlpm.k)*(_xlpm.g=0))))</f>
        <v>0.46594477020003672</v>
      </c>
      <c r="E39" s="2" cm="1">
        <f t="array" ref="E39">_xlfn.LET(_xlpm.d,E$2:E$26,_xlpm.f,$A$2:$A$26,_xlpm.g,$B$2:$B$26,_xlpm.k,$C39,AVERAGE(_xlfn._xlws.FILTER(_xlpm.d,(_xlpm.f=_xlpm.k)*(_xlpm.g=0))))</f>
        <v>0.33905168513487827</v>
      </c>
      <c r="F39" s="2" cm="1">
        <f t="array" ref="F39">_xlfn.LET(_xlpm.d,F$2:F$26,_xlpm.f,$A$2:$A$26,_xlpm.g,$B$2:$B$26,_xlpm.k,$C39,AVERAGE(_xlfn._xlws.FILTER(_xlpm.d,(_xlpm.f=_xlpm.k)*(_xlpm.g=0))))</f>
        <v>0.36081695523340279</v>
      </c>
      <c r="G39" s="2" cm="1">
        <f t="array" ref="G39">_xlfn.LET(_xlpm.d,G$2:G$26,_xlpm.f,$A$2:$A$26,_xlpm.g,$B$2:$B$26,_xlpm.k,$C39,AVERAGE(_xlfn._xlws.FILTER(_xlpm.d,(_xlpm.f=_xlpm.k)*(_xlpm.g=0))))</f>
        <v>0.4342022548825995</v>
      </c>
      <c r="H39" s="2" cm="1">
        <f t="array" ref="H39">_xlfn.LET(_xlpm.d,H$2:H$26,_xlpm.f,$A$2:$A$26,_xlpm.g,$B$2:$B$26,_xlpm.k,$C39,AVERAGE(_xlfn._xlws.FILTER(_xlpm.d,(_xlpm.f=_xlpm.k)*(_xlpm.g=0))))</f>
        <v>0.35152426606845349</v>
      </c>
      <c r="I39" s="2" cm="1">
        <f t="array" ref="I39">_xlfn.LET(_xlpm.d,I$2:I$26,_xlpm.f,$A$2:$A$26,_xlpm.g,$B$2:$B$26,_xlpm.k,$C39,AVERAGE(_xlfn._xlws.FILTER(_xlpm.d,(_xlpm.f=_xlpm.k)*(_xlpm.g=0))))</f>
        <v>0.30605711394944346</v>
      </c>
      <c r="J39" s="2" cm="1">
        <f t="array" ref="J39">_xlfn.LET(_xlpm.d,J$2:J$26,_xlpm.f,$A$2:$A$26,_xlpm.g,$B$2:$B$26,_xlpm.k,$C39,AVERAGE(_xlfn._xlws.FILTER(_xlpm.d,(_xlpm.f=_xlpm.k)*(_xlpm.g=0))))</f>
        <v>0.27833170531631451</v>
      </c>
      <c r="K39" s="2" cm="1">
        <f t="array" ref="K39">_xlfn.LET(_xlpm.d,K$2:K$26,_xlpm.f,$A$2:$A$26,_xlpm.g,$B$2:$B$26,_xlpm.k,$C39,AVERAGE(_xlfn._xlws.FILTER(_xlpm.d,(_xlpm.f=_xlpm.k)*(_xlpm.g=0))))</f>
        <v>0.31974571902203019</v>
      </c>
      <c r="L39" s="2" cm="1">
        <f t="array" ref="L39">_xlfn.LET(_xlpm.d,L$2:L$26,_xlpm.f,$A$2:$A$26,_xlpm.g,$B$2:$B$26,_xlpm.k,$C39,AVERAGE(_xlfn._xlws.FILTER(_xlpm.d,(_xlpm.f=_xlpm.k)*(_xlpm.g=0))))</f>
        <v>0.19502801808976999</v>
      </c>
      <c r="M39" s="2" cm="1">
        <f t="array" ref="M39">_xlfn.LET(_xlpm.d,M$2:M$26,_xlpm.f,$A$2:$A$26,_xlpm.g,$B$2:$B$26,_xlpm.k,$C39,AVERAGE(_xlfn._xlws.FILTER(_xlpm.d,(_xlpm.f=_xlpm.k)*(_xlpm.g=0))))</f>
        <v>0.19874031323610275</v>
      </c>
      <c r="N39" s="2" cm="1">
        <f t="array" ref="N39">_xlfn.LET(_xlpm.d,N$2:N$26,_xlpm.f,$A$2:$A$26,_xlpm.g,$B$2:$B$26,_xlpm.k,$C39,AVERAGE(_xlfn._xlws.FILTER(_xlpm.d,(_xlpm.f=_xlpm.k)*(_xlpm.g=0))))</f>
        <v>0.185588161522206</v>
      </c>
      <c r="O39" s="2" cm="1">
        <f t="array" ref="O39">_xlfn.LET(_xlpm.d,O$2:O$26,_xlpm.f,$A$2:$A$26,_xlpm.g,$B$2:$B$26,_xlpm.k,$C39,AVERAGE(_xlfn._xlws.FILTER(_xlpm.d,(_xlpm.f=_xlpm.k)*(_xlpm.g=0))))</f>
        <v>0.16171916218332399</v>
      </c>
      <c r="P39" s="2" cm="1">
        <f t="array" ref="P39">_xlfn.LET(_xlpm.d,P$2:P$26,_xlpm.f,$A$2:$A$26,_xlpm.g,$B$2:$B$26,_xlpm.k,$C39,AVERAGE(_xlfn._xlws.FILTER(_xlpm.d,(_xlpm.f=_xlpm.k)*(_xlpm.g=0))))</f>
        <v>0.24357028748328352</v>
      </c>
      <c r="Q39" s="2" cm="1">
        <f t="array" ref="Q39">_xlfn.LET(_xlpm.d,Q$2:Q$26,_xlpm.f,$A$2:$A$26,_xlpm.g,$B$2:$B$26,_xlpm.k,$C39,AVERAGE(_xlfn._xlws.FILTER(_xlpm.d,(_xlpm.f=_xlpm.k)*(_xlpm.g=0))))</f>
        <v>0.29540926248629579</v>
      </c>
    </row>
    <row r="40" spans="3:17" ht="30" customHeight="1">
      <c r="C40" t="s">
        <v>57</v>
      </c>
      <c r="D40" s="2" cm="1">
        <f t="array" ref="D40">_xlfn.LET(_xlpm.d,D$2:D$26,_xlpm.f,$A$2:$A$26,_xlpm.g,$B$2:$B$26,_xlpm.k,$C40,AVERAGE(_xlfn._xlws.FILTER(_xlpm.d,(_xlpm.f=_xlpm.k)*(_xlpm.g=0))))</f>
        <v>0.51711823320570682</v>
      </c>
      <c r="E40" s="2" cm="1">
        <f t="array" ref="E40">_xlfn.LET(_xlpm.d,E$2:E$26,_xlpm.f,$A$2:$A$26,_xlpm.g,$B$2:$B$26,_xlpm.k,$C40,AVERAGE(_xlfn._xlws.FILTER(_xlpm.d,(_xlpm.f=_xlpm.k)*(_xlpm.g=0))))</f>
        <v>0.52914471858678547</v>
      </c>
      <c r="F40" s="2" cm="1">
        <f t="array" ref="F40">_xlfn.LET(_xlpm.d,F$2:F$26,_xlpm.f,$A$2:$A$26,_xlpm.g,$B$2:$B$26,_xlpm.k,$C40,AVERAGE(_xlfn._xlws.FILTER(_xlpm.d,(_xlpm.f=_xlpm.k)*(_xlpm.g=0))))</f>
        <v>0.42755843389438619</v>
      </c>
      <c r="G40" s="2" cm="1">
        <f t="array" ref="G40">_xlfn.LET(_xlpm.d,G$2:G$26,_xlpm.f,$A$2:$A$26,_xlpm.g,$B$2:$B$26,_xlpm.k,$C40,AVERAGE(_xlfn._xlws.FILTER(_xlpm.d,(_xlpm.f=_xlpm.k)*(_xlpm.g=0))))</f>
        <v>0.53242246594761644</v>
      </c>
      <c r="H40" s="2" cm="1">
        <f t="array" ref="H40">_xlfn.LET(_xlpm.d,H$2:H$26,_xlpm.f,$A$2:$A$26,_xlpm.g,$B$2:$B$26,_xlpm.k,$C40,AVERAGE(_xlfn._xlws.FILTER(_xlpm.d,(_xlpm.f=_xlpm.k)*(_xlpm.g=0))))</f>
        <v>0.38686248890692149</v>
      </c>
      <c r="I40" s="2" cm="1">
        <f t="array" ref="I40">_xlfn.LET(_xlpm.d,I$2:I$26,_xlpm.f,$A$2:$A$26,_xlpm.g,$B$2:$B$26,_xlpm.k,$C40,AVERAGE(_xlfn._xlws.FILTER(_xlpm.d,(_xlpm.f=_xlpm.k)*(_xlpm.g=0))))</f>
        <v>0.44134873709036276</v>
      </c>
      <c r="J40" s="2" cm="1">
        <f t="array" ref="J40">_xlfn.LET(_xlpm.d,J$2:J$26,_xlpm.f,$A$2:$A$26,_xlpm.g,$B$2:$B$26,_xlpm.k,$C40,AVERAGE(_xlfn._xlws.FILTER(_xlpm.d,(_xlpm.f=_xlpm.k)*(_xlpm.g=0))))</f>
        <v>0.25506546258791873</v>
      </c>
      <c r="K40" s="2" cm="1">
        <f t="array" ref="K40">_xlfn.LET(_xlpm.d,K$2:K$26,_xlpm.f,$A$2:$A$26,_xlpm.g,$B$2:$B$26,_xlpm.k,$C40,AVERAGE(_xlfn._xlws.FILTER(_xlpm.d,(_xlpm.f=_xlpm.k)*(_xlpm.g=0))))</f>
        <v>0.33525292475843727</v>
      </c>
      <c r="L40" s="2" cm="1">
        <f t="array" ref="L40">_xlfn.LET(_xlpm.d,L$2:L$26,_xlpm.f,$A$2:$A$26,_xlpm.g,$B$2:$B$26,_xlpm.k,$C40,AVERAGE(_xlfn._xlws.FILTER(_xlpm.d,(_xlpm.f=_xlpm.k)*(_xlpm.g=0))))</f>
        <v>0.32201288374984727</v>
      </c>
      <c r="M40" s="2" cm="1">
        <f t="array" ref="M40">_xlfn.LET(_xlpm.d,M$2:M$26,_xlpm.f,$A$2:$A$26,_xlpm.g,$B$2:$B$26,_xlpm.k,$C40,AVERAGE(_xlfn._xlws.FILTER(_xlpm.d,(_xlpm.f=_xlpm.k)*(_xlpm.g=0))))</f>
        <v>0.34814345810999298</v>
      </c>
      <c r="N40" s="2" cm="1">
        <f t="array" ref="N40">_xlfn.LET(_xlpm.d,N$2:N$26,_xlpm.f,$A$2:$A$26,_xlpm.g,$B$2:$B$26,_xlpm.k,$C40,AVERAGE(_xlfn._xlws.FILTER(_xlpm.d,(_xlpm.f=_xlpm.k)*(_xlpm.g=0))))</f>
        <v>0.21578663061172174</v>
      </c>
      <c r="O40" s="2" cm="1">
        <f t="array" ref="O40">_xlfn.LET(_xlpm.d,O$2:O$26,_xlpm.f,$A$2:$A$26,_xlpm.g,$B$2:$B$26,_xlpm.k,$C40,AVERAGE(_xlfn._xlws.FILTER(_xlpm.d,(_xlpm.f=_xlpm.k)*(_xlpm.g=0))))</f>
        <v>0.28213798215089947</v>
      </c>
      <c r="P40" s="2" cm="1">
        <f t="array" ref="P40">_xlfn.LET(_xlpm.d,P$2:P$26,_xlpm.f,$A$2:$A$26,_xlpm.g,$B$2:$B$26,_xlpm.k,$C40,AVERAGE(_xlfn._xlws.FILTER(_xlpm.d,(_xlpm.f=_xlpm.k)*(_xlpm.g=0))))</f>
        <v>0.23377565181976701</v>
      </c>
      <c r="Q40" s="2" cm="1">
        <f t="array" ref="Q40">_xlfn.LET(_xlpm.d,Q$2:Q$26,_xlpm.f,$A$2:$A$26,_xlpm.g,$B$2:$B$26,_xlpm.k,$C40,AVERAGE(_xlfn._xlws.FILTER(_xlpm.d,(_xlpm.f=_xlpm.k)*(_xlpm.g=0))))</f>
        <v>0.37127923626310488</v>
      </c>
    </row>
    <row r="41" spans="3:17" ht="30" customHeight="1">
      <c r="C41" t="s">
        <v>55</v>
      </c>
      <c r="D41" s="2" cm="1">
        <f t="array" ref="D41">_xlfn.LET(_xlpm.d,D$2:D$26,_xlpm.f,$A$2:$A$26,_xlpm.g,$B$2:$B$26,_xlpm.k,$C41,AVERAGE(_xlfn._xlws.FILTER(_xlpm.d,(_xlpm.f=_xlpm.k)*(_xlpm.g=0))))</f>
        <v>0.69936083241765656</v>
      </c>
      <c r="E41" s="2" cm="1">
        <f t="array" ref="E41">_xlfn.LET(_xlpm.d,E$2:E$26,_xlpm.f,$A$2:$A$26,_xlpm.g,$B$2:$B$26,_xlpm.k,$C41,AVERAGE(_xlfn._xlws.FILTER(_xlpm.d,(_xlpm.f=_xlpm.k)*(_xlpm.g=0))))</f>
        <v>0.71473502146053247</v>
      </c>
      <c r="F41" s="2" cm="1">
        <f t="array" ref="F41">_xlfn.LET(_xlpm.d,F$2:F$26,_xlpm.f,$A$2:$A$26,_xlpm.g,$B$2:$B$26,_xlpm.k,$C41,AVERAGE(_xlfn._xlws.FILTER(_xlpm.d,(_xlpm.f=_xlpm.k)*(_xlpm.g=0))))</f>
        <v>0.49916055144482224</v>
      </c>
      <c r="G41" s="2" cm="1">
        <f t="array" ref="G41">_xlfn.LET(_xlpm.d,G$2:G$26,_xlpm.f,$A$2:$A$26,_xlpm.g,$B$2:$B$26,_xlpm.k,$C41,AVERAGE(_xlfn._xlws.FILTER(_xlpm.d,(_xlpm.f=_xlpm.k)*(_xlpm.g=0))))</f>
        <v>0.40806310557726944</v>
      </c>
      <c r="H41" s="2" cm="1">
        <f t="array" ref="H41">_xlfn.LET(_xlpm.d,H$2:H$26,_xlpm.f,$A$2:$A$26,_xlpm.g,$B$2:$B$26,_xlpm.k,$C41,AVERAGE(_xlfn._xlws.FILTER(_xlpm.d,(_xlpm.f=_xlpm.k)*(_xlpm.g=0))))</f>
        <v>0.36575280656829978</v>
      </c>
      <c r="I41" s="2" cm="1">
        <f t="array" ref="I41">_xlfn.LET(_xlpm.d,I$2:I$26,_xlpm.f,$A$2:$A$26,_xlpm.g,$B$2:$B$26,_xlpm.k,$C41,AVERAGE(_xlfn._xlws.FILTER(_xlpm.d,(_xlpm.f=_xlpm.k)*(_xlpm.g=0))))</f>
        <v>0.52305657928633276</v>
      </c>
      <c r="J41" s="2" cm="1">
        <f t="array" ref="J41">_xlfn.LET(_xlpm.d,J$2:J$26,_xlpm.f,$A$2:$A$26,_xlpm.g,$B$2:$B$26,_xlpm.k,$C41,AVERAGE(_xlfn._xlws.FILTER(_xlpm.d,(_xlpm.f=_xlpm.k)*(_xlpm.g=0))))</f>
        <v>0.37314517614969872</v>
      </c>
      <c r="K41" s="2" cm="1">
        <f t="array" ref="K41">_xlfn.LET(_xlpm.d,K$2:K$26,_xlpm.f,$A$2:$A$26,_xlpm.g,$B$2:$B$26,_xlpm.k,$C41,AVERAGE(_xlfn._xlws.FILTER(_xlpm.d,(_xlpm.f=_xlpm.k)*(_xlpm.g=0))))</f>
        <v>0.38640265887629527</v>
      </c>
      <c r="L41" s="2" cm="1">
        <f t="array" ref="L41">_xlfn.LET(_xlpm.d,L$2:L$26,_xlpm.f,$A$2:$A$26,_xlpm.g,$B$2:$B$26,_xlpm.k,$C41,AVERAGE(_xlfn._xlws.FILTER(_xlpm.d,(_xlpm.f=_xlpm.k)*(_xlpm.g=0))))</f>
        <v>0.40808548070102402</v>
      </c>
      <c r="M41" s="2" cm="1">
        <f t="array" ref="M41">_xlfn.LET(_xlpm.d,M$2:M$26,_xlpm.f,$A$2:$A$26,_xlpm.g,$B$2:$B$26,_xlpm.k,$C41,AVERAGE(_xlfn._xlws.FILTER(_xlpm.d,(_xlpm.f=_xlpm.k)*(_xlpm.g=0))))</f>
        <v>0.45925660646325794</v>
      </c>
      <c r="N41" s="2" cm="1">
        <f t="array" ref="N41">_xlfn.LET(_xlpm.d,N$2:N$26,_xlpm.f,$A$2:$A$26,_xlpm.g,$B$2:$B$26,_xlpm.k,$C41,AVERAGE(_xlfn._xlws.FILTER(_xlpm.d,(_xlpm.f=_xlpm.k)*(_xlpm.g=0))))</f>
        <v>0.37894557800024725</v>
      </c>
      <c r="O41" s="2" cm="1">
        <f t="array" ref="O41">_xlfn.LET(_xlpm.d,O$2:O$26,_xlpm.f,$A$2:$A$26,_xlpm.g,$B$2:$B$26,_xlpm.k,$C41,AVERAGE(_xlfn._xlws.FILTER(_xlpm.d,(_xlpm.f=_xlpm.k)*(_xlpm.g=0))))</f>
        <v>0.49406777114556055</v>
      </c>
      <c r="P41" s="2" cm="1">
        <f t="array" ref="P41">_xlfn.LET(_xlpm.d,P$2:P$26,_xlpm.f,$A$2:$A$26,_xlpm.g,$B$2:$B$26,_xlpm.k,$C41,AVERAGE(_xlfn._xlws.FILTER(_xlpm.d,(_xlpm.f=_xlpm.k)*(_xlpm.g=0))))</f>
        <v>0.56850337890022673</v>
      </c>
      <c r="Q41" s="2" cm="1">
        <f t="array" ref="Q41">_xlfn.LET(_xlpm.d,Q$2:Q$26,_xlpm.f,$A$2:$A$26,_xlpm.g,$B$2:$B$26,_xlpm.k,$C41,AVERAGE(_xlfn._xlws.FILTER(_xlpm.d,(_xlpm.f=_xlpm.k)*(_xlpm.g=0))))</f>
        <v>0.48296427284547877</v>
      </c>
    </row>
    <row r="42" spans="3:17" ht="30" customHeight="1">
      <c r="C42" t="s">
        <v>58</v>
      </c>
      <c r="D42" s="2" cm="1">
        <f t="array" ref="D42">_xlfn.LET(_xlpm.d,D$2:D$26,_xlpm.f,$A$2:$A$26,_xlpm.g,$B$2:$B$26,_xlpm.k,$C42,AVERAGE(_xlfn._xlws.FILTER(_xlpm.d,(_xlpm.f=_xlpm.k)*(_xlpm.g=0))))</f>
        <v>0.99850938387674248</v>
      </c>
      <c r="E42" s="2" cm="1">
        <f t="array" ref="E42">_xlfn.LET(_xlpm.d,E$2:E$26,_xlpm.f,$A$2:$A$26,_xlpm.g,$B$2:$B$26,_xlpm.k,$C42,AVERAGE(_xlfn._xlws.FILTER(_xlpm.d,(_xlpm.f=_xlpm.k)*(_xlpm.g=0))))</f>
        <v>0.98162134226631492</v>
      </c>
      <c r="F42" s="2" cm="1">
        <f t="array" ref="F42">_xlfn.LET(_xlpm.d,F$2:F$26,_xlpm.f,$A$2:$A$26,_xlpm.g,$B$2:$B$26,_xlpm.k,$C42,AVERAGE(_xlfn._xlws.FILTER(_xlpm.d,(_xlpm.f=_xlpm.k)*(_xlpm.g=0))))</f>
        <v>0.99896941259116656</v>
      </c>
      <c r="G42" s="2" cm="1">
        <f t="array" ref="G42">_xlfn.LET(_xlpm.d,G$2:G$26,_xlpm.f,$A$2:$A$26,_xlpm.g,$B$2:$B$26,_xlpm.k,$C42,AVERAGE(_xlfn._xlws.FILTER(_xlpm.d,(_xlpm.f=_xlpm.k)*(_xlpm.g=0))))</f>
        <v>0.99774740798145278</v>
      </c>
      <c r="H42" s="2" cm="1">
        <f t="array" ref="H42">_xlfn.LET(_xlpm.d,H$2:H$26,_xlpm.f,$A$2:$A$26,_xlpm.g,$B$2:$B$26,_xlpm.k,$C42,AVERAGE(_xlfn._xlws.FILTER(_xlpm.d,(_xlpm.f=_xlpm.k)*(_xlpm.g=0))))</f>
        <v>0.95844638466457699</v>
      </c>
      <c r="I42" s="2" cm="1">
        <f t="array" ref="I42">_xlfn.LET(_xlpm.d,I$2:I$26,_xlpm.f,$A$2:$A$26,_xlpm.g,$B$2:$B$26,_xlpm.k,$C42,AVERAGE(_xlfn._xlws.FILTER(_xlpm.d,(_xlpm.f=_xlpm.k)*(_xlpm.g=0))))</f>
        <v>0.97081913540817</v>
      </c>
      <c r="J42" s="2" cm="1">
        <f t="array" ref="J42">_xlfn.LET(_xlpm.d,J$2:J$26,_xlpm.f,$A$2:$A$26,_xlpm.g,$B$2:$B$26,_xlpm.k,$C42,AVERAGE(_xlfn._xlws.FILTER(_xlpm.d,(_xlpm.f=_xlpm.k)*(_xlpm.g=0))))</f>
        <v>0.95903179128912153</v>
      </c>
      <c r="K42" s="2" cm="1">
        <f t="array" ref="K42">_xlfn.LET(_xlpm.d,K$2:K$26,_xlpm.f,$A$2:$A$26,_xlpm.g,$B$2:$B$26,_xlpm.k,$C42,AVERAGE(_xlfn._xlws.FILTER(_xlpm.d,(_xlpm.f=_xlpm.k)*(_xlpm.g=0))))</f>
        <v>0.99502562547509044</v>
      </c>
      <c r="L42" s="2" cm="1">
        <f t="array" ref="L42">_xlfn.LET(_xlpm.d,L$2:L$26,_xlpm.f,$A$2:$A$26,_xlpm.g,$B$2:$B$26,_xlpm.k,$C42,AVERAGE(_xlfn._xlws.FILTER(_xlpm.d,(_xlpm.f=_xlpm.k)*(_xlpm.g=0))))</f>
        <v>0.99416069096694148</v>
      </c>
      <c r="M42" s="2" cm="1">
        <f t="array" ref="M42">_xlfn.LET(_xlpm.d,M$2:M$26,_xlpm.f,$A$2:$A$26,_xlpm.g,$B$2:$B$26,_xlpm.k,$C42,AVERAGE(_xlfn._xlws.FILTER(_xlpm.d,(_xlpm.f=_xlpm.k)*(_xlpm.g=0))))</f>
        <v>1</v>
      </c>
      <c r="N42" s="2" cm="1">
        <f t="array" ref="N42">_xlfn.LET(_xlpm.d,N$2:N$26,_xlpm.f,$A$2:$A$26,_xlpm.g,$B$2:$B$26,_xlpm.k,$C42,AVERAGE(_xlfn._xlws.FILTER(_xlpm.d,(_xlpm.f=_xlpm.k)*(_xlpm.g=0))))</f>
        <v>0.84905162588645799</v>
      </c>
      <c r="O42" s="2" cm="1">
        <f t="array" ref="O42">_xlfn.LET(_xlpm.d,O$2:O$26,_xlpm.f,$A$2:$A$26,_xlpm.g,$B$2:$B$26,_xlpm.k,$C42,AVERAGE(_xlfn._xlws.FILTER(_xlpm.d,(_xlpm.f=_xlpm.k)*(_xlpm.g=0))))</f>
        <v>0.99767220756615527</v>
      </c>
      <c r="P42" s="2" cm="1">
        <f t="array" ref="P42">_xlfn.LET(_xlpm.d,P$2:P$26,_xlpm.f,$A$2:$A$26,_xlpm.g,$B$2:$B$26,_xlpm.k,$C42,AVERAGE(_xlfn._xlws.FILTER(_xlpm.d,(_xlpm.f=_xlpm.k)*(_xlpm.g=0))))</f>
        <v>0.9906331406060418</v>
      </c>
      <c r="Q42" s="2" cm="1">
        <f t="array" ref="Q42">_xlfn.LET(_xlpm.d,Q$2:Q$26,_xlpm.f,$A$2:$A$26,_xlpm.g,$B$2:$B$26,_xlpm.k,$C42,AVERAGE(_xlfn._xlws.FILTER(_xlpm.d,(_xlpm.f=_xlpm.k)*(_xlpm.g=0))))</f>
        <v>0.97628370373678708</v>
      </c>
    </row>
  </sheetData>
  <conditionalFormatting sqref="D2:Q26 S2:S26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Q34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Q3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Q4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5CB1-E98D-4F41-BC23-A67569931093}">
  <dimension ref="A1:S52"/>
  <sheetViews>
    <sheetView workbookViewId="0">
      <pane xSplit="9080" ySplit="3520" topLeftCell="A37" activePane="topRight"/>
      <selection activeCell="B1" sqref="B1:C36"/>
      <selection pane="topRight" activeCell="B2" sqref="B2"/>
      <selection pane="bottomLeft" activeCell="C40" sqref="C40"/>
      <selection pane="bottomRight" activeCell="C39" sqref="C39"/>
    </sheetView>
  </sheetViews>
  <sheetFormatPr baseColWidth="10" defaultRowHeight="30" customHeight="1"/>
  <cols>
    <col min="1" max="1" width="11.375" customWidth="1"/>
    <col min="2" max="2" width="8.25" customWidth="1"/>
    <col min="3" max="3" width="16" customWidth="1"/>
    <col min="4" max="16" width="7" customWidth="1"/>
    <col min="17" max="18" width="7.375" customWidth="1"/>
    <col min="19" max="19" width="8.75" customWidth="1"/>
    <col min="20" max="20" width="9.125" customWidth="1"/>
    <col min="21" max="21" width="8.75" customWidth="1"/>
  </cols>
  <sheetData>
    <row r="1" spans="1:19" ht="30" customHeight="1">
      <c r="A1" t="s">
        <v>59</v>
      </c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36</v>
      </c>
      <c r="R1" t="s">
        <v>61</v>
      </c>
      <c r="S1" t="s">
        <v>62</v>
      </c>
    </row>
    <row r="2" spans="1:19" ht="30" customHeight="1">
      <c r="A2" t="str">
        <f>_xlfn.LET(_xlpm.c,_xlfn.SINGLE(Table13[condition]),_xlfn.TEXTBEFORE(_xlpm.c,"-"))</f>
        <v>arabic</v>
      </c>
      <c r="B2">
        <f>_xlfn.LET(_xlpm.c,_xlfn.SINGLE(Table13[condition]),IF(RIGHT(_xlpm.c,2)="1g",1,0))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3">
        <f>_xlfn.LET(_xlpm.d,$D2:$P2,STDEV(_xlpm.d))</f>
        <v>0</v>
      </c>
      <c r="S2" s="1">
        <f>Table13[[#This Row],[average]]-SQRT(Table13[[#This Row],[stdev]])</f>
        <v>1</v>
      </c>
    </row>
    <row r="3" spans="1:19" ht="30" customHeight="1">
      <c r="A3" t="str">
        <f>_xlfn.LET(_xlpm.c,_xlfn.SINGLE(Table13[condition]),_xlfn.TEXTBEFORE(_xlpm.c,"-"))</f>
        <v>arabic</v>
      </c>
      <c r="B3">
        <f>_xlfn.LET(_xlpm.c,_xlfn.SINGLE(Table13[condition]),IF(RIGHT(_xlpm.c,2)="1g",1,0))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ref="Q3:Q36" si="0">_xlfn.LET(_xlpm.d,$D3:$P3,AVERAGE(_xlpm.d))</f>
        <v>1</v>
      </c>
      <c r="R3" s="3">
        <f t="shared" ref="R3:R36" si="1">_xlfn.LET(_xlpm.d,$D3:$P3,STDEV(_xlpm.d))</f>
        <v>0</v>
      </c>
      <c r="S3" s="1">
        <f>Table13[[#This Row],[average]]-SQRT(Table13[[#This Row],[stdev]])</f>
        <v>1</v>
      </c>
    </row>
    <row r="4" spans="1:19" ht="30" customHeight="1">
      <c r="A4" t="str">
        <f>_xlfn.LET(_xlpm.c,_xlfn.SINGLE(Table13[condition]),_xlfn.TEXTBEFORE(_xlpm.c,"-"))</f>
        <v>arabic</v>
      </c>
      <c r="B4">
        <f>_xlfn.LET(_xlpm.c,_xlfn.SINGLE(Table13[condition]),IF(RIGHT(_xlpm.c,2)="1g",1,0))</f>
        <v>0</v>
      </c>
      <c r="C4" t="s">
        <v>13</v>
      </c>
      <c r="D4" s="1">
        <v>0.99653580692653299</v>
      </c>
      <c r="E4" s="1">
        <v>1</v>
      </c>
      <c r="F4" s="1">
        <v>1</v>
      </c>
      <c r="G4" s="1">
        <v>1</v>
      </c>
      <c r="H4" s="1">
        <v>0.99902623846222705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0.99965861887605834</v>
      </c>
      <c r="R4" s="3">
        <f t="shared" si="1"/>
        <v>9.7612376475852047E-4</v>
      </c>
      <c r="S4" s="1">
        <f>Table13[[#This Row],[average]]-SQRT(Table13[[#This Row],[stdev]])</f>
        <v>0.96841563942853248</v>
      </c>
    </row>
    <row r="5" spans="1:19" ht="30" customHeight="1">
      <c r="A5" t="str">
        <f>_xlfn.LET(_xlpm.c,_xlfn.SINGLE(Table13[condition]),_xlfn.TEXTBEFORE(_xlpm.c,"-"))</f>
        <v>arabic</v>
      </c>
      <c r="B5">
        <f>_xlfn.LET(_xlpm.c,_xlfn.SINGLE(Table13[condition]),IF(RIGHT(_xlpm.c,2)="1g",1,0))</f>
        <v>0</v>
      </c>
      <c r="C5" t="s">
        <v>14</v>
      </c>
      <c r="D5" s="1">
        <v>0.98973753430527001</v>
      </c>
      <c r="E5" s="1">
        <v>0.99109231060630998</v>
      </c>
      <c r="F5" s="1">
        <v>0.99851843180169497</v>
      </c>
      <c r="G5" s="1">
        <v>1</v>
      </c>
      <c r="H5" s="1">
        <v>0.99911735996297601</v>
      </c>
      <c r="I5" s="1">
        <v>1</v>
      </c>
      <c r="J5" s="1">
        <v>0.999211964885792</v>
      </c>
      <c r="K5" s="1">
        <v>0.99545078326674197</v>
      </c>
      <c r="L5" s="1">
        <v>1</v>
      </c>
      <c r="M5" s="1">
        <v>0.95846388455017795</v>
      </c>
      <c r="N5" s="1">
        <v>1</v>
      </c>
      <c r="O5" s="1">
        <v>0.99948051835901797</v>
      </c>
      <c r="P5" s="1">
        <v>0.97123972641136003</v>
      </c>
      <c r="Q5" s="1">
        <f t="shared" si="0"/>
        <v>0.99248557801148773</v>
      </c>
      <c r="R5" s="3">
        <f t="shared" si="1"/>
        <v>1.2998598307476428E-2</v>
      </c>
      <c r="S5" s="1">
        <f>Table13[[#This Row],[average]]-SQRT(Table13[[#This Row],[stdev]])</f>
        <v>0.87847418249561648</v>
      </c>
    </row>
    <row r="6" spans="1:19" ht="30" customHeight="1">
      <c r="A6" t="str">
        <f>_xlfn.LET(_xlpm.c,_xlfn.SINGLE(Table13[condition]),_xlfn.TEXTBEFORE(_xlpm.c,"-"))</f>
        <v>arabic</v>
      </c>
      <c r="B6">
        <f>_xlfn.LET(_xlpm.c,_xlfn.SINGLE(Table13[condition]),IF(RIGHT(_xlpm.c,2)="1g",1,0))</f>
        <v>0</v>
      </c>
      <c r="C6" t="s">
        <v>15</v>
      </c>
      <c r="D6" s="1">
        <v>0.98422209899969804</v>
      </c>
      <c r="E6" s="1">
        <v>1</v>
      </c>
      <c r="F6" s="1">
        <v>0.99902146551989202</v>
      </c>
      <c r="G6" s="1">
        <v>0.99838958267699696</v>
      </c>
      <c r="H6" s="1">
        <v>0.97487384675336397</v>
      </c>
      <c r="I6" s="1">
        <v>0.99828756578710998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0.99751225820297296</v>
      </c>
      <c r="P6" s="1">
        <v>0.852173381118568</v>
      </c>
      <c r="Q6" s="1">
        <f t="shared" si="0"/>
        <v>0.98496001531220001</v>
      </c>
      <c r="R6" s="3">
        <f t="shared" si="1"/>
        <v>4.0625353781443919E-2</v>
      </c>
      <c r="S6" s="1">
        <f>Table13[[#This Row],[average]]-SQRT(Table13[[#This Row],[stdev]])</f>
        <v>0.78340269398289697</v>
      </c>
    </row>
    <row r="7" spans="1:19" ht="30" customHeight="1">
      <c r="A7" t="str">
        <f>_xlfn.LET(_xlpm.c,_xlfn.SINGLE(Table13[condition]),_xlfn.TEXTBEFORE(_xlpm.c,"-"))</f>
        <v>arabic</v>
      </c>
      <c r="B7">
        <f>_xlfn.LET(_xlpm.c,_xlfn.SINGLE(Table13[condition]),IF(RIGHT(_xlpm.c,2)="1g",1,0))</f>
        <v>0</v>
      </c>
      <c r="C7" t="s">
        <v>37</v>
      </c>
      <c r="D7" s="1">
        <v>0.988018523837073</v>
      </c>
      <c r="E7" s="1">
        <v>0.98726229810545796</v>
      </c>
      <c r="F7" s="1">
        <v>0.98335153888682703</v>
      </c>
      <c r="G7" s="1">
        <v>0.92095804257913605</v>
      </c>
      <c r="H7" s="1">
        <v>0.99837634520976404</v>
      </c>
      <c r="I7" s="1">
        <v>0.92894014816619097</v>
      </c>
      <c r="J7" s="1">
        <v>0.87446709252048105</v>
      </c>
      <c r="K7" s="1">
        <v>0.99743534090363895</v>
      </c>
      <c r="L7" s="1">
        <v>0.98076076652157795</v>
      </c>
      <c r="M7" s="1">
        <v>0.82871010485249996</v>
      </c>
      <c r="N7" s="1">
        <v>0.70507709616653402</v>
      </c>
      <c r="O7" s="1">
        <v>1</v>
      </c>
      <c r="P7" s="1">
        <v>0.85347459628144895</v>
      </c>
      <c r="Q7" s="1">
        <f t="shared" si="0"/>
        <v>0.92667937646389464</v>
      </c>
      <c r="R7" s="3">
        <f t="shared" si="1"/>
        <v>8.9405696968715989E-2</v>
      </c>
      <c r="S7" s="1">
        <f>Table13[[#This Row],[average]]-SQRT(Table13[[#This Row],[stdev]])</f>
        <v>0.62767152210432098</v>
      </c>
    </row>
    <row r="8" spans="1:19" ht="30" customHeight="1">
      <c r="A8" t="str">
        <f>_xlfn.LET(_xlpm.c,_xlfn.SINGLE(Table13[condition]),_xlfn.TEXTBEFORE(_xlpm.c,"-"))</f>
        <v>arabic</v>
      </c>
      <c r="B8">
        <f>_xlfn.LET(_xlpm.c,_xlfn.SINGLE(Table13[condition]),IF(RIGHT(_xlpm.c,2)="1g",1,0))</f>
        <v>0</v>
      </c>
      <c r="C8" t="s">
        <v>38</v>
      </c>
      <c r="D8" s="1">
        <v>1</v>
      </c>
      <c r="E8" s="1">
        <v>0.99829908520196997</v>
      </c>
      <c r="F8" s="1">
        <v>0.98175179999265905</v>
      </c>
      <c r="G8" s="1">
        <v>0.98126751910168797</v>
      </c>
      <c r="H8" s="1">
        <v>1</v>
      </c>
      <c r="I8" s="1">
        <v>1</v>
      </c>
      <c r="J8" s="1">
        <v>0.91955239074679396</v>
      </c>
      <c r="K8" s="1">
        <v>0.88698937353136398</v>
      </c>
      <c r="L8" s="1">
        <v>0.97993823599402996</v>
      </c>
      <c r="M8" s="1">
        <v>0.71497868270935105</v>
      </c>
      <c r="N8" s="1">
        <v>0.98748433925774903</v>
      </c>
      <c r="O8" s="1">
        <v>1</v>
      </c>
      <c r="P8" s="1">
        <v>0.59157414395448304</v>
      </c>
      <c r="Q8" s="1">
        <f t="shared" si="0"/>
        <v>0.92629504388385286</v>
      </c>
      <c r="R8" s="3">
        <f t="shared" si="1"/>
        <v>0.12842523615935358</v>
      </c>
      <c r="S8" s="1">
        <f>Table13[[#This Row],[average]]-SQRT(Table13[[#This Row],[stdev]])</f>
        <v>0.56793037464404961</v>
      </c>
    </row>
    <row r="9" spans="1:19" ht="30" customHeight="1">
      <c r="A9" t="str">
        <f>_xlfn.LET(_xlpm.c,_xlfn.SINGLE(Table13[condition]),_xlfn.TEXTBEFORE(_xlpm.c,"-"))</f>
        <v>english</v>
      </c>
      <c r="B9">
        <f>_xlfn.LET(_xlpm.c,_xlfn.SINGLE(Table13[condition]),IF(RIGHT(_xlpm.c,2)="1g",1,0))</f>
        <v>1</v>
      </c>
      <c r="C9" t="s">
        <v>16</v>
      </c>
      <c r="D9" s="1">
        <v>0.88398687792569397</v>
      </c>
      <c r="E9" s="1">
        <v>0.82944456288853996</v>
      </c>
      <c r="F9" s="1">
        <v>0.72941786387876595</v>
      </c>
      <c r="G9" s="1">
        <v>0.70607240797549597</v>
      </c>
      <c r="H9" s="1">
        <v>0.68338674645011899</v>
      </c>
      <c r="I9" s="1">
        <v>0.135238547455899</v>
      </c>
      <c r="J9" s="1">
        <v>0.63069749318300405</v>
      </c>
      <c r="K9" s="1">
        <v>0.22161916920896299</v>
      </c>
      <c r="L9" s="1">
        <v>0.33664174497660998</v>
      </c>
      <c r="M9" s="1">
        <v>0.56342581481906995</v>
      </c>
      <c r="N9" s="1">
        <v>0.27876272032571803</v>
      </c>
      <c r="O9" s="1">
        <v>0</v>
      </c>
      <c r="P9" s="1">
        <v>0</v>
      </c>
      <c r="Q9" s="1">
        <f t="shared" si="0"/>
        <v>0.46143799608368297</v>
      </c>
      <c r="R9" s="3">
        <f t="shared" si="1"/>
        <v>0.31260474181093967</v>
      </c>
      <c r="S9" s="1">
        <f>Table13[[#This Row],[average]]-SQRT(Table13[[#This Row],[stdev]])</f>
        <v>-9.7672674366219736E-2</v>
      </c>
    </row>
    <row r="10" spans="1:19" ht="30" customHeight="1">
      <c r="A10" t="str">
        <f>_xlfn.LET(_xlpm.c,_xlfn.SINGLE(Table13[condition]),_xlfn.TEXTBEFORE(_xlpm.c,"-"))</f>
        <v>english</v>
      </c>
      <c r="B10">
        <f>_xlfn.LET(_xlpm.c,_xlfn.SINGLE(Table13[condition]),IF(RIGHT(_xlpm.c,2)="1g",1,0))</f>
        <v>0</v>
      </c>
      <c r="C10" t="s">
        <v>17</v>
      </c>
      <c r="D10" s="1">
        <v>0.46139349378975503</v>
      </c>
      <c r="E10" s="1">
        <v>0.25181802036422901</v>
      </c>
      <c r="F10" s="1">
        <v>0.16513271578834399</v>
      </c>
      <c r="G10" s="1">
        <v>0.31727070041208599</v>
      </c>
      <c r="H10" s="1">
        <v>0.168624474643601</v>
      </c>
      <c r="I10" s="1">
        <v>0.362610107541875</v>
      </c>
      <c r="J10" s="1">
        <v>0.370189947738364</v>
      </c>
      <c r="K10" s="1">
        <v>0.12506618089322799</v>
      </c>
      <c r="L10" s="1">
        <v>0.23004863050656199</v>
      </c>
      <c r="M10" s="1">
        <v>0.29500032032593099</v>
      </c>
      <c r="N10" s="1">
        <v>0</v>
      </c>
      <c r="O10" s="1">
        <v>0</v>
      </c>
      <c r="P10" s="1">
        <v>0</v>
      </c>
      <c r="Q10" s="1">
        <f t="shared" si="0"/>
        <v>0.21131958400030579</v>
      </c>
      <c r="R10" s="3">
        <f t="shared" si="1"/>
        <v>0.15172569245981746</v>
      </c>
      <c r="S10" s="1">
        <f>Table13[[#This Row],[average]]-SQRT(Table13[[#This Row],[stdev]])</f>
        <v>-0.17820023893534079</v>
      </c>
    </row>
    <row r="11" spans="1:19" ht="30" customHeight="1">
      <c r="A11" t="str">
        <f>_xlfn.LET(_xlpm.c,_xlfn.SINGLE(Table13[condition]),_xlfn.TEXTBEFORE(_xlpm.c,"-"))</f>
        <v>english</v>
      </c>
      <c r="B11">
        <f>_xlfn.LET(_xlpm.c,_xlfn.SINGLE(Table13[condition]),IF(RIGHT(_xlpm.c,2)="1g",1,0))</f>
        <v>0</v>
      </c>
      <c r="C11" t="s">
        <v>18</v>
      </c>
      <c r="D11" s="1">
        <v>0.51312029254407598</v>
      </c>
      <c r="E11" s="1">
        <v>0.29548092177012503</v>
      </c>
      <c r="F11" s="1">
        <v>0.45419768276644401</v>
      </c>
      <c r="G11" s="1">
        <v>0.42075149021782698</v>
      </c>
      <c r="H11" s="1">
        <v>0.16562467567404701</v>
      </c>
      <c r="I11" s="1">
        <v>0.25180621128555097</v>
      </c>
      <c r="J11" s="1">
        <v>0.15641126987472501</v>
      </c>
      <c r="K11" s="1">
        <v>0.352973847235866</v>
      </c>
      <c r="L11" s="1">
        <v>0.15370294352672501</v>
      </c>
      <c r="M11" s="1">
        <v>0.30030120694684398</v>
      </c>
      <c r="N11" s="1">
        <v>0.223639889541806</v>
      </c>
      <c r="O11" s="1">
        <v>0.197059307072628</v>
      </c>
      <c r="P11" s="1">
        <v>0.37506921561287698</v>
      </c>
      <c r="Q11" s="1">
        <f t="shared" si="0"/>
        <v>0.296933765697657</v>
      </c>
      <c r="R11" s="3">
        <f t="shared" si="1"/>
        <v>0.11935436938835448</v>
      </c>
      <c r="S11" s="1">
        <f>Table13[[#This Row],[average]]-SQRT(Table13[[#This Row],[stdev]])</f>
        <v>-4.8543251466082071E-2</v>
      </c>
    </row>
    <row r="12" spans="1:19" ht="30" customHeight="1">
      <c r="A12" t="str">
        <f>_xlfn.LET(_xlpm.c,_xlfn.SINGLE(Table13[condition]),_xlfn.TEXTBEFORE(_xlpm.c,"-"))</f>
        <v>english</v>
      </c>
      <c r="B12">
        <f>_xlfn.LET(_xlpm.c,_xlfn.SINGLE(Table13[condition]),IF(RIGHT(_xlpm.c,2)="1g",1,0))</f>
        <v>0</v>
      </c>
      <c r="C12" t="s">
        <v>19</v>
      </c>
      <c r="D12" s="1">
        <v>0.44871667676257898</v>
      </c>
      <c r="E12" s="1">
        <v>0.34531322601167203</v>
      </c>
      <c r="F12" s="1">
        <v>0.39120945605068902</v>
      </c>
      <c r="G12" s="1">
        <v>0.50939693724402102</v>
      </c>
      <c r="H12" s="1">
        <v>0.56401915638836397</v>
      </c>
      <c r="I12" s="1">
        <v>0.29649280892871999</v>
      </c>
      <c r="J12" s="1">
        <v>0.41975860081824501</v>
      </c>
      <c r="K12" s="1">
        <v>0.57763848513606397</v>
      </c>
      <c r="L12" s="1">
        <v>0.143352582099396</v>
      </c>
      <c r="M12" s="1">
        <v>0</v>
      </c>
      <c r="N12" s="1">
        <v>0.22842314161521901</v>
      </c>
      <c r="O12" s="1">
        <v>0.20094078922780001</v>
      </c>
      <c r="P12" s="1">
        <v>0.37379417949302701</v>
      </c>
      <c r="Q12" s="1">
        <f t="shared" si="0"/>
        <v>0.34608123382890732</v>
      </c>
      <c r="R12" s="3">
        <f t="shared" si="1"/>
        <v>0.16950776131160133</v>
      </c>
      <c r="S12" s="1">
        <f>Table13[[#This Row],[average]]-SQRT(Table13[[#This Row],[stdev]])</f>
        <v>-6.5631968912517213E-2</v>
      </c>
    </row>
    <row r="13" spans="1:19" ht="30" customHeight="1">
      <c r="A13" t="str">
        <f>_xlfn.LET(_xlpm.c,_xlfn.SINGLE(Table13[condition]),_xlfn.TEXTBEFORE(_xlpm.c,"-"))</f>
        <v>english</v>
      </c>
      <c r="B13">
        <f>_xlfn.LET(_xlpm.c,_xlfn.SINGLE(Table13[condition]),IF(RIGHT(_xlpm.c,2)="1g",1,0))</f>
        <v>0</v>
      </c>
      <c r="C13" t="s">
        <v>20</v>
      </c>
      <c r="D13" s="1">
        <v>0.44054861770373699</v>
      </c>
      <c r="E13" s="1">
        <v>0.463594572393487</v>
      </c>
      <c r="F13" s="1">
        <v>0.43272796632813398</v>
      </c>
      <c r="G13" s="1">
        <v>0.48938989165646402</v>
      </c>
      <c r="H13" s="1">
        <v>0.50782875756780199</v>
      </c>
      <c r="I13" s="1">
        <v>0.31331932804162799</v>
      </c>
      <c r="J13" s="1">
        <v>0.16696700283392399</v>
      </c>
      <c r="K13" s="1">
        <v>0.22330436282296301</v>
      </c>
      <c r="L13" s="1">
        <v>0.25300791622639701</v>
      </c>
      <c r="M13" s="1">
        <v>0.19965972567163601</v>
      </c>
      <c r="N13" s="1">
        <v>0.290289614931799</v>
      </c>
      <c r="O13" s="1">
        <v>0.24887655243286799</v>
      </c>
      <c r="P13" s="1">
        <v>0.22541775482723</v>
      </c>
      <c r="Q13" s="1">
        <f t="shared" si="0"/>
        <v>0.32730246641831301</v>
      </c>
      <c r="R13" s="3">
        <f t="shared" si="1"/>
        <v>0.12172676158858667</v>
      </c>
      <c r="S13" s="1">
        <f>Table13[[#This Row],[average]]-SQRT(Table13[[#This Row],[stdev]])</f>
        <v>-2.1591158614571004E-2</v>
      </c>
    </row>
    <row r="14" spans="1:19" ht="30" customHeight="1">
      <c r="A14" t="str">
        <f>_xlfn.LET(_xlpm.c,_xlfn.SINGLE(Table13[condition]),_xlfn.TEXTBEFORE(_xlpm.c,"-"))</f>
        <v>english</v>
      </c>
      <c r="B14">
        <f>_xlfn.LET(_xlpm.c,_xlfn.SINGLE(Table13[condition]),IF(RIGHT(_xlpm.c,2)="1g",1,0))</f>
        <v>0</v>
      </c>
      <c r="C14" t="s">
        <v>39</v>
      </c>
      <c r="D14" s="1">
        <v>0.84345509795074303</v>
      </c>
      <c r="E14" s="1">
        <v>0.44109009531475202</v>
      </c>
      <c r="F14" s="1">
        <v>0.3728748981226</v>
      </c>
      <c r="G14" s="1">
        <v>0.53265922732151005</v>
      </c>
      <c r="H14" s="1">
        <v>0.40182971631167302</v>
      </c>
      <c r="I14" s="1">
        <v>0.25440543019293199</v>
      </c>
      <c r="J14" s="1">
        <v>0.27416045041258802</v>
      </c>
      <c r="K14" s="1">
        <v>0.40231523800730201</v>
      </c>
      <c r="L14" s="1">
        <v>0.31426953437785499</v>
      </c>
      <c r="M14" s="1">
        <v>0.199377997814807</v>
      </c>
      <c r="N14" s="1">
        <v>0.42546938921116401</v>
      </c>
      <c r="O14" s="1">
        <v>0.25619113128774001</v>
      </c>
      <c r="P14" s="1">
        <v>0.31878409763420901</v>
      </c>
      <c r="Q14" s="1">
        <f t="shared" si="0"/>
        <v>0.3874524849199904</v>
      </c>
      <c r="R14" s="3">
        <f t="shared" si="1"/>
        <v>0.16512495844391151</v>
      </c>
      <c r="S14" s="1">
        <f>Table13[[#This Row],[average]]-SQRT(Table13[[#This Row],[stdev]])</f>
        <v>-1.8903219412939432E-2</v>
      </c>
    </row>
    <row r="15" spans="1:19" ht="30" customHeight="1">
      <c r="A15" t="str">
        <f>_xlfn.LET(_xlpm.c,_xlfn.SINGLE(Table13[condition]),_xlfn.TEXTBEFORE(_xlpm.c,"-"))</f>
        <v>english</v>
      </c>
      <c r="B15">
        <f>_xlfn.LET(_xlpm.c,_xlfn.SINGLE(Table13[condition]),IF(RIGHT(_xlpm.c,2)="1g",1,0))</f>
        <v>0</v>
      </c>
      <c r="C15" t="s">
        <v>40</v>
      </c>
      <c r="D15" s="1">
        <v>0.58444175979426505</v>
      </c>
      <c r="E15" s="1">
        <v>0.45252262120539399</v>
      </c>
      <c r="F15" s="1">
        <v>0.71307895954455602</v>
      </c>
      <c r="G15" s="1">
        <v>0.51649596712899504</v>
      </c>
      <c r="H15" s="1">
        <v>0.34571413966165698</v>
      </c>
      <c r="I15" s="1">
        <v>0.39861935655775899</v>
      </c>
      <c r="J15" s="1">
        <v>0.57437645512212498</v>
      </c>
      <c r="K15" s="1">
        <v>0.41450191405474501</v>
      </c>
      <c r="L15" s="1">
        <v>0.22066121481234</v>
      </c>
      <c r="M15" s="1">
        <v>0.219353959960918</v>
      </c>
      <c r="N15" s="1">
        <v>0.24217339566965601</v>
      </c>
      <c r="O15" s="1">
        <v>0</v>
      </c>
      <c r="P15" s="1">
        <v>0.247809470214571</v>
      </c>
      <c r="Q15" s="1">
        <f t="shared" si="0"/>
        <v>0.37921147797899862</v>
      </c>
      <c r="R15" s="3">
        <f t="shared" si="1"/>
        <v>0.19347306440559203</v>
      </c>
      <c r="S15" s="1">
        <f>Table13[[#This Row],[average]]-SQRT(Table13[[#This Row],[stdev]])</f>
        <v>-6.0644253375717327E-2</v>
      </c>
    </row>
    <row r="16" spans="1:19" ht="30" customHeight="1">
      <c r="A16" t="str">
        <f>_xlfn.LET(_xlpm.c,_xlfn.SINGLE(Table13[condition]),_xlfn.TEXTBEFORE(_xlpm.c,"-"))</f>
        <v>french</v>
      </c>
      <c r="B16">
        <f>_xlfn.LET(_xlpm.c,_xlfn.SINGLE(Table13[condition]),IF(RIGHT(_xlpm.c,2)="1g",1,0))</f>
        <v>1</v>
      </c>
      <c r="C16" t="s">
        <v>21</v>
      </c>
      <c r="D16" s="1">
        <v>0.87914130913120603</v>
      </c>
      <c r="E16" s="1">
        <v>0.776776330371862</v>
      </c>
      <c r="F16" s="1">
        <v>0.76493736930508205</v>
      </c>
      <c r="G16" s="1">
        <v>0.71019542131973001</v>
      </c>
      <c r="H16" s="1">
        <v>0.54499717614940302</v>
      </c>
      <c r="I16" s="1">
        <v>0.118781689230049</v>
      </c>
      <c r="J16" s="1">
        <v>0.31182517276819</v>
      </c>
      <c r="K16" s="1">
        <v>0.28661942877881103</v>
      </c>
      <c r="L16" s="1">
        <v>0.50327711378820095</v>
      </c>
      <c r="M16" s="1">
        <v>0.18112248724365601</v>
      </c>
      <c r="N16" s="1">
        <v>0</v>
      </c>
      <c r="O16" s="1">
        <v>0.31454427279109298</v>
      </c>
      <c r="P16" s="1">
        <v>0</v>
      </c>
      <c r="Q16" s="1">
        <f t="shared" si="0"/>
        <v>0.41478598237517555</v>
      </c>
      <c r="R16" s="3">
        <f t="shared" si="1"/>
        <v>0.30341243028565101</v>
      </c>
      <c r="S16" s="1">
        <f>Table13[[#This Row],[average]]-SQRT(Table13[[#This Row],[stdev]])</f>
        <v>-0.13604287515286922</v>
      </c>
    </row>
    <row r="17" spans="1:19" ht="30" customHeight="1">
      <c r="A17" t="str">
        <f>_xlfn.LET(_xlpm.c,_xlfn.SINGLE(Table13[condition]),_xlfn.TEXTBEFORE(_xlpm.c,"-"))</f>
        <v>french</v>
      </c>
      <c r="B17">
        <f>_xlfn.LET(_xlpm.c,_xlfn.SINGLE(Table13[condition]),IF(RIGHT(_xlpm.c,2)="1g",1,0))</f>
        <v>0</v>
      </c>
      <c r="C17" t="s">
        <v>22</v>
      </c>
      <c r="D17" s="1">
        <v>0.640392047593769</v>
      </c>
      <c r="E17" s="1">
        <v>0.45780869291981702</v>
      </c>
      <c r="F17" s="1">
        <v>0.294246614290818</v>
      </c>
      <c r="G17" s="1">
        <v>0.53398032782773497</v>
      </c>
      <c r="H17" s="1">
        <v>0.235057659312714</v>
      </c>
      <c r="I17" s="1">
        <v>0.23819116085778799</v>
      </c>
      <c r="J17" s="1">
        <v>0</v>
      </c>
      <c r="K17" s="1">
        <v>0.28891106603382299</v>
      </c>
      <c r="L17" s="1">
        <v>0.18321398331388999</v>
      </c>
      <c r="M17" s="1">
        <v>0.34366441909363299</v>
      </c>
      <c r="N17" s="1">
        <v>0</v>
      </c>
      <c r="O17" s="1">
        <v>0.204705871496241</v>
      </c>
      <c r="P17" s="1">
        <v>0.28825793646449999</v>
      </c>
      <c r="Q17" s="1">
        <f t="shared" si="0"/>
        <v>0.28526382916959447</v>
      </c>
      <c r="R17" s="3">
        <f t="shared" si="1"/>
        <v>0.18385964307547387</v>
      </c>
      <c r="S17" s="1">
        <f>Table13[[#This Row],[average]]-SQRT(Table13[[#This Row],[stdev]])</f>
        <v>-0.14352474702556706</v>
      </c>
    </row>
    <row r="18" spans="1:19" ht="30" customHeight="1">
      <c r="A18" t="str">
        <f>_xlfn.LET(_xlpm.c,_xlfn.SINGLE(Table13[condition]),_xlfn.TEXTBEFORE(_xlpm.c,"-"))</f>
        <v>french</v>
      </c>
      <c r="B18">
        <f>_xlfn.LET(_xlpm.c,_xlfn.SINGLE(Table13[condition]),IF(RIGHT(_xlpm.c,2)="1g",1,0))</f>
        <v>0</v>
      </c>
      <c r="C18" t="s">
        <v>23</v>
      </c>
      <c r="D18" s="1">
        <v>0.38585322626504598</v>
      </c>
      <c r="E18" s="1">
        <v>0.44672873271171998</v>
      </c>
      <c r="F18" s="1">
        <v>0.42759660020511298</v>
      </c>
      <c r="G18" s="1">
        <v>0.70058835054597501</v>
      </c>
      <c r="H18" s="1">
        <v>0.593631531410862</v>
      </c>
      <c r="I18" s="1">
        <v>0.53721311583091202</v>
      </c>
      <c r="J18" s="1">
        <v>0.119322489266103</v>
      </c>
      <c r="K18" s="1">
        <v>0.238553527018874</v>
      </c>
      <c r="L18" s="1">
        <v>0.31710131781702999</v>
      </c>
      <c r="M18" s="1">
        <v>0.39260947751208802</v>
      </c>
      <c r="N18" s="1">
        <v>0.31676124338050299</v>
      </c>
      <c r="O18" s="1">
        <v>0.25765227588996298</v>
      </c>
      <c r="P18" s="1">
        <v>0.166214238025752</v>
      </c>
      <c r="Q18" s="1">
        <f t="shared" si="0"/>
        <v>0.37690970199076462</v>
      </c>
      <c r="R18" s="3">
        <f t="shared" si="1"/>
        <v>0.16745823535640986</v>
      </c>
      <c r="S18" s="1">
        <f>Table13[[#This Row],[average]]-SQRT(Table13[[#This Row],[stdev]])</f>
        <v>-3.2306909788876903E-2</v>
      </c>
    </row>
    <row r="19" spans="1:19" ht="30" customHeight="1">
      <c r="A19" t="str">
        <f>_xlfn.LET(_xlpm.c,_xlfn.SINGLE(Table13[condition]),_xlfn.TEXTBEFORE(_xlpm.c,"-"))</f>
        <v>french</v>
      </c>
      <c r="B19">
        <f>_xlfn.LET(_xlpm.c,_xlfn.SINGLE(Table13[condition]),IF(RIGHT(_xlpm.c,2)="1g",1,0))</f>
        <v>0</v>
      </c>
      <c r="C19" t="s">
        <v>24</v>
      </c>
      <c r="D19" s="1">
        <v>0.60938723343328005</v>
      </c>
      <c r="E19" s="1">
        <v>0.68889335919650097</v>
      </c>
      <c r="F19" s="1">
        <v>0.53207117934063997</v>
      </c>
      <c r="G19" s="1">
        <v>0.46451126142121302</v>
      </c>
      <c r="H19" s="1">
        <v>0.39771019995256701</v>
      </c>
      <c r="I19" s="1">
        <v>0.38721647157367201</v>
      </c>
      <c r="J19" s="1">
        <v>0.40721602266183998</v>
      </c>
      <c r="K19" s="1">
        <v>0.30983268631775401</v>
      </c>
      <c r="L19" s="1">
        <v>0.37125951700830701</v>
      </c>
      <c r="M19" s="1">
        <v>0.22768526437282499</v>
      </c>
      <c r="N19" s="1">
        <v>0.34754639573745799</v>
      </c>
      <c r="O19" s="1">
        <v>0.183276889551647</v>
      </c>
      <c r="P19" s="1">
        <v>0.48063043278881601</v>
      </c>
      <c r="Q19" s="1">
        <f t="shared" si="0"/>
        <v>0.41594130102742455</v>
      </c>
      <c r="R19" s="3">
        <f t="shared" si="1"/>
        <v>0.14162570221937676</v>
      </c>
      <c r="S19" s="1">
        <f>Table13[[#This Row],[average]]-SQRT(Table13[[#This Row],[stdev]])</f>
        <v>3.9609396693794152E-2</v>
      </c>
    </row>
    <row r="20" spans="1:19" ht="30" customHeight="1">
      <c r="A20" t="str">
        <f>_xlfn.LET(_xlpm.c,_xlfn.SINGLE(Table13[condition]),_xlfn.TEXTBEFORE(_xlpm.c,"-"))</f>
        <v>french</v>
      </c>
      <c r="B20">
        <f>_xlfn.LET(_xlpm.c,_xlfn.SINGLE(Table13[condition]),IF(RIGHT(_xlpm.c,2)="1g",1,0))</f>
        <v>0</v>
      </c>
      <c r="C20" t="s">
        <v>25</v>
      </c>
      <c r="D20" s="1">
        <v>0.43284042553073199</v>
      </c>
      <c r="E20" s="1">
        <v>0.52314808951910396</v>
      </c>
      <c r="F20" s="1">
        <v>0.45631934174097399</v>
      </c>
      <c r="G20" s="1">
        <v>0.43060992399554299</v>
      </c>
      <c r="H20" s="1">
        <v>0.32105056495154299</v>
      </c>
      <c r="I20" s="1">
        <v>0.602774200099079</v>
      </c>
      <c r="J20" s="1">
        <v>0.49372333842373201</v>
      </c>
      <c r="K20" s="1">
        <v>0.503714419663298</v>
      </c>
      <c r="L20" s="1">
        <v>0.41647671686016202</v>
      </c>
      <c r="M20" s="1">
        <v>0.42861467146142601</v>
      </c>
      <c r="N20" s="1">
        <v>0.19883888332892599</v>
      </c>
      <c r="O20" s="1">
        <v>0.48291689166574697</v>
      </c>
      <c r="P20" s="1">
        <v>0</v>
      </c>
      <c r="Q20" s="1">
        <f t="shared" si="0"/>
        <v>0.40700211286463583</v>
      </c>
      <c r="R20" s="3">
        <f t="shared" si="1"/>
        <v>0.15680078086005339</v>
      </c>
      <c r="S20" s="1">
        <f>Table13[[#This Row],[average]]-SQRT(Table13[[#This Row],[stdev]])</f>
        <v>1.1021329416684433E-2</v>
      </c>
    </row>
    <row r="21" spans="1:19" ht="30" customHeight="1">
      <c r="A21" t="str">
        <f>_xlfn.LET(_xlpm.c,_xlfn.SINGLE(Table13[condition]),_xlfn.TEXTBEFORE(_xlpm.c,"-"))</f>
        <v>french</v>
      </c>
      <c r="B21">
        <f>_xlfn.LET(_xlpm.c,_xlfn.SINGLE(Table13[condition]),IF(RIGHT(_xlpm.c,2)="1g",1,0))</f>
        <v>0</v>
      </c>
      <c r="C21" t="s">
        <v>41</v>
      </c>
      <c r="D21" s="1">
        <v>0.55279529371777403</v>
      </c>
      <c r="E21" s="1">
        <v>0.400541256486865</v>
      </c>
      <c r="F21" s="1">
        <v>0.52319759648642195</v>
      </c>
      <c r="G21" s="1">
        <v>0.44033784247212798</v>
      </c>
      <c r="H21" s="1">
        <v>0.18332517233012999</v>
      </c>
      <c r="I21" s="1">
        <v>0.284744658512187</v>
      </c>
      <c r="J21" s="1">
        <v>0.369470907376936</v>
      </c>
      <c r="K21" s="1">
        <v>0.44075079079684998</v>
      </c>
      <c r="L21" s="1">
        <v>0.18306951498471299</v>
      </c>
      <c r="M21" s="1">
        <v>0.34818310392367902</v>
      </c>
      <c r="N21" s="1">
        <v>0.38614613774548501</v>
      </c>
      <c r="O21" s="1">
        <v>0.224642890025952</v>
      </c>
      <c r="P21" s="1">
        <v>0.24943438402526999</v>
      </c>
      <c r="Q21" s="1">
        <f t="shared" si="0"/>
        <v>0.35281842683726083</v>
      </c>
      <c r="R21" s="3">
        <f t="shared" si="1"/>
        <v>0.12158415345985565</v>
      </c>
      <c r="S21" s="1">
        <f>Table13[[#This Row],[average]]-SQRT(Table13[[#This Row],[stdev]])</f>
        <v>4.1292336295337129E-3</v>
      </c>
    </row>
    <row r="22" spans="1:19" ht="30" customHeight="1">
      <c r="A22" t="str">
        <f>_xlfn.LET(_xlpm.c,_xlfn.SINGLE(Table13[condition]),_xlfn.TEXTBEFORE(_xlpm.c,"-"))</f>
        <v>french</v>
      </c>
      <c r="B22">
        <f>_xlfn.LET(_xlpm.c,_xlfn.SINGLE(Table13[condition]),IF(RIGHT(_xlpm.c,2)="1g",1,0))</f>
        <v>0</v>
      </c>
      <c r="C22" t="s">
        <v>42</v>
      </c>
      <c r="D22" s="1">
        <v>0.45463330576754502</v>
      </c>
      <c r="E22" s="1">
        <v>0.62874472798851699</v>
      </c>
      <c r="F22" s="1">
        <v>0.25657263761549598</v>
      </c>
      <c r="G22" s="1">
        <v>0.41770662486399601</v>
      </c>
      <c r="H22" s="1">
        <v>0.50982247562783101</v>
      </c>
      <c r="I22" s="1">
        <v>0.414873223967196</v>
      </c>
      <c r="J22" s="1">
        <v>0.349253861813346</v>
      </c>
      <c r="K22" s="1">
        <v>0.38584604066265499</v>
      </c>
      <c r="L22" s="1">
        <v>0.250141566416898</v>
      </c>
      <c r="M22" s="1">
        <v>0.37663070087253298</v>
      </c>
      <c r="N22" s="1">
        <v>0.28618081313152799</v>
      </c>
      <c r="O22" s="1">
        <v>0.24842023947215999</v>
      </c>
      <c r="P22" s="1">
        <v>0.21836691674748501</v>
      </c>
      <c r="Q22" s="1">
        <f t="shared" si="0"/>
        <v>0.36901485653439892</v>
      </c>
      <c r="R22" s="3">
        <f t="shared" si="1"/>
        <v>0.11926721726311999</v>
      </c>
      <c r="S22" s="1">
        <f>Table13[[#This Row],[average]]-SQRT(Table13[[#This Row],[stdev]])</f>
        <v>2.3663995433517937E-2</v>
      </c>
    </row>
    <row r="23" spans="1:19" ht="30" customHeight="1">
      <c r="A23" t="str">
        <f>_xlfn.LET(_xlpm.c,_xlfn.SINGLE(Table13[condition]),_xlfn.TEXTBEFORE(_xlpm.c,"-"))</f>
        <v>german</v>
      </c>
      <c r="B23">
        <f>_xlfn.LET(_xlpm.c,_xlfn.SINGLE(Table13[condition]),IF(RIGHT(_xlpm.c,2)="1g",1,0))</f>
        <v>1</v>
      </c>
      <c r="C23" t="s">
        <v>26</v>
      </c>
      <c r="D23" s="1">
        <v>0.94042431231878498</v>
      </c>
      <c r="E23" s="1">
        <v>0.99094466594535102</v>
      </c>
      <c r="F23" s="1">
        <v>0.76654383222234701</v>
      </c>
      <c r="G23" s="1">
        <v>0.69437083249651699</v>
      </c>
      <c r="H23" s="1">
        <v>0.413559163182185</v>
      </c>
      <c r="I23" s="1">
        <v>0.73437597160178503</v>
      </c>
      <c r="J23" s="1">
        <v>0.29038584735183298</v>
      </c>
      <c r="K23" s="1">
        <v>0.26840255011419301</v>
      </c>
      <c r="L23" s="1">
        <v>0.46729674309518199</v>
      </c>
      <c r="M23" s="1">
        <v>0.44081142449011002</v>
      </c>
      <c r="N23" s="1">
        <v>0.20092757568331601</v>
      </c>
      <c r="O23" s="1">
        <v>0</v>
      </c>
      <c r="P23" s="1">
        <v>0</v>
      </c>
      <c r="Q23" s="1">
        <f t="shared" si="0"/>
        <v>0.4775417629616619</v>
      </c>
      <c r="R23" s="3">
        <f t="shared" si="1"/>
        <v>0.32803273784401865</v>
      </c>
      <c r="S23" s="1">
        <f>Table13[[#This Row],[average]]-SQRT(Table13[[#This Row],[stdev]])</f>
        <v>-9.519966023384846E-2</v>
      </c>
    </row>
    <row r="24" spans="1:19" ht="30" customHeight="1">
      <c r="A24" t="str">
        <f>_xlfn.LET(_xlpm.c,_xlfn.SINGLE(Table13[condition]),_xlfn.TEXTBEFORE(_xlpm.c,"-"))</f>
        <v>german</v>
      </c>
      <c r="B24">
        <f>_xlfn.LET(_xlpm.c,_xlfn.SINGLE(Table13[condition]),IF(RIGHT(_xlpm.c,2)="1g",1,0))</f>
        <v>0</v>
      </c>
      <c r="C24" t="s">
        <v>27</v>
      </c>
      <c r="D24" s="1">
        <v>0.64590090806390799</v>
      </c>
      <c r="E24" s="1">
        <v>0.61914868566040804</v>
      </c>
      <c r="F24" s="1">
        <v>0.33286711560238502</v>
      </c>
      <c r="G24" s="1">
        <v>0.27161595785352799</v>
      </c>
      <c r="H24" s="1">
        <v>0.31363484744096398</v>
      </c>
      <c r="I24" s="1">
        <v>0.32001932684760998</v>
      </c>
      <c r="J24" s="1">
        <v>0.32617948728513002</v>
      </c>
      <c r="K24" s="1">
        <v>0.34816062194092201</v>
      </c>
      <c r="L24" s="1">
        <v>0.156417923158963</v>
      </c>
      <c r="M24" s="1">
        <v>0.537830643302184</v>
      </c>
      <c r="N24" s="1">
        <v>0.25732060565394799</v>
      </c>
      <c r="O24" s="1">
        <v>0.429546973675551</v>
      </c>
      <c r="P24" s="1">
        <v>0.59348930638775299</v>
      </c>
      <c r="Q24" s="1">
        <f t="shared" si="0"/>
        <v>0.39631787714409644</v>
      </c>
      <c r="R24" s="3">
        <f t="shared" si="1"/>
        <v>0.15499922883056705</v>
      </c>
      <c r="S24" s="1">
        <f>Table13[[#This Row],[average]]-SQRT(Table13[[#This Row],[stdev]])</f>
        <v>2.6184628308832947E-3</v>
      </c>
    </row>
    <row r="25" spans="1:19" ht="30" customHeight="1">
      <c r="A25" t="str">
        <f>_xlfn.LET(_xlpm.c,_xlfn.SINGLE(Table13[condition]),_xlfn.TEXTBEFORE(_xlpm.c,"-"))</f>
        <v>german</v>
      </c>
      <c r="B25">
        <f>_xlfn.LET(_xlpm.c,_xlfn.SINGLE(Table13[condition]),IF(RIGHT(_xlpm.c,2)="1g",1,0))</f>
        <v>0</v>
      </c>
      <c r="C25" t="s">
        <v>28</v>
      </c>
      <c r="D25" s="1">
        <v>0.75718024400140804</v>
      </c>
      <c r="E25" s="1">
        <v>0.78497042294789598</v>
      </c>
      <c r="F25" s="1">
        <v>0.57979726687005795</v>
      </c>
      <c r="G25" s="1">
        <v>0.51629335097916595</v>
      </c>
      <c r="H25" s="1">
        <v>0.15327486796473899</v>
      </c>
      <c r="I25" s="1">
        <v>0.60842721093151597</v>
      </c>
      <c r="J25" s="1">
        <v>0.40218382304195699</v>
      </c>
      <c r="K25" s="1">
        <v>0.55855916915163895</v>
      </c>
      <c r="L25" s="1">
        <v>0.46375218679847602</v>
      </c>
      <c r="M25" s="1">
        <v>0.31479979316849899</v>
      </c>
      <c r="N25" s="1">
        <v>0.36478587560876102</v>
      </c>
      <c r="O25" s="1">
        <v>0.56254195673465801</v>
      </c>
      <c r="P25" s="1">
        <v>0.70700963550516605</v>
      </c>
      <c r="Q25" s="1">
        <f t="shared" si="0"/>
        <v>0.52104429259261065</v>
      </c>
      <c r="R25" s="3">
        <f t="shared" si="1"/>
        <v>0.18116705257382704</v>
      </c>
      <c r="S25" s="1">
        <f>Table13[[#This Row],[average]]-SQRT(Table13[[#This Row],[stdev]])</f>
        <v>9.5407061404093663E-2</v>
      </c>
    </row>
    <row r="26" spans="1:19" ht="30" customHeight="1">
      <c r="A26" t="str">
        <f>_xlfn.LET(_xlpm.c,_xlfn.SINGLE(Table13[condition]),_xlfn.TEXTBEFORE(_xlpm.c,"-"))</f>
        <v>german</v>
      </c>
      <c r="B26">
        <f>_xlfn.LET(_xlpm.c,_xlfn.SINGLE(Table13[condition]),IF(RIGHT(_xlpm.c,2)="1g",1,0))</f>
        <v>0</v>
      </c>
      <c r="C26" t="s">
        <v>29</v>
      </c>
      <c r="D26" s="1">
        <v>0.67908800612833398</v>
      </c>
      <c r="E26" s="1">
        <v>0.685075490961636</v>
      </c>
      <c r="F26" s="1">
        <v>0.46403036688765997</v>
      </c>
      <c r="G26" s="1">
        <v>0.42203219785453999</v>
      </c>
      <c r="H26" s="1">
        <v>0.48502115148215502</v>
      </c>
      <c r="I26" s="1">
        <v>0.57294876862285804</v>
      </c>
      <c r="J26" s="1">
        <v>0.42799501655390598</v>
      </c>
      <c r="K26" s="1">
        <v>0.257657954828654</v>
      </c>
      <c r="L26" s="1">
        <v>0.52741799586628402</v>
      </c>
      <c r="M26" s="1">
        <v>0.48572407819003099</v>
      </c>
      <c r="N26" s="1">
        <v>0.43530494770712902</v>
      </c>
      <c r="O26" s="1">
        <v>0.50100270501706101</v>
      </c>
      <c r="P26" s="1">
        <v>0.49364443264873098</v>
      </c>
      <c r="Q26" s="1">
        <f t="shared" si="0"/>
        <v>0.49514947021145994</v>
      </c>
      <c r="R26" s="3">
        <f t="shared" si="1"/>
        <v>0.11106869300591497</v>
      </c>
      <c r="S26" s="1">
        <f>Table13[[#This Row],[average]]-SQRT(Table13[[#This Row],[stdev]])</f>
        <v>0.16187977010970306</v>
      </c>
    </row>
    <row r="27" spans="1:19" ht="30" customHeight="1">
      <c r="A27" t="str">
        <f>_xlfn.LET(_xlpm.c,_xlfn.SINGLE(Table13[condition]),_xlfn.TEXTBEFORE(_xlpm.c,"-"))</f>
        <v>german</v>
      </c>
      <c r="B27">
        <f>_xlfn.LET(_xlpm.c,_xlfn.SINGLE(Table13[condition]),IF(RIGHT(_xlpm.c,2)="1g",1,0))</f>
        <v>0</v>
      </c>
      <c r="C27" t="s">
        <v>30</v>
      </c>
      <c r="D27" s="1">
        <v>0.71527417147697603</v>
      </c>
      <c r="E27" s="1">
        <v>0.76974548627218997</v>
      </c>
      <c r="F27" s="1">
        <v>0.61994745641918603</v>
      </c>
      <c r="G27" s="1">
        <v>0.42231091562184397</v>
      </c>
      <c r="H27" s="1">
        <v>0.51108035938534102</v>
      </c>
      <c r="I27" s="1">
        <v>0.59083101074334698</v>
      </c>
      <c r="J27" s="1">
        <v>0.336222377717802</v>
      </c>
      <c r="K27" s="1">
        <v>0.38123288958396601</v>
      </c>
      <c r="L27" s="1">
        <v>0.48475381698037301</v>
      </c>
      <c r="M27" s="1">
        <v>0.49867191119231802</v>
      </c>
      <c r="N27" s="1">
        <v>0.45837088303115098</v>
      </c>
      <c r="O27" s="1">
        <v>0.48317944915497202</v>
      </c>
      <c r="P27" s="1">
        <v>0.47987014105925702</v>
      </c>
      <c r="Q27" s="1">
        <f t="shared" si="0"/>
        <v>0.51934545143374788</v>
      </c>
      <c r="R27" s="3">
        <f t="shared" si="1"/>
        <v>0.1247064875412786</v>
      </c>
      <c r="S27" s="1">
        <f>Table13[[#This Row],[average]]-SQRT(Table13[[#This Row],[stdev]])</f>
        <v>0.16620739409458402</v>
      </c>
    </row>
    <row r="28" spans="1:19" ht="30" customHeight="1">
      <c r="A28" t="str">
        <f>_xlfn.LET(_xlpm.c,_xlfn.SINGLE(Table13[condition]),_xlfn.TEXTBEFORE(_xlpm.c,"-"))</f>
        <v>german</v>
      </c>
      <c r="B28">
        <f>_xlfn.LET(_xlpm.c,_xlfn.SINGLE(Table13[condition]),IF(RIGHT(_xlpm.c,2)="1g",1,0))</f>
        <v>0</v>
      </c>
      <c r="C28" t="s">
        <v>43</v>
      </c>
      <c r="D28" s="1">
        <v>0.55764869430917996</v>
      </c>
      <c r="E28" s="1">
        <v>0.65679584020849402</v>
      </c>
      <c r="F28" s="1">
        <v>0.584569262951804</v>
      </c>
      <c r="G28" s="1">
        <v>0.60856215553344895</v>
      </c>
      <c r="H28" s="1">
        <v>0.54142772025207797</v>
      </c>
      <c r="I28" s="1">
        <v>0.62349247345403402</v>
      </c>
      <c r="J28" s="1">
        <v>0.75614251545490296</v>
      </c>
      <c r="K28" s="1">
        <v>0.29381308844194198</v>
      </c>
      <c r="L28" s="1">
        <v>0.474763539066204</v>
      </c>
      <c r="M28" s="1">
        <v>0.32615588427786502</v>
      </c>
      <c r="N28" s="1">
        <v>0.545148336002099</v>
      </c>
      <c r="O28" s="1">
        <v>0</v>
      </c>
      <c r="P28" s="1">
        <v>0.482616527942344</v>
      </c>
      <c r="Q28" s="1">
        <f t="shared" si="0"/>
        <v>0.49624123368418438</v>
      </c>
      <c r="R28" s="3">
        <f t="shared" si="1"/>
        <v>0.19471137436823585</v>
      </c>
      <c r="S28" s="1">
        <f>Table13[[#This Row],[average]]-SQRT(Table13[[#This Row],[stdev]])</f>
        <v>5.4980115559965514E-2</v>
      </c>
    </row>
    <row r="29" spans="1:19" ht="30" customHeight="1">
      <c r="A29" t="str">
        <f>_xlfn.LET(_xlpm.c,_xlfn.SINGLE(Table13[condition]),_xlfn.TEXTBEFORE(_xlpm.c,"-"))</f>
        <v>german</v>
      </c>
      <c r="B29">
        <f>_xlfn.LET(_xlpm.c,_xlfn.SINGLE(Table13[condition]),IF(RIGHT(_xlpm.c,2)="1g",1,0))</f>
        <v>0</v>
      </c>
      <c r="C29" t="s">
        <v>44</v>
      </c>
      <c r="D29" s="1">
        <v>0.61841830555828803</v>
      </c>
      <c r="E29" s="1">
        <v>0.52258256425332394</v>
      </c>
      <c r="F29" s="1">
        <v>0.62632544492531805</v>
      </c>
      <c r="G29" s="1">
        <v>0.57416065089156998</v>
      </c>
      <c r="H29" s="1">
        <v>0.57316409679387303</v>
      </c>
      <c r="I29" s="1">
        <v>0.57592990492943696</v>
      </c>
      <c r="J29" s="1">
        <v>0.53963692427483501</v>
      </c>
      <c r="K29" s="1">
        <v>0.42449917600847997</v>
      </c>
      <c r="L29" s="1">
        <v>0.34757957903106201</v>
      </c>
      <c r="M29" s="1">
        <v>0.28501134625054603</v>
      </c>
      <c r="N29" s="1">
        <v>0.32974327735648101</v>
      </c>
      <c r="O29" s="1">
        <v>0.329558678799726</v>
      </c>
      <c r="P29" s="1">
        <v>0.37427210479432799</v>
      </c>
      <c r="Q29" s="1">
        <f t="shared" si="0"/>
        <v>0.47083708106671296</v>
      </c>
      <c r="R29" s="3">
        <f t="shared" si="1"/>
        <v>0.12470685708165069</v>
      </c>
      <c r="S29" s="1">
        <f>Table13[[#This Row],[average]]-SQRT(Table13[[#This Row],[stdev]])</f>
        <v>0.11769850050427894</v>
      </c>
    </row>
    <row r="30" spans="1:19" ht="30" customHeight="1">
      <c r="A30" t="str">
        <f>_xlfn.LET(_xlpm.c,_xlfn.SINGLE(Table13[condition]),_xlfn.TEXTBEFORE(_xlpm.c,"-"))</f>
        <v>russian</v>
      </c>
      <c r="B30">
        <f>_xlfn.LET(_xlpm.c,_xlfn.SINGLE(Table13[condition]),IF(RIGHT(_xlpm.c,2)="1g",1,0))</f>
        <v>1</v>
      </c>
      <c r="C30" t="s">
        <v>31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f t="shared" si="0"/>
        <v>1</v>
      </c>
      <c r="R30" s="3">
        <f t="shared" si="1"/>
        <v>0</v>
      </c>
      <c r="S30" s="1">
        <f>Table13[[#This Row],[average]]-SQRT(Table13[[#This Row],[stdev]])</f>
        <v>1</v>
      </c>
    </row>
    <row r="31" spans="1:19" ht="30" customHeight="1">
      <c r="A31" t="str">
        <f>_xlfn.LET(_xlpm.c,_xlfn.SINGLE(Table13[condition]),_xlfn.TEXTBEFORE(_xlpm.c,"-"))</f>
        <v>russian</v>
      </c>
      <c r="B31">
        <f>_xlfn.LET(_xlpm.c,_xlfn.SINGLE(Table13[condition]),IF(RIGHT(_xlpm.c,2)="1g",1,0))</f>
        <v>0</v>
      </c>
      <c r="C31" t="s">
        <v>32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f t="shared" si="0"/>
        <v>1</v>
      </c>
      <c r="R31" s="3">
        <f t="shared" si="1"/>
        <v>0</v>
      </c>
      <c r="S31" s="1">
        <f>Table13[[#This Row],[average]]-SQRT(Table13[[#This Row],[stdev]])</f>
        <v>1</v>
      </c>
    </row>
    <row r="32" spans="1:19" ht="30" customHeight="1">
      <c r="A32" t="str">
        <f>_xlfn.LET(_xlpm.c,_xlfn.SINGLE(Table13[condition]),_xlfn.TEXTBEFORE(_xlpm.c,"-"))</f>
        <v>russian</v>
      </c>
      <c r="B32">
        <f>_xlfn.LET(_xlpm.c,_xlfn.SINGLE(Table13[condition]),IF(RIGHT(_xlpm.c,2)="1g",1,0))</f>
        <v>0</v>
      </c>
      <c r="C32" t="s">
        <v>33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 t="shared" si="0"/>
        <v>1</v>
      </c>
      <c r="R32" s="3">
        <f t="shared" si="1"/>
        <v>0</v>
      </c>
      <c r="S32" s="1">
        <f>Table13[[#This Row],[average]]-SQRT(Table13[[#This Row],[stdev]])</f>
        <v>1</v>
      </c>
    </row>
    <row r="33" spans="1:19" ht="30" customHeight="1">
      <c r="A33" t="str">
        <f>_xlfn.LET(_xlpm.c,_xlfn.SINGLE(Table13[condition]),_xlfn.TEXTBEFORE(_xlpm.c,"-"))</f>
        <v>russian</v>
      </c>
      <c r="B33">
        <f>_xlfn.LET(_xlpm.c,_xlfn.SINGLE(Table13[condition]),IF(RIGHT(_xlpm.c,2)="1g",1,0))</f>
        <v>0</v>
      </c>
      <c r="C33" t="s">
        <v>34</v>
      </c>
      <c r="D33" s="1">
        <v>1</v>
      </c>
      <c r="E33" s="1">
        <v>0.99841256641768805</v>
      </c>
      <c r="F33" s="1">
        <v>1</v>
      </c>
      <c r="G33" s="1">
        <v>1</v>
      </c>
      <c r="H33" s="1">
        <v>1</v>
      </c>
      <c r="I33" s="1">
        <v>0.90700490545652201</v>
      </c>
      <c r="J33" s="1">
        <v>0.99673840199256303</v>
      </c>
      <c r="K33" s="1">
        <v>1</v>
      </c>
      <c r="L33" s="1">
        <v>1</v>
      </c>
      <c r="M33" s="1">
        <v>1</v>
      </c>
      <c r="N33" s="1">
        <v>0.60395815363122796</v>
      </c>
      <c r="O33" s="1">
        <v>1</v>
      </c>
      <c r="P33" s="1">
        <v>0.98275349237887699</v>
      </c>
      <c r="Q33" s="1">
        <f t="shared" si="0"/>
        <v>0.96068211691360594</v>
      </c>
      <c r="R33" s="3">
        <f t="shared" si="1"/>
        <v>0.11019346040081221</v>
      </c>
      <c r="S33" s="1">
        <f>Table13[[#This Row],[average]]-SQRT(Table13[[#This Row],[stdev]])</f>
        <v>0.62872811347214697</v>
      </c>
    </row>
    <row r="34" spans="1:19" ht="30" customHeight="1">
      <c r="A34" t="str">
        <f>_xlfn.LET(_xlpm.c,_xlfn.SINGLE(Table13[condition]),_xlfn.TEXTBEFORE(_xlpm.c,"-"))</f>
        <v>russian</v>
      </c>
      <c r="B34">
        <f>_xlfn.LET(_xlpm.c,_xlfn.SINGLE(Table13[condition]),IF(RIGHT(_xlpm.c,2)="1g",1,0))</f>
        <v>0</v>
      </c>
      <c r="C34" t="s">
        <v>35</v>
      </c>
      <c r="D34" s="1">
        <v>0.99403753550697005</v>
      </c>
      <c r="E34" s="1">
        <v>0.92807280264757197</v>
      </c>
      <c r="F34" s="1">
        <v>0.99587765036466602</v>
      </c>
      <c r="G34" s="1">
        <v>0.99098963192581102</v>
      </c>
      <c r="H34" s="1">
        <v>0.83378553865830796</v>
      </c>
      <c r="I34" s="1">
        <v>0.97627163617615798</v>
      </c>
      <c r="J34" s="1">
        <v>0.83938876316392297</v>
      </c>
      <c r="K34" s="1">
        <v>0.98010250190036197</v>
      </c>
      <c r="L34" s="1">
        <v>0.97664276386776605</v>
      </c>
      <c r="M34" s="1">
        <v>1</v>
      </c>
      <c r="N34" s="1">
        <v>0.79224834991460402</v>
      </c>
      <c r="O34" s="1">
        <v>0.99068883026462096</v>
      </c>
      <c r="P34" s="1">
        <v>0.97977907004528997</v>
      </c>
      <c r="Q34" s="1">
        <f t="shared" si="0"/>
        <v>0.94445269803354226</v>
      </c>
      <c r="R34" s="3">
        <f t="shared" si="1"/>
        <v>7.2903916273915154E-2</v>
      </c>
      <c r="S34" s="1">
        <f>Table13[[#This Row],[average]]-SQRT(Table13[[#This Row],[stdev]])</f>
        <v>0.67444544577183885</v>
      </c>
    </row>
    <row r="35" spans="1:19" ht="30" customHeight="1">
      <c r="A35" t="str">
        <f>_xlfn.LET(_xlpm.c,_xlfn.SINGLE(Table13[condition]),_xlfn.TEXTBEFORE(_xlpm.c,"-"))</f>
        <v>russian</v>
      </c>
      <c r="B35">
        <f>_xlfn.LET(_xlpm.c,_xlfn.SINGLE(Table13[condition]),IF(RIGHT(_xlpm.c,2)="1g",1,0))</f>
        <v>0</v>
      </c>
      <c r="C35" t="s">
        <v>45</v>
      </c>
      <c r="D35" s="1">
        <v>0.99009733821811796</v>
      </c>
      <c r="E35" s="1">
        <v>0.99869264363972698</v>
      </c>
      <c r="F35" s="1">
        <v>1</v>
      </c>
      <c r="G35" s="1">
        <v>0.94144043094938001</v>
      </c>
      <c r="H35" s="1">
        <v>0.99873733146369303</v>
      </c>
      <c r="I35" s="1">
        <v>1</v>
      </c>
      <c r="J35" s="1">
        <v>0.98635999812405295</v>
      </c>
      <c r="K35" s="1">
        <v>1</v>
      </c>
      <c r="L35" s="1">
        <v>1</v>
      </c>
      <c r="M35" s="1">
        <v>0.956742482084734</v>
      </c>
      <c r="N35" s="1">
        <v>0.99629629629629601</v>
      </c>
      <c r="O35" s="1">
        <v>0.90933872471504795</v>
      </c>
      <c r="P35" s="1">
        <v>0.95811839241327201</v>
      </c>
      <c r="Q35" s="1">
        <f t="shared" si="0"/>
        <v>0.97967874137725552</v>
      </c>
      <c r="R35" s="3">
        <f t="shared" si="1"/>
        <v>2.916434608804138E-2</v>
      </c>
      <c r="S35" s="1">
        <f>Table13[[#This Row],[average]]-SQRT(Table13[[#This Row],[stdev]])</f>
        <v>0.80890302270495307</v>
      </c>
    </row>
    <row r="36" spans="1:19" ht="30" customHeight="1">
      <c r="A36" t="str">
        <f>_xlfn.LET(_xlpm.c,_xlfn.SINGLE(Table13[condition]),_xlfn.TEXTBEFORE(_xlpm.c,"-"))</f>
        <v>russian</v>
      </c>
      <c r="B36">
        <f>_xlfn.LET(_xlpm.c,_xlfn.SINGLE(Table13[condition]),IF(RIGHT(_xlpm.c,2)="1g",1,0))</f>
        <v>0</v>
      </c>
      <c r="C36" t="s">
        <v>46</v>
      </c>
      <c r="D36" s="1">
        <v>0.98567502616823599</v>
      </c>
      <c r="E36" s="1">
        <v>0.95242292519133898</v>
      </c>
      <c r="F36" s="1">
        <v>1</v>
      </c>
      <c r="G36" s="1">
        <v>0.99708267955116403</v>
      </c>
      <c r="H36" s="1">
        <v>0.99063509806476002</v>
      </c>
      <c r="I36" s="1">
        <v>0.89357613114403101</v>
      </c>
      <c r="J36" s="1">
        <v>0.99774769062075497</v>
      </c>
      <c r="K36" s="1">
        <v>0.54793216611455497</v>
      </c>
      <c r="L36" s="1">
        <v>0.99525981161406096</v>
      </c>
      <c r="M36" s="1">
        <v>0.97359441621397302</v>
      </c>
      <c r="N36" s="1">
        <v>0.96880819802572804</v>
      </c>
      <c r="O36" s="1">
        <v>0.49230613812547602</v>
      </c>
      <c r="P36" s="1">
        <v>0.95926265062732896</v>
      </c>
      <c r="Q36" s="1">
        <f t="shared" si="0"/>
        <v>0.90417714857395448</v>
      </c>
      <c r="R36" s="3">
        <f t="shared" si="1"/>
        <v>0.17320518441844668</v>
      </c>
      <c r="S36" s="1">
        <f>Table13[[#This Row],[average]]-SQRT(Table13[[#This Row],[stdev]])</f>
        <v>0.48799787900560287</v>
      </c>
    </row>
    <row r="38" spans="1:19" ht="30" customHeight="1">
      <c r="C38" t="s">
        <v>65</v>
      </c>
    </row>
    <row r="39" spans="1:19" ht="30" customHeight="1">
      <c r="C39" t="s">
        <v>53</v>
      </c>
      <c r="D39" s="2">
        <f>_xlfn.LET(_xlpm.d,D$2:D$36,AVERAGE(_xlpm.d))</f>
        <v>0.77065611896368502</v>
      </c>
      <c r="E39" s="2">
        <f t="shared" ref="E39:Q39" si="2">_xlfn.LET(_xlpm.d,E$2:E$36,AVERAGE(_xlpm.d))</f>
        <v>0.73958351420577007</v>
      </c>
      <c r="F39" s="2">
        <f t="shared" si="2"/>
        <v>0.69846235754024499</v>
      </c>
      <c r="G39" s="2">
        <f t="shared" si="2"/>
        <v>0.7008411520690716</v>
      </c>
      <c r="H39" s="2">
        <f t="shared" si="2"/>
        <v>0.64023818318596404</v>
      </c>
      <c r="I39" s="2">
        <f t="shared" si="2"/>
        <v>0.6378968961124527</v>
      </c>
      <c r="J39" s="2">
        <f t="shared" si="2"/>
        <v>0.60958815160079582</v>
      </c>
      <c r="K39" s="2">
        <f t="shared" si="2"/>
        <v>0.59176807921193297</v>
      </c>
      <c r="L39" s="2">
        <f t="shared" si="2"/>
        <v>0.59230879024883054</v>
      </c>
      <c r="M39" s="2">
        <f t="shared" si="2"/>
        <v>0.58277496575146681</v>
      </c>
      <c r="N39" s="2">
        <f t="shared" si="2"/>
        <v>0.53913444454155102</v>
      </c>
      <c r="O39" s="2">
        <f t="shared" si="2"/>
        <v>0.52898238125608421</v>
      </c>
      <c r="P39" s="2">
        <f t="shared" si="2"/>
        <v>0.54923017792576978</v>
      </c>
      <c r="Q39" s="2">
        <f t="shared" si="2"/>
        <v>0.62934347789335554</v>
      </c>
    </row>
    <row r="40" spans="1:19" ht="30" customHeight="1">
      <c r="C40" t="s">
        <v>54</v>
      </c>
      <c r="D40" s="2" cm="1">
        <f t="array" ref="D40">_xlfn.LET(_xlpm.d,D$2:D$36,_xlpm.f,$A$2:$A$36,_xlpm.k,$C40,AVERAGE(_xlfn._xlws.FILTER(_xlpm.d,_xlpm.f=_xlpm.k)))</f>
        <v>0.99407342343836758</v>
      </c>
      <c r="E40" s="2" cm="1">
        <f t="array" ref="E40">_xlfn.LET(_xlpm.d,E$2:E$36,_xlpm.f,$A$2:$A$36,_xlpm.k,$C40,AVERAGE(_xlfn._xlws.FILTER(_xlpm.d,_xlpm.f=_xlpm.k)))</f>
        <v>0.99666481341624835</v>
      </c>
      <c r="F40" s="2" cm="1">
        <f t="array" ref="F40">_xlfn.LET(_xlpm.d,F$2:F$36,_xlpm.f,$A$2:$A$36,_xlpm.k,$C40,AVERAGE(_xlfn._xlws.FILTER(_xlpm.d,_xlpm.f=_xlpm.k)))</f>
        <v>0.99466331945729625</v>
      </c>
      <c r="G40" s="2" cm="1">
        <f t="array" ref="G40">_xlfn.LET(_xlpm.d,G$2:G$36,_xlpm.f,$A$2:$A$36,_xlpm.k,$C40,AVERAGE(_xlfn._xlws.FILTER(_xlpm.d,_xlpm.f=_xlpm.k)))</f>
        <v>0.98580216347968874</v>
      </c>
      <c r="H40" s="2" cm="1">
        <f t="array" ref="H40">_xlfn.LET(_xlpm.d,H$2:H$36,_xlpm.f,$A$2:$A$36,_xlpm.k,$C40,AVERAGE(_xlfn._xlws.FILTER(_xlpm.d,_xlpm.f=_xlpm.k)))</f>
        <v>0.99591339862690442</v>
      </c>
      <c r="I40" s="2" cm="1">
        <f t="array" ref="I40">_xlfn.LET(_xlpm.d,I$2:I$36,_xlpm.f,$A$2:$A$36,_xlpm.k,$C40,AVERAGE(_xlfn._xlws.FILTER(_xlpm.d,_xlpm.f=_xlpm.k)))</f>
        <v>0.98960395913618593</v>
      </c>
      <c r="J40" s="2" cm="1">
        <f t="array" ref="J40">_xlfn.LET(_xlpm.d,J$2:J$36,_xlpm.f,$A$2:$A$36,_xlpm.k,$C40,AVERAGE(_xlfn._xlws.FILTER(_xlpm.d,_xlpm.f=_xlpm.k)))</f>
        <v>0.97046163545043818</v>
      </c>
      <c r="K40" s="2" cm="1">
        <f t="array" ref="K40">_xlfn.LET(_xlpm.d,K$2:K$36,_xlpm.f,$A$2:$A$36,_xlpm.k,$C40,AVERAGE(_xlfn._xlws.FILTER(_xlpm.d,_xlpm.f=_xlpm.k)))</f>
        <v>0.98283935681453494</v>
      </c>
      <c r="L40" s="2" cm="1">
        <f t="array" ref="L40">_xlfn.LET(_xlpm.d,L$2:L$36,_xlpm.f,$A$2:$A$36,_xlpm.k,$C40,AVERAGE(_xlfn._xlws.FILTER(_xlpm.d,_xlpm.f=_xlpm.k)))</f>
        <v>0.99438557178794407</v>
      </c>
      <c r="M40" s="2" cm="1">
        <f t="array" ref="M40">_xlfn.LET(_xlpm.d,M$2:M$36,_xlpm.f,$A$2:$A$36,_xlpm.k,$C40,AVERAGE(_xlfn._xlws.FILTER(_xlpm.d,_xlpm.f=_xlpm.k)))</f>
        <v>0.92887895315886126</v>
      </c>
      <c r="N40" s="2" cm="1">
        <f t="array" ref="N40">_xlfn.LET(_xlpm.d,N$2:N$36,_xlpm.f,$A$2:$A$36,_xlpm.k,$C40,AVERAGE(_xlfn._xlws.FILTER(_xlpm.d,_xlpm.f=_xlpm.k)))</f>
        <v>0.95608020506061187</v>
      </c>
      <c r="O40" s="2" cm="1">
        <f t="array" ref="O40">_xlfn.LET(_xlpm.d,O$2:O$36,_xlpm.f,$A$2:$A$36,_xlpm.k,$C40,AVERAGE(_xlfn._xlws.FILTER(_xlpm.d,_xlpm.f=_xlpm.k)))</f>
        <v>0.99957039665171299</v>
      </c>
      <c r="P40" s="2" cm="1">
        <f t="array" ref="P40">_xlfn.LET(_xlpm.d,P$2:P$36,_xlpm.f,$A$2:$A$36,_xlpm.k,$C40,AVERAGE(_xlfn._xlws.FILTER(_xlpm.d,_xlpm.f=_xlpm.k)))</f>
        <v>0.8954945496808373</v>
      </c>
      <c r="Q40" s="2" cm="1">
        <f t="array" ref="Q40">_xlfn.LET(_xlpm.d,Q$2:Q$36,_xlpm.f,$A$2:$A$36,_xlpm.k,$C40,AVERAGE(_xlfn._xlws.FILTER(_xlpm.d,_xlpm.f=_xlpm.k)))</f>
        <v>0.97572551893535631</v>
      </c>
    </row>
    <row r="41" spans="1:19" ht="30" customHeight="1">
      <c r="C41" t="s">
        <v>56</v>
      </c>
      <c r="D41" s="2" cm="1">
        <f t="array" ref="D41">_xlfn.LET(_xlpm.d,D$2:D$36,_xlpm.f,$A$2:$A$36,_xlpm.k,$C41,AVERAGE(_xlfn._xlws.FILTER(_xlpm.d,_xlpm.f=_xlpm.k)))</f>
        <v>0.59652325949583562</v>
      </c>
      <c r="E41" s="2" cm="1">
        <f t="array" ref="E41">_xlfn.LET(_xlpm.d,E$2:E$36,_xlpm.f,$A$2:$A$36,_xlpm.k,$C41,AVERAGE(_xlfn._xlws.FILTER(_xlpm.d,_xlpm.f=_xlpm.k)))</f>
        <v>0.43989485999259986</v>
      </c>
      <c r="F41" s="2" cm="1">
        <f t="array" ref="F41">_xlfn.LET(_xlpm.d,F$2:F$36,_xlpm.f,$A$2:$A$36,_xlpm.k,$C41,AVERAGE(_xlfn._xlws.FILTER(_xlpm.d,_xlpm.f=_xlpm.k)))</f>
        <v>0.4655199346399333</v>
      </c>
      <c r="G41" s="2" cm="1">
        <f t="array" ref="G41">_xlfn.LET(_xlpm.d,G$2:G$36,_xlpm.f,$A$2:$A$36,_xlpm.k,$C41,AVERAGE(_xlfn._xlws.FILTER(_xlpm.d,_xlpm.f=_xlpm.k)))</f>
        <v>0.49886237456519994</v>
      </c>
      <c r="H41" s="2" cm="1">
        <f t="array" ref="H41">_xlfn.LET(_xlpm.d,H$2:H$36,_xlpm.f,$A$2:$A$36,_xlpm.k,$C41,AVERAGE(_xlfn._xlws.FILTER(_xlpm.d,_xlpm.f=_xlpm.k)))</f>
        <v>0.40528966667103755</v>
      </c>
      <c r="I41" s="2" cm="1">
        <f t="array" ref="I41">_xlfn.LET(_xlpm.d,I$2:I$36,_xlpm.f,$A$2:$A$36,_xlpm.k,$C41,AVERAGE(_xlfn._xlws.FILTER(_xlpm.d,_xlpm.f=_xlpm.k)))</f>
        <v>0.28749882714348057</v>
      </c>
      <c r="J41" s="2" cm="1">
        <f t="array" ref="J41">_xlfn.LET(_xlpm.d,J$2:J$36,_xlpm.f,$A$2:$A$36,_xlpm.k,$C41,AVERAGE(_xlfn._xlws.FILTER(_xlpm.d,_xlpm.f=_xlpm.k)))</f>
        <v>0.37036588856899638</v>
      </c>
      <c r="K41" s="2" cm="1">
        <f t="array" ref="K41">_xlfn.LET(_xlpm.d,K$2:K$36,_xlpm.f,$A$2:$A$36,_xlpm.k,$C41,AVERAGE(_xlfn._xlws.FILTER(_xlpm.d,_xlpm.f=_xlpm.k)))</f>
        <v>0.33105988533701869</v>
      </c>
      <c r="L41" s="2" cm="1">
        <f t="array" ref="L41">_xlfn.LET(_xlpm.d,L$2:L$36,_xlpm.f,$A$2:$A$36,_xlpm.k,$C41,AVERAGE(_xlfn._xlws.FILTER(_xlpm.d,_xlpm.f=_xlpm.k)))</f>
        <v>0.23595493807512641</v>
      </c>
      <c r="M41" s="2" cm="1">
        <f t="array" ref="M41">_xlfn.LET(_xlpm.d,M$2:M$36,_xlpm.f,$A$2:$A$36,_xlpm.k,$C41,AVERAGE(_xlfn._xlws.FILTER(_xlpm.d,_xlpm.f=_xlpm.k)))</f>
        <v>0.25387414650560081</v>
      </c>
      <c r="N41" s="2" cm="1">
        <f t="array" ref="N41">_xlfn.LET(_xlpm.d,N$2:N$36,_xlpm.f,$A$2:$A$36,_xlpm.k,$C41,AVERAGE(_xlfn._xlws.FILTER(_xlpm.d,_xlpm.f=_xlpm.k)))</f>
        <v>0.241251164470766</v>
      </c>
      <c r="O41" s="2" cm="1">
        <f t="array" ref="O41">_xlfn.LET(_xlpm.d,O$2:O$36,_xlpm.f,$A$2:$A$36,_xlpm.k,$C41,AVERAGE(_xlfn._xlws.FILTER(_xlpm.d,_xlpm.f=_xlpm.k)))</f>
        <v>0.129009682860148</v>
      </c>
      <c r="P41" s="2" cm="1">
        <f t="array" ref="P41">_xlfn.LET(_xlpm.d,P$2:P$36,_xlpm.f,$A$2:$A$36,_xlpm.k,$C41,AVERAGE(_xlfn._xlws.FILTER(_xlpm.d,_xlpm.f=_xlpm.k)))</f>
        <v>0.22012495968313056</v>
      </c>
      <c r="Q41" s="2" cm="1">
        <f t="array" ref="Q41">_xlfn.LET(_xlpm.d,Q$2:Q$36,_xlpm.f,$A$2:$A$36,_xlpm.k,$C41,AVERAGE(_xlfn._xlws.FILTER(_xlpm.d,_xlpm.f=_xlpm.k)))</f>
        <v>0.34424842984683651</v>
      </c>
    </row>
    <row r="42" spans="1:19" ht="30" customHeight="1">
      <c r="C42" t="s">
        <v>57</v>
      </c>
      <c r="D42" s="2" cm="1">
        <f t="array" ref="D42">_xlfn.LET(_xlpm.d,D$2:D$36,_xlpm.f,$A$2:$A$36,_xlpm.k,$C42,AVERAGE(_xlfn._xlws.FILTER(_xlpm.d,_xlpm.f=_xlpm.k)))</f>
        <v>0.56500612020562169</v>
      </c>
      <c r="E42" s="2" cm="1">
        <f t="array" ref="E42">_xlfn.LET(_xlpm.d,E$2:E$36,_xlpm.f,$A$2:$A$36,_xlpm.k,$C42,AVERAGE(_xlfn._xlws.FILTER(_xlpm.d,_xlpm.f=_xlpm.k)))</f>
        <v>0.56037731274205516</v>
      </c>
      <c r="F42" s="2" cm="1">
        <f t="array" ref="F42">_xlfn.LET(_xlpm.d,F$2:F$36,_xlpm.f,$A$2:$A$36,_xlpm.k,$C42,AVERAGE(_xlfn._xlws.FILTER(_xlpm.d,_xlpm.f=_xlpm.k)))</f>
        <v>0.46499161985493498</v>
      </c>
      <c r="G42" s="2" cm="1">
        <f t="array" ref="G42">_xlfn.LET(_xlpm.d,G$2:G$36,_xlpm.f,$A$2:$A$36,_xlpm.k,$C42,AVERAGE(_xlfn._xlws.FILTER(_xlpm.d,_xlpm.f=_xlpm.k)))</f>
        <v>0.52827567892090277</v>
      </c>
      <c r="H42" s="2" cm="1">
        <f t="array" ref="H42">_xlfn.LET(_xlpm.d,H$2:H$36,_xlpm.f,$A$2:$A$36,_xlpm.k,$C42,AVERAGE(_xlfn._xlws.FILTER(_xlpm.d,_xlpm.f=_xlpm.k)))</f>
        <v>0.3979421113907215</v>
      </c>
      <c r="I42" s="2" cm="1">
        <f t="array" ref="I42">_xlfn.LET(_xlpm.d,I$2:I$36,_xlpm.f,$A$2:$A$36,_xlpm.k,$C42,AVERAGE(_xlfn._xlws.FILTER(_xlpm.d,_xlpm.f=_xlpm.k)))</f>
        <v>0.36911350286726902</v>
      </c>
      <c r="J42" s="2" cm="1">
        <f t="array" ref="J42">_xlfn.LET(_xlpm.d,J$2:J$36,_xlpm.f,$A$2:$A$36,_xlpm.k,$C42,AVERAGE(_xlfn._xlws.FILTER(_xlpm.d,_xlpm.f=_xlpm.k)))</f>
        <v>0.29297311318716385</v>
      </c>
      <c r="K42" s="2" cm="1">
        <f t="array" ref="K42">_xlfn.LET(_xlpm.d,K$2:K$36,_xlpm.f,$A$2:$A$36,_xlpm.k,$C42,AVERAGE(_xlfn._xlws.FILTER(_xlpm.d,_xlpm.f=_xlpm.k)))</f>
        <v>0.35060399418172361</v>
      </c>
      <c r="L42" s="2" cm="1">
        <f t="array" ref="L42">_xlfn.LET(_xlpm.d,L$2:L$36,_xlpm.f,$A$2:$A$36,_xlpm.k,$C42,AVERAGE(_xlfn._xlws.FILTER(_xlpm.d,_xlpm.f=_xlpm.k)))</f>
        <v>0.31779139002702872</v>
      </c>
      <c r="M42" s="2" cm="1">
        <f t="array" ref="M42">_xlfn.LET(_xlpm.d,M$2:M$36,_xlpm.f,$A$2:$A$36,_xlpm.k,$C42,AVERAGE(_xlfn._xlws.FILTER(_xlpm.d,_xlpm.f=_xlpm.k)))</f>
        <v>0.3283585892114057</v>
      </c>
      <c r="N42" s="2" cm="1">
        <f t="array" ref="N42">_xlfn.LET(_xlpm.d,N$2:N$36,_xlpm.f,$A$2:$A$36,_xlpm.k,$C42,AVERAGE(_xlfn._xlws.FILTER(_xlpm.d,_xlpm.f=_xlpm.k)))</f>
        <v>0.21935335333198572</v>
      </c>
      <c r="O42" s="2" cm="1">
        <f t="array" ref="O42">_xlfn.LET(_xlpm.d,O$2:O$36,_xlpm.f,$A$2:$A$36,_xlpm.k,$C42,AVERAGE(_xlfn._xlws.FILTER(_xlpm.d,_xlpm.f=_xlpm.k)))</f>
        <v>0.27373704727040044</v>
      </c>
      <c r="P42" s="2" cm="1">
        <f t="array" ref="P42">_xlfn.LET(_xlpm.d,P$2:P$36,_xlpm.f,$A$2:$A$36,_xlpm.k,$C42,AVERAGE(_xlfn._xlws.FILTER(_xlpm.d,_xlpm.f=_xlpm.k)))</f>
        <v>0.20041484400740331</v>
      </c>
      <c r="Q42" s="2" cm="1">
        <f t="array" ref="Q42">_xlfn.LET(_xlpm.d,Q$2:Q$36,_xlpm.f,$A$2:$A$36,_xlpm.k,$C42,AVERAGE(_xlfn._xlws.FILTER(_xlpm.d,_xlpm.f=_xlpm.k)))</f>
        <v>0.37453374439989345</v>
      </c>
    </row>
    <row r="43" spans="1:19" ht="30" customHeight="1">
      <c r="C43" t="s">
        <v>55</v>
      </c>
      <c r="D43" s="2" cm="1">
        <f t="array" ref="D43">_xlfn.LET(_xlpm.d,D$2:D$36,_xlpm.f,$A$2:$A$36,_xlpm.k,$C43,AVERAGE(_xlfn._xlws.FILTER(_xlpm.d,_xlpm.f=_xlpm.k)))</f>
        <v>0.70199066312241132</v>
      </c>
      <c r="E43" s="2" cm="1">
        <f t="array" ref="E43">_xlfn.LET(_xlpm.d,E$2:E$36,_xlpm.f,$A$2:$A$36,_xlpm.k,$C43,AVERAGE(_xlfn._xlws.FILTER(_xlpm.d,_xlpm.f=_xlpm.k)))</f>
        <v>0.71846616517847128</v>
      </c>
      <c r="F43" s="2" cm="1">
        <f t="array" ref="F43">_xlfn.LET(_xlpm.d,F$2:F$36,_xlpm.f,$A$2:$A$36,_xlpm.k,$C43,AVERAGE(_xlfn._xlws.FILTER(_xlpm.d,_xlpm.f=_xlpm.k)))</f>
        <v>0.56772582083982248</v>
      </c>
      <c r="G43" s="2" cm="1">
        <f t="array" ref="G43">_xlfn.LET(_xlpm.d,G$2:G$36,_xlpm.f,$A$2:$A$36,_xlpm.k,$C43,AVERAGE(_xlfn._xlws.FILTER(_xlpm.d,_xlpm.f=_xlpm.k)))</f>
        <v>0.50133515160437336</v>
      </c>
      <c r="H43" s="2" cm="1">
        <f t="array" ref="H43">_xlfn.LET(_xlpm.d,H$2:H$36,_xlpm.f,$A$2:$A$36,_xlpm.k,$C43,AVERAGE(_xlfn._xlws.FILTER(_xlpm.d,_xlpm.f=_xlpm.k)))</f>
        <v>0.42730888664304789</v>
      </c>
      <c r="I43" s="2" cm="1">
        <f t="array" ref="I43">_xlfn.LET(_xlpm.d,I$2:I$36,_xlpm.f,$A$2:$A$36,_xlpm.k,$C43,AVERAGE(_xlfn._xlws.FILTER(_xlpm.d,_xlpm.f=_xlpm.k)))</f>
        <v>0.57514638101865523</v>
      </c>
      <c r="J43" s="2" cm="1">
        <f t="array" ref="J43">_xlfn.LET(_xlpm.d,J$2:J$36,_xlpm.f,$A$2:$A$36,_xlpm.k,$C43,AVERAGE(_xlfn._xlws.FILTER(_xlpm.d,_xlpm.f=_xlpm.k)))</f>
        <v>0.43982085595433801</v>
      </c>
      <c r="K43" s="2" cm="1">
        <f t="array" ref="K43">_xlfn.LET(_xlpm.d,K$2:K$36,_xlpm.f,$A$2:$A$36,_xlpm.k,$C43,AVERAGE(_xlfn._xlws.FILTER(_xlpm.d,_xlpm.f=_xlpm.k)))</f>
        <v>0.36176077858139938</v>
      </c>
      <c r="L43" s="2" cm="1">
        <f t="array" ref="L43">_xlfn.LET(_xlpm.d,L$2:L$36,_xlpm.f,$A$2:$A$36,_xlpm.k,$C43,AVERAGE(_xlfn._xlws.FILTER(_xlpm.d,_xlpm.f=_xlpm.k)))</f>
        <v>0.41742596914236341</v>
      </c>
      <c r="M43" s="2" cm="1">
        <f t="array" ref="M43">_xlfn.LET(_xlpm.d,M$2:M$36,_xlpm.f,$A$2:$A$36,_xlpm.k,$C43,AVERAGE(_xlfn._xlws.FILTER(_xlpm.d,_xlpm.f=_xlpm.k)))</f>
        <v>0.41271501155307899</v>
      </c>
      <c r="N43" s="2" cm="1">
        <f t="array" ref="N43">_xlfn.LET(_xlpm.d,N$2:N$36,_xlpm.f,$A$2:$A$36,_xlpm.k,$C43,AVERAGE(_xlfn._xlws.FILTER(_xlpm.d,_xlpm.f=_xlpm.k)))</f>
        <v>0.37022878586326929</v>
      </c>
      <c r="O43" s="2" cm="1">
        <f t="array" ref="O43">_xlfn.LET(_xlpm.d,O$2:O$36,_xlpm.f,$A$2:$A$36,_xlpm.k,$C43,AVERAGE(_xlfn._xlws.FILTER(_xlpm.d,_xlpm.f=_xlpm.k)))</f>
        <v>0.3294042519117098</v>
      </c>
      <c r="P43" s="2" cm="1">
        <f t="array" ref="P43">_xlfn.LET(_xlpm.d,P$2:P$36,_xlpm.f,$A$2:$A$36,_xlpm.k,$C43,AVERAGE(_xlfn._xlws.FILTER(_xlpm.d,_xlpm.f=_xlpm.k)))</f>
        <v>0.44727173547679699</v>
      </c>
      <c r="Q43" s="2" cm="1">
        <f t="array" ref="Q43">_xlfn.LET(_xlpm.d,Q$2:Q$36,_xlpm.f,$A$2:$A$36,_xlpm.k,$C43,AVERAGE(_xlfn._xlws.FILTER(_xlpm.d,_xlpm.f=_xlpm.k)))</f>
        <v>0.48235388129921059</v>
      </c>
    </row>
    <row r="44" spans="1:19" ht="30" customHeight="1">
      <c r="C44" t="s">
        <v>58</v>
      </c>
      <c r="D44" s="2" cm="1">
        <f t="array" ref="D44">_xlfn.LET(_xlpm.d,D$2:D$36,_xlpm.f,$A$2:$A$36,_xlpm.k,$C44,AVERAGE(_xlfn._xlws.FILTER(_xlpm.d,_xlpm.f=_xlpm.k)))</f>
        <v>0.99568712855618913</v>
      </c>
      <c r="E44" s="2" cm="1">
        <f t="array" ref="E44">_xlfn.LET(_xlpm.d,E$2:E$36,_xlpm.f,$A$2:$A$36,_xlpm.k,$C44,AVERAGE(_xlfn._xlws.FILTER(_xlpm.d,_xlpm.f=_xlpm.k)))</f>
        <v>0.98251441969947506</v>
      </c>
      <c r="F44" s="2" cm="1">
        <f t="array" ref="F44">_xlfn.LET(_xlpm.d,F$2:F$36,_xlpm.f,$A$2:$A$36,_xlpm.k,$C44,AVERAGE(_xlfn._xlws.FILTER(_xlpm.d,_xlpm.f=_xlpm.k)))</f>
        <v>0.99941109290923802</v>
      </c>
      <c r="G44" s="2" cm="1">
        <f t="array" ref="G44">_xlfn.LET(_xlpm.d,G$2:G$36,_xlpm.f,$A$2:$A$36,_xlpm.k,$C44,AVERAGE(_xlfn._xlws.FILTER(_xlpm.d,_xlpm.f=_xlpm.k)))</f>
        <v>0.98993039177519371</v>
      </c>
      <c r="H44" s="2" cm="1">
        <f t="array" ref="H44">_xlfn.LET(_xlpm.d,H$2:H$36,_xlpm.f,$A$2:$A$36,_xlpm.k,$C44,AVERAGE(_xlfn._xlws.FILTER(_xlpm.d,_xlpm.f=_xlpm.k)))</f>
        <v>0.97473685259810872</v>
      </c>
      <c r="I44" s="2" cm="1">
        <f t="array" ref="I44">_xlfn.LET(_xlpm.d,I$2:I$36,_xlpm.f,$A$2:$A$36,_xlpm.k,$C44,AVERAGE(_xlfn._xlws.FILTER(_xlpm.d,_xlpm.f=_xlpm.k)))</f>
        <v>0.968121810396673</v>
      </c>
      <c r="J44" s="2" cm="1">
        <f t="array" ref="J44">_xlfn.LET(_xlpm.d,J$2:J$36,_xlpm.f,$A$2:$A$36,_xlpm.k,$C44,AVERAGE(_xlfn._xlws.FILTER(_xlpm.d,_xlpm.f=_xlpm.k)))</f>
        <v>0.97431926484304199</v>
      </c>
      <c r="K44" s="2" cm="1">
        <f t="array" ref="K44">_xlfn.LET(_xlpm.d,K$2:K$36,_xlpm.f,$A$2:$A$36,_xlpm.k,$C44,AVERAGE(_xlfn._xlws.FILTER(_xlpm.d,_xlpm.f=_xlpm.k)))</f>
        <v>0.9325763811449882</v>
      </c>
      <c r="L44" s="2" cm="1">
        <f t="array" ref="L44">_xlfn.LET(_xlpm.d,L$2:L$36,_xlpm.f,$A$2:$A$36,_xlpm.k,$C44,AVERAGE(_xlfn._xlws.FILTER(_xlpm.d,_xlpm.f=_xlpm.k)))</f>
        <v>0.99598608221168961</v>
      </c>
      <c r="M44" s="2" cm="1">
        <f t="array" ref="M44">_xlfn.LET(_xlpm.d,M$2:M$36,_xlpm.f,$A$2:$A$36,_xlpm.k,$C44,AVERAGE(_xlfn._xlws.FILTER(_xlpm.d,_xlpm.f=_xlpm.k)))</f>
        <v>0.99004812832838673</v>
      </c>
      <c r="N44" s="2" cm="1">
        <f t="array" ref="N44">_xlfn.LET(_xlpm.d,N$2:N$36,_xlpm.f,$A$2:$A$36,_xlpm.k,$C44,AVERAGE(_xlfn._xlws.FILTER(_xlpm.d,_xlpm.f=_xlpm.k)))</f>
        <v>0.90875871398112229</v>
      </c>
      <c r="O44" s="2" cm="1">
        <f t="array" ref="O44">_xlfn.LET(_xlpm.d,O$2:O$36,_xlpm.f,$A$2:$A$36,_xlpm.k,$C44,AVERAGE(_xlfn._xlws.FILTER(_xlpm.d,_xlpm.f=_xlpm.k)))</f>
        <v>0.91319052758644925</v>
      </c>
      <c r="P44" s="2" cm="1">
        <f t="array" ref="P44">_xlfn.LET(_xlpm.d,P$2:P$36,_xlpm.f,$A$2:$A$36,_xlpm.k,$C44,AVERAGE(_xlfn._xlws.FILTER(_xlpm.d,_xlpm.f=_xlpm.k)))</f>
        <v>0.98284480078068115</v>
      </c>
      <c r="Q44" s="2" cm="1">
        <f t="array" ref="Q44">_xlfn.LET(_xlpm.d,Q$2:Q$36,_xlpm.f,$A$2:$A$36,_xlpm.k,$C44,AVERAGE(_xlfn._xlws.FILTER(_xlpm.d,_xlpm.f=_xlpm.k)))</f>
        <v>0.96985581498547979</v>
      </c>
    </row>
    <row r="46" spans="1:19" ht="30" customHeight="1">
      <c r="C46" t="s">
        <v>64</v>
      </c>
    </row>
    <row r="47" spans="1:19" ht="30" customHeight="1">
      <c r="C47" t="s">
        <v>53</v>
      </c>
      <c r="D47" s="2" cm="1">
        <f t="array" ref="D47">_xlfn.LET(_xlpm.d,D$2:D$36,_xlpm.g,$B$2:$B$36,_xlpm.k,$C47,AVERAGE(_xlfn._xlws.FILTER(_xlpm.d,(_xlpm.g=0))))</f>
        <v>0.74231372214510949</v>
      </c>
      <c r="E47" s="2" cm="1">
        <f t="array" ref="E47">_xlfn.LET(_xlpm.d,E$2:E$36,_xlpm.g,$B$2:$B$36,_xlpm.k,$C47,AVERAGE(_xlfn._xlws.FILTER(_xlpm.d,(_xlpm.g=0))))</f>
        <v>0.70960858126653992</v>
      </c>
      <c r="F47" s="2" cm="1">
        <f t="array" ref="F47">_xlfn.LET(_xlpm.d,F$2:F$36,_xlpm.g,$B$2:$B$36,_xlpm.k,$C47,AVERAGE(_xlfn._xlws.FILTER(_xlpm.d,(_xlpm.g=0))))</f>
        <v>0.67284278161674593</v>
      </c>
      <c r="G47" s="2" cm="1">
        <f t="array" ref="G47">_xlfn.LET(_xlpm.d,G$2:G$36,_xlpm.g,$B$2:$B$36,_xlpm.k,$C47,AVERAGE(_xlfn._xlws.FILTER(_xlpm.d,(_xlpm.g=0))))</f>
        <v>0.68062672202085883</v>
      </c>
      <c r="H47" s="2" cm="1">
        <f t="array" ref="H47">_xlfn.LET(_xlpm.d,H$2:H$36,_xlpm.g,$B$2:$B$36,_xlpm.k,$C47,AVERAGE(_xlfn._xlws.FILTER(_xlpm.d,(_xlpm.g=0))))</f>
        <v>0.62554644419090111</v>
      </c>
      <c r="I47" s="2" cm="1">
        <f t="array" ref="I47">_xlfn.LET(_xlpm.d,I$2:I$36,_xlpm.g,$B$2:$B$36,_xlpm.k,$C47,AVERAGE(_xlfn._xlws.FILTER(_xlpm.d,(_xlpm.g=0))))</f>
        <v>0.64459983852160374</v>
      </c>
      <c r="J47" s="2" cm="1">
        <f t="array" ref="J47">_xlfn.LET(_xlpm.d,J$2:J$36,_xlpm.g,$B$2:$B$36,_xlpm.k,$C47,AVERAGE(_xlfn._xlws.FILTER(_xlpm.d,(_xlpm.g=0))))</f>
        <v>0.60342255975749404</v>
      </c>
      <c r="K47" s="2" cm="1">
        <f t="array" ref="K47">_xlfn.LET(_xlpm.d,K$2:K$36,_xlpm.g,$B$2:$B$36,_xlpm.k,$C47,AVERAGE(_xlfn._xlws.FILTER(_xlpm.d,(_xlpm.g=0))))</f>
        <v>0.59784138747718962</v>
      </c>
      <c r="L47" s="2" cm="1">
        <f t="array" ref="L47">_xlfn.LET(_xlpm.d,L$2:L$36,_xlpm.g,$B$2:$B$36,_xlpm.k,$C47,AVERAGE(_xlfn._xlws.FILTER(_xlpm.d,(_xlpm.g=0))))</f>
        <v>0.58078640189496911</v>
      </c>
      <c r="M47" s="2" cm="1">
        <f t="array" ref="M47">_xlfn.LET(_xlpm.d,M$2:M$36,_xlpm.g,$B$2:$B$36,_xlpm.k,$C47,AVERAGE(_xlfn._xlws.FILTER(_xlpm.d,(_xlpm.g=0))))</f>
        <v>0.57372546915828337</v>
      </c>
      <c r="N47" s="2" cm="1">
        <f t="array" ref="N47">_xlfn.LET(_xlpm.d,N$2:N$36,_xlpm.g,$B$2:$B$36,_xlpm.k,$C47,AVERAGE(_xlfn._xlws.FILTER(_xlpm.d,(_xlpm.g=0))))</f>
        <v>0.54633384209817504</v>
      </c>
      <c r="O47" s="2" cm="1">
        <f t="array" ref="O47">_xlfn.LET(_xlpm.d,O$2:O$36,_xlpm.g,$B$2:$B$36,_xlpm.k,$C47,AVERAGE(_xlfn._xlws.FILTER(_xlpm.d,(_xlpm.g=0))))</f>
        <v>0.53999463570572837</v>
      </c>
      <c r="P47" s="2" cm="1">
        <f t="array" ref="P47">_xlfn.LET(_xlpm.d,P$2:P$36,_xlpm.g,$B$2:$B$36,_xlpm.k,$C47,AVERAGE(_xlfn._xlws.FILTER(_xlpm.d,(_xlpm.g=0))))</f>
        <v>0.57410187424673143</v>
      </c>
      <c r="Q47" s="2" cm="1">
        <f t="array" ref="Q47">_xlfn.LET(_xlpm.d,Q$2:Q$36,_xlpm.g,$B$2:$B$36,_xlpm.k,$C47,AVERAGE(_xlfn._xlws.FILTER(_xlpm.d,(_xlpm.g=0))))</f>
        <v>0.62244186616156394</v>
      </c>
    </row>
    <row r="48" spans="1:19" ht="30" customHeight="1">
      <c r="C48" t="s">
        <v>54</v>
      </c>
      <c r="D48" s="2" cm="1">
        <f t="array" ref="D48">_xlfn.LET(_xlpm.d,D$2:D$36,_xlpm.f,$A$2:$A$36,_xlpm.g,$B$2:$B$36,_xlpm.k,$C48,AVERAGE(_xlfn._xlws.FILTER(_xlpm.d,(_xlpm.f=_xlpm.k)*(_xlpm.g=0))))</f>
        <v>0.99308566067809567</v>
      </c>
      <c r="E48" s="2" cm="1">
        <f t="array" ref="E48">_xlfn.LET(_xlpm.d,E$2:E$36,_xlpm.f,$A$2:$A$36,_xlpm.g,$B$2:$B$36,_xlpm.k,$C48,AVERAGE(_xlfn._xlws.FILTER(_xlpm.d,(_xlpm.f=_xlpm.k)*(_xlpm.g=0))))</f>
        <v>0.99610894898562308</v>
      </c>
      <c r="F48" s="2" cm="1">
        <f t="array" ref="F48">_xlfn.LET(_xlpm.d,F$2:F$36,_xlpm.f,$A$2:$A$36,_xlpm.g,$B$2:$B$36,_xlpm.k,$C48,AVERAGE(_xlfn._xlws.FILTER(_xlpm.d,(_xlpm.f=_xlpm.k)*(_xlpm.g=0))))</f>
        <v>0.99377387270017881</v>
      </c>
      <c r="G48" s="2" cm="1">
        <f t="array" ref="G48">_xlfn.LET(_xlpm.d,G$2:G$36,_xlpm.f,$A$2:$A$36,_xlpm.g,$B$2:$B$36,_xlpm.k,$C48,AVERAGE(_xlfn._xlws.FILTER(_xlpm.d,(_xlpm.f=_xlpm.k)*(_xlpm.g=0))))</f>
        <v>0.98343585739297013</v>
      </c>
      <c r="H48" s="2" cm="1">
        <f t="array" ref="H48">_xlfn.LET(_xlpm.d,H$2:H$36,_xlpm.f,$A$2:$A$36,_xlpm.g,$B$2:$B$36,_xlpm.k,$C48,AVERAGE(_xlfn._xlws.FILTER(_xlpm.d,(_xlpm.f=_xlpm.k)*(_xlpm.g=0))))</f>
        <v>0.99523229839805516</v>
      </c>
      <c r="I48" s="2" cm="1">
        <f t="array" ref="I48">_xlfn.LET(_xlpm.d,I$2:I$36,_xlpm.f,$A$2:$A$36,_xlpm.g,$B$2:$B$36,_xlpm.k,$C48,AVERAGE(_xlfn._xlws.FILTER(_xlpm.d,(_xlpm.f=_xlpm.k)*(_xlpm.g=0))))</f>
        <v>0.98787128565888349</v>
      </c>
      <c r="J48" s="2" cm="1">
        <f t="array" ref="J48">_xlfn.LET(_xlpm.d,J$2:J$36,_xlpm.f,$A$2:$A$36,_xlpm.g,$B$2:$B$36,_xlpm.k,$C48,AVERAGE(_xlfn._xlws.FILTER(_xlpm.d,(_xlpm.f=_xlpm.k)*(_xlpm.g=0))))</f>
        <v>0.96553857469217785</v>
      </c>
      <c r="K48" s="2" cm="1">
        <f t="array" ref="K48">_xlfn.LET(_xlpm.d,K$2:K$36,_xlpm.f,$A$2:$A$36,_xlpm.g,$B$2:$B$36,_xlpm.k,$C48,AVERAGE(_xlfn._xlws.FILTER(_xlpm.d,(_xlpm.f=_xlpm.k)*(_xlpm.g=0))))</f>
        <v>0.97997924961695748</v>
      </c>
      <c r="L48" s="2" cm="1">
        <f t="array" ref="L48">_xlfn.LET(_xlpm.d,L$2:L$36,_xlpm.f,$A$2:$A$36,_xlpm.g,$B$2:$B$36,_xlpm.k,$C48,AVERAGE(_xlfn._xlws.FILTER(_xlpm.d,(_xlpm.f=_xlpm.k)*(_xlpm.g=0))))</f>
        <v>0.99344983375260132</v>
      </c>
      <c r="M48" s="2" cm="1">
        <f t="array" ref="M48">_xlfn.LET(_xlpm.d,M$2:M$36,_xlpm.f,$A$2:$A$36,_xlpm.g,$B$2:$B$36,_xlpm.k,$C48,AVERAGE(_xlfn._xlws.FILTER(_xlpm.d,(_xlpm.f=_xlpm.k)*(_xlpm.g=0))))</f>
        <v>0.91702544535200481</v>
      </c>
      <c r="N48" s="2" cm="1">
        <f t="array" ref="N48">_xlfn.LET(_xlpm.d,N$2:N$36,_xlpm.f,$A$2:$A$36,_xlpm.g,$B$2:$B$36,_xlpm.k,$C48,AVERAGE(_xlfn._xlws.FILTER(_xlpm.d,(_xlpm.f=_xlpm.k)*(_xlpm.g=0))))</f>
        <v>0.94876023923738051</v>
      </c>
      <c r="O48" s="2" cm="1">
        <f t="array" ref="O48">_xlfn.LET(_xlpm.d,O$2:O$36,_xlpm.f,$A$2:$A$36,_xlpm.g,$B$2:$B$36,_xlpm.k,$C48,AVERAGE(_xlfn._xlws.FILTER(_xlpm.d,(_xlpm.f=_xlpm.k)*(_xlpm.g=0))))</f>
        <v>0.99949879609366521</v>
      </c>
      <c r="P48" s="2" cm="1">
        <f t="array" ref="P48">_xlfn.LET(_xlpm.d,P$2:P$36,_xlpm.f,$A$2:$A$36,_xlpm.g,$B$2:$B$36,_xlpm.k,$C48,AVERAGE(_xlfn._xlws.FILTER(_xlpm.d,(_xlpm.f=_xlpm.k)*(_xlpm.g=0))))</f>
        <v>0.87807697462764323</v>
      </c>
      <c r="Q48" s="2" cm="1">
        <f t="array" ref="Q48">_xlfn.LET(_xlpm.d,Q$2:Q$36,_xlpm.f,$A$2:$A$36,_xlpm.g,$B$2:$B$36,_xlpm.k,$C48,AVERAGE(_xlfn._xlws.FILTER(_xlpm.d,(_xlpm.f=_xlpm.k)*(_xlpm.g=0))))</f>
        <v>0.97167977209124878</v>
      </c>
    </row>
    <row r="49" spans="3:17" ht="30" customHeight="1">
      <c r="C49" t="s">
        <v>56</v>
      </c>
      <c r="D49" s="2" cm="1">
        <f t="array" ref="D49">_xlfn.LET(_xlpm.d,D$2:D$36,_xlpm.f,$A$2:$A$36,_xlpm.g,$B$2:$B$36,_xlpm.k,$C49,AVERAGE(_xlfn._xlws.FILTER(_xlpm.d,(_xlpm.f=_xlpm.k)*(_xlpm.g=0))))</f>
        <v>0.54861265642419255</v>
      </c>
      <c r="E49" s="2" cm="1">
        <f t="array" ref="E49">_xlfn.LET(_xlpm.d,E$2:E$36,_xlpm.f,$A$2:$A$36,_xlpm.g,$B$2:$B$36,_xlpm.k,$C49,AVERAGE(_xlfn._xlws.FILTER(_xlpm.d,(_xlpm.f=_xlpm.k)*(_xlpm.g=0))))</f>
        <v>0.37496990950994319</v>
      </c>
      <c r="F49" s="2" cm="1">
        <f t="array" ref="F49">_xlfn.LET(_xlpm.d,F$2:F$36,_xlpm.f,$A$2:$A$36,_xlpm.g,$B$2:$B$36,_xlpm.k,$C49,AVERAGE(_xlfn._xlws.FILTER(_xlpm.d,(_xlpm.f=_xlpm.k)*(_xlpm.g=0))))</f>
        <v>0.42153694643346123</v>
      </c>
      <c r="G49" s="2" cm="1">
        <f t="array" ref="G49">_xlfn.LET(_xlpm.d,G$2:G$36,_xlpm.f,$A$2:$A$36,_xlpm.g,$B$2:$B$36,_xlpm.k,$C49,AVERAGE(_xlfn._xlws.FILTER(_xlpm.d,(_xlpm.f=_xlpm.k)*(_xlpm.g=0))))</f>
        <v>0.4643273689968172</v>
      </c>
      <c r="H49" s="2" cm="1">
        <f t="array" ref="H49">_xlfn.LET(_xlpm.d,H$2:H$36,_xlpm.f,$A$2:$A$36,_xlpm.g,$B$2:$B$36,_xlpm.k,$C49,AVERAGE(_xlfn._xlws.FILTER(_xlpm.d,(_xlpm.f=_xlpm.k)*(_xlpm.g=0))))</f>
        <v>0.35894015337452401</v>
      </c>
      <c r="I49" s="2" cm="1">
        <f t="array" ref="I49">_xlfn.LET(_xlpm.d,I$2:I$36,_xlpm.f,$A$2:$A$36,_xlpm.g,$B$2:$B$36,_xlpm.k,$C49,AVERAGE(_xlfn._xlws.FILTER(_xlpm.d,(_xlpm.f=_xlpm.k)*(_xlpm.g=0))))</f>
        <v>0.31287554042474414</v>
      </c>
      <c r="J49" s="2" cm="1">
        <f t="array" ref="J49">_xlfn.LET(_xlpm.d,J$2:J$36,_xlpm.f,$A$2:$A$36,_xlpm.g,$B$2:$B$36,_xlpm.k,$C49,AVERAGE(_xlfn._xlws.FILTER(_xlpm.d,(_xlpm.f=_xlpm.k)*(_xlpm.g=0))))</f>
        <v>0.32697728779999519</v>
      </c>
      <c r="K49" s="2" cm="1">
        <f t="array" ref="K49">_xlfn.LET(_xlpm.d,K$2:K$36,_xlpm.f,$A$2:$A$36,_xlpm.g,$B$2:$B$36,_xlpm.k,$C49,AVERAGE(_xlfn._xlws.FILTER(_xlpm.d,(_xlpm.f=_xlpm.k)*(_xlpm.g=0))))</f>
        <v>0.3493000046916947</v>
      </c>
      <c r="L49" s="2" cm="1">
        <f t="array" ref="L49">_xlfn.LET(_xlpm.d,L$2:L$36,_xlpm.f,$A$2:$A$36,_xlpm.g,$B$2:$B$36,_xlpm.k,$C49,AVERAGE(_xlfn._xlws.FILTER(_xlpm.d,(_xlpm.f=_xlpm.k)*(_xlpm.g=0))))</f>
        <v>0.21917380359154581</v>
      </c>
      <c r="M49" s="2" cm="1">
        <f t="array" ref="M49">_xlfn.LET(_xlpm.d,M$2:M$36,_xlpm.f,$A$2:$A$36,_xlpm.g,$B$2:$B$36,_xlpm.k,$C49,AVERAGE(_xlfn._xlws.FILTER(_xlpm.d,(_xlpm.f=_xlpm.k)*(_xlpm.g=0))))</f>
        <v>0.20228220178668935</v>
      </c>
      <c r="N49" s="2" cm="1">
        <f t="array" ref="N49">_xlfn.LET(_xlpm.d,N$2:N$36,_xlpm.f,$A$2:$A$36,_xlpm.g,$B$2:$B$36,_xlpm.k,$C49,AVERAGE(_xlfn._xlws.FILTER(_xlpm.d,(_xlpm.f=_xlpm.k)*(_xlpm.g=0))))</f>
        <v>0.23499923849494064</v>
      </c>
      <c r="O49" s="2" cm="1">
        <f t="array" ref="O49">_xlfn.LET(_xlpm.d,O$2:O$36,_xlpm.f,$A$2:$A$36,_xlpm.g,$B$2:$B$36,_xlpm.k,$C49,AVERAGE(_xlfn._xlws.FILTER(_xlpm.d,(_xlpm.f=_xlpm.k)*(_xlpm.g=0))))</f>
        <v>0.15051129667017268</v>
      </c>
      <c r="P49" s="2" cm="1">
        <f t="array" ref="P49">_xlfn.LET(_xlpm.d,P$2:P$36,_xlpm.f,$A$2:$A$36,_xlpm.g,$B$2:$B$36,_xlpm.k,$C49,AVERAGE(_xlfn._xlws.FILTER(_xlpm.d,(_xlpm.f=_xlpm.k)*(_xlpm.g=0))))</f>
        <v>0.25681245296365235</v>
      </c>
      <c r="Q49" s="2" cm="1">
        <f t="array" ref="Q49">_xlfn.LET(_xlpm.d,Q$2:Q$36,_xlpm.f,$A$2:$A$36,_xlpm.g,$B$2:$B$36,_xlpm.k,$C49,AVERAGE(_xlfn._xlws.FILTER(_xlpm.d,(_xlpm.f=_xlpm.k)*(_xlpm.g=0))))</f>
        <v>0.32471683547402869</v>
      </c>
    </row>
    <row r="50" spans="3:17" ht="30" customHeight="1">
      <c r="C50" t="s">
        <v>57</v>
      </c>
      <c r="D50" s="2" cm="1">
        <f t="array" ref="D50">_xlfn.LET(_xlpm.d,D$2:D$36,_xlpm.f,$A$2:$A$36,_xlpm.g,$B$2:$B$36,_xlpm.k,$C50,AVERAGE(_xlfn._xlws.FILTER(_xlpm.d,(_xlpm.f=_xlpm.k)*(_xlpm.g=0))))</f>
        <v>0.512650255384691</v>
      </c>
      <c r="E50" s="2" cm="1">
        <f t="array" ref="E50">_xlfn.LET(_xlpm.d,E$2:E$36,_xlpm.f,$A$2:$A$36,_xlpm.g,$B$2:$B$36,_xlpm.k,$C50,AVERAGE(_xlfn._xlws.FILTER(_xlpm.d,(_xlpm.f=_xlpm.k)*(_xlpm.g=0))))</f>
        <v>0.524310809803754</v>
      </c>
      <c r="F50" s="2" cm="1">
        <f t="array" ref="F50">_xlfn.LET(_xlpm.d,F$2:F$36,_xlpm.f,$A$2:$A$36,_xlpm.g,$B$2:$B$36,_xlpm.k,$C50,AVERAGE(_xlfn._xlws.FILTER(_xlpm.d,(_xlpm.f=_xlpm.k)*(_xlpm.g=0))))</f>
        <v>0.41500066161324378</v>
      </c>
      <c r="G50" s="2" cm="1">
        <f t="array" ref="G50">_xlfn.LET(_xlpm.d,G$2:G$36,_xlpm.f,$A$2:$A$36,_xlpm.g,$B$2:$B$36,_xlpm.k,$C50,AVERAGE(_xlfn._xlws.FILTER(_xlpm.d,(_xlpm.f=_xlpm.k)*(_xlpm.g=0))))</f>
        <v>0.49795572185443165</v>
      </c>
      <c r="H50" s="2" cm="1">
        <f t="array" ref="H50">_xlfn.LET(_xlpm.d,H$2:H$36,_xlpm.f,$A$2:$A$36,_xlpm.g,$B$2:$B$36,_xlpm.k,$C50,AVERAGE(_xlfn._xlws.FILTER(_xlpm.d,(_xlpm.f=_xlpm.k)*(_xlpm.g=0))))</f>
        <v>0.37343293393094118</v>
      </c>
      <c r="I50" s="2" cm="1">
        <f t="array" ref="I50">_xlfn.LET(_xlpm.d,I$2:I$36,_xlpm.f,$A$2:$A$36,_xlpm.g,$B$2:$B$36,_xlpm.k,$C50,AVERAGE(_xlfn._xlws.FILTER(_xlpm.d,(_xlpm.f=_xlpm.k)*(_xlpm.g=0))))</f>
        <v>0.41083547180680569</v>
      </c>
      <c r="J50" s="2" cm="1">
        <f t="array" ref="J50">_xlfn.LET(_xlpm.d,J$2:J$36,_xlpm.f,$A$2:$A$36,_xlpm.g,$B$2:$B$36,_xlpm.k,$C50,AVERAGE(_xlfn._xlws.FILTER(_xlpm.d,(_xlpm.f=_xlpm.k)*(_xlpm.g=0))))</f>
        <v>0.28983110325699285</v>
      </c>
      <c r="K50" s="2" cm="1">
        <f t="array" ref="K50">_xlfn.LET(_xlpm.d,K$2:K$36,_xlpm.f,$A$2:$A$36,_xlpm.g,$B$2:$B$36,_xlpm.k,$C50,AVERAGE(_xlfn._xlws.FILTER(_xlpm.d,(_xlpm.f=_xlpm.k)*(_xlpm.g=0))))</f>
        <v>0.36126808841554237</v>
      </c>
      <c r="L50" s="2" cm="1">
        <f t="array" ref="L50">_xlfn.LET(_xlpm.d,L$2:L$36,_xlpm.f,$A$2:$A$36,_xlpm.g,$B$2:$B$36,_xlpm.k,$C50,AVERAGE(_xlfn._xlws.FILTER(_xlpm.d,(_xlpm.f=_xlpm.k)*(_xlpm.g=0))))</f>
        <v>0.28687710273350003</v>
      </c>
      <c r="M50" s="2" cm="1">
        <f t="array" ref="M50">_xlfn.LET(_xlpm.d,M$2:M$36,_xlpm.f,$A$2:$A$36,_xlpm.g,$B$2:$B$36,_xlpm.k,$C50,AVERAGE(_xlfn._xlws.FILTER(_xlpm.d,(_xlpm.f=_xlpm.k)*(_xlpm.g=0))))</f>
        <v>0.35289793953936394</v>
      </c>
      <c r="N50" s="2" cm="1">
        <f t="array" ref="N50">_xlfn.LET(_xlpm.d,N$2:N$36,_xlpm.f,$A$2:$A$36,_xlpm.g,$B$2:$B$36,_xlpm.k,$C50,AVERAGE(_xlfn._xlws.FILTER(_xlpm.d,(_xlpm.f=_xlpm.k)*(_xlpm.g=0))))</f>
        <v>0.25591224555398334</v>
      </c>
      <c r="O50" s="2" cm="1">
        <f t="array" ref="O50">_xlfn.LET(_xlpm.d,O$2:O$36,_xlpm.f,$A$2:$A$36,_xlpm.g,$B$2:$B$36,_xlpm.k,$C50,AVERAGE(_xlfn._xlws.FILTER(_xlpm.d,(_xlpm.f=_xlpm.k)*(_xlpm.g=0))))</f>
        <v>0.26693584301695167</v>
      </c>
      <c r="P50" s="2" cm="1">
        <f t="array" ref="P50">_xlfn.LET(_xlpm.d,P$2:P$36,_xlpm.f,$A$2:$A$36,_xlpm.g,$B$2:$B$36,_xlpm.k,$C50,AVERAGE(_xlfn._xlws.FILTER(_xlpm.d,(_xlpm.f=_xlpm.k)*(_xlpm.g=0))))</f>
        <v>0.23381731800863717</v>
      </c>
      <c r="Q50" s="2" cm="1">
        <f t="array" ref="Q50">_xlfn.LET(_xlpm.d,Q$2:Q$36,_xlpm.f,$A$2:$A$36,_xlpm.g,$B$2:$B$36,_xlpm.k,$C50,AVERAGE(_xlfn._xlws.FILTER(_xlpm.d,(_xlpm.f=_xlpm.k)*(_xlpm.g=0))))</f>
        <v>0.36782503807067984</v>
      </c>
    </row>
    <row r="51" spans="3:17" ht="30" customHeight="1">
      <c r="C51" t="s">
        <v>55</v>
      </c>
      <c r="D51" s="2" cm="1">
        <f t="array" ref="D51">_xlfn.LET(_xlpm.d,D$2:D$36,_xlpm.f,$A$2:$A$36,_xlpm.g,$B$2:$B$36,_xlpm.k,$C51,AVERAGE(_xlfn._xlws.FILTER(_xlpm.d,(_xlpm.f=_xlpm.k)*(_xlpm.g=0))))</f>
        <v>0.66225172158968237</v>
      </c>
      <c r="E51" s="2" cm="1">
        <f t="array" ref="E51">_xlfn.LET(_xlpm.d,E$2:E$36,_xlpm.f,$A$2:$A$36,_xlpm.g,$B$2:$B$36,_xlpm.k,$C51,AVERAGE(_xlfn._xlws.FILTER(_xlpm.d,(_xlpm.f=_xlpm.k)*(_xlpm.g=0))))</f>
        <v>0.6730530817173247</v>
      </c>
      <c r="F51" s="2" cm="1">
        <f t="array" ref="F51">_xlfn.LET(_xlpm.d,F$2:F$36,_xlpm.f,$A$2:$A$36,_xlpm.g,$B$2:$B$36,_xlpm.k,$C51,AVERAGE(_xlfn._xlws.FILTER(_xlpm.d,(_xlpm.f=_xlpm.k)*(_xlpm.g=0))))</f>
        <v>0.53458948560940178</v>
      </c>
      <c r="G51" s="2" cm="1">
        <f t="array" ref="G51">_xlfn.LET(_xlpm.d,G$2:G$36,_xlpm.f,$A$2:$A$36,_xlpm.g,$B$2:$B$36,_xlpm.k,$C51,AVERAGE(_xlfn._xlws.FILTER(_xlpm.d,(_xlpm.f=_xlpm.k)*(_xlpm.g=0))))</f>
        <v>0.46916253812234943</v>
      </c>
      <c r="H51" s="2" cm="1">
        <f t="array" ref="H51">_xlfn.LET(_xlpm.d,H$2:H$36,_xlpm.f,$A$2:$A$36,_xlpm.g,$B$2:$B$36,_xlpm.k,$C51,AVERAGE(_xlfn._xlws.FILTER(_xlpm.d,(_xlpm.f=_xlpm.k)*(_xlpm.g=0))))</f>
        <v>0.42960050721985837</v>
      </c>
      <c r="I51" s="2" cm="1">
        <f t="array" ref="I51">_xlfn.LET(_xlpm.d,I$2:I$36,_xlpm.f,$A$2:$A$36,_xlpm.g,$B$2:$B$36,_xlpm.k,$C51,AVERAGE(_xlfn._xlws.FILTER(_xlpm.d,(_xlpm.f=_xlpm.k)*(_xlpm.g=0))))</f>
        <v>0.54860811592146697</v>
      </c>
      <c r="J51" s="2" cm="1">
        <f t="array" ref="J51">_xlfn.LET(_xlpm.d,J$2:J$36,_xlpm.f,$A$2:$A$36,_xlpm.g,$B$2:$B$36,_xlpm.k,$C51,AVERAGE(_xlfn._xlws.FILTER(_xlpm.d,(_xlpm.f=_xlpm.k)*(_xlpm.g=0))))</f>
        <v>0.4647266907214222</v>
      </c>
      <c r="K51" s="2" cm="1">
        <f t="array" ref="K51">_xlfn.LET(_xlpm.d,K$2:K$36,_xlpm.f,$A$2:$A$36,_xlpm.g,$B$2:$B$36,_xlpm.k,$C51,AVERAGE(_xlfn._xlws.FILTER(_xlpm.d,(_xlpm.f=_xlpm.k)*(_xlpm.g=0))))</f>
        <v>0.37732048332593388</v>
      </c>
      <c r="L51" s="2" cm="1">
        <f t="array" ref="L51">_xlfn.LET(_xlpm.d,L$2:L$36,_xlpm.f,$A$2:$A$36,_xlpm.g,$B$2:$B$36,_xlpm.k,$C51,AVERAGE(_xlfn._xlws.FILTER(_xlpm.d,(_xlpm.f=_xlpm.k)*(_xlpm.g=0))))</f>
        <v>0.40911417348356033</v>
      </c>
      <c r="M51" s="2" cm="1">
        <f t="array" ref="M51">_xlfn.LET(_xlpm.d,M$2:M$36,_xlpm.f,$A$2:$A$36,_xlpm.g,$B$2:$B$36,_xlpm.k,$C51,AVERAGE(_xlfn._xlws.FILTER(_xlpm.d,(_xlpm.f=_xlpm.k)*(_xlpm.g=0))))</f>
        <v>0.40803227606357378</v>
      </c>
      <c r="N51" s="2" cm="1">
        <f t="array" ref="N51">_xlfn.LET(_xlpm.d,N$2:N$36,_xlpm.f,$A$2:$A$36,_xlpm.g,$B$2:$B$36,_xlpm.k,$C51,AVERAGE(_xlfn._xlws.FILTER(_xlpm.d,(_xlpm.f=_xlpm.k)*(_xlpm.g=0))))</f>
        <v>0.39844565422659484</v>
      </c>
      <c r="O51" s="2" cm="1">
        <f t="array" ref="O51">_xlfn.LET(_xlpm.d,O$2:O$36,_xlpm.f,$A$2:$A$36,_xlpm.g,$B$2:$B$36,_xlpm.k,$C51,AVERAGE(_xlfn._xlws.FILTER(_xlpm.d,(_xlpm.f=_xlpm.k)*(_xlpm.g=0))))</f>
        <v>0.38430496056366142</v>
      </c>
      <c r="P51" s="2" cm="1">
        <f t="array" ref="P51">_xlfn.LET(_xlpm.d,P$2:P$36,_xlpm.f,$A$2:$A$36,_xlpm.g,$B$2:$B$36,_xlpm.k,$C51,AVERAGE(_xlfn._xlws.FILTER(_xlpm.d,(_xlpm.f=_xlpm.k)*(_xlpm.g=0))))</f>
        <v>0.52181702472292979</v>
      </c>
      <c r="Q51" s="2" cm="1">
        <f t="array" ref="Q51">_xlfn.LET(_xlpm.d,Q$2:Q$36,_xlpm.f,$A$2:$A$36,_xlpm.g,$B$2:$B$36,_xlpm.k,$C51,AVERAGE(_xlfn._xlws.FILTER(_xlpm.d,(_xlpm.f=_xlpm.k)*(_xlpm.g=0))))</f>
        <v>0.4831559010221354</v>
      </c>
    </row>
    <row r="52" spans="3:17" ht="30" customHeight="1">
      <c r="C52" t="s">
        <v>58</v>
      </c>
      <c r="D52" s="2" cm="1">
        <f t="array" ref="D52">_xlfn.LET(_xlpm.d,D$2:D$36,_xlpm.f,$A$2:$A$36,_xlpm.g,$B$2:$B$36,_xlpm.k,$C52,AVERAGE(_xlfn._xlws.FILTER(_xlpm.d,(_xlpm.f=_xlpm.k)*(_xlpm.g=0))))</f>
        <v>0.9949683166488873</v>
      </c>
      <c r="E52" s="2" cm="1">
        <f t="array" ref="E52">_xlfn.LET(_xlpm.d,E$2:E$36,_xlpm.f,$A$2:$A$36,_xlpm.g,$B$2:$B$36,_xlpm.k,$C52,AVERAGE(_xlfn._xlws.FILTER(_xlpm.d,(_xlpm.f=_xlpm.k)*(_xlpm.g=0))))</f>
        <v>0.97960015631605424</v>
      </c>
      <c r="F52" s="2" cm="1">
        <f t="array" ref="F52">_xlfn.LET(_xlpm.d,F$2:F$36,_xlpm.f,$A$2:$A$36,_xlpm.g,$B$2:$B$36,_xlpm.k,$C52,AVERAGE(_xlfn._xlws.FILTER(_xlpm.d,(_xlpm.f=_xlpm.k)*(_xlpm.g=0))))</f>
        <v>0.99931294172744434</v>
      </c>
      <c r="G52" s="2" cm="1">
        <f t="array" ref="G52">_xlfn.LET(_xlpm.d,G$2:G$36,_xlpm.f,$A$2:$A$36,_xlpm.g,$B$2:$B$36,_xlpm.k,$C52,AVERAGE(_xlfn._xlws.FILTER(_xlpm.d,(_xlpm.f=_xlpm.k)*(_xlpm.g=0))))</f>
        <v>0.98825212373772597</v>
      </c>
      <c r="H52" s="2" cm="1">
        <f t="array" ref="H52">_xlfn.LET(_xlpm.d,H$2:H$36,_xlpm.f,$A$2:$A$36,_xlpm.g,$B$2:$B$36,_xlpm.k,$C52,AVERAGE(_xlfn._xlws.FILTER(_xlpm.d,(_xlpm.f=_xlpm.k)*(_xlpm.g=0))))</f>
        <v>0.97052632803112682</v>
      </c>
      <c r="I52" s="2" cm="1">
        <f t="array" ref="I52">_xlfn.LET(_xlpm.d,I$2:I$36,_xlpm.f,$A$2:$A$36,_xlpm.g,$B$2:$B$36,_xlpm.k,$C52,AVERAGE(_xlfn._xlws.FILTER(_xlpm.d,(_xlpm.f=_xlpm.k)*(_xlpm.g=0))))</f>
        <v>0.96280877879611859</v>
      </c>
      <c r="J52" s="2" cm="1">
        <f t="array" ref="J52">_xlfn.LET(_xlpm.d,J$2:J$36,_xlpm.f,$A$2:$A$36,_xlpm.g,$B$2:$B$36,_xlpm.k,$C52,AVERAGE(_xlfn._xlws.FILTER(_xlpm.d,(_xlpm.f=_xlpm.k)*(_xlpm.g=0))))</f>
        <v>0.97003914231688226</v>
      </c>
      <c r="K52" s="2" cm="1">
        <f t="array" ref="K52">_xlfn.LET(_xlpm.d,K$2:K$36,_xlpm.f,$A$2:$A$36,_xlpm.g,$B$2:$B$36,_xlpm.k,$C52,AVERAGE(_xlfn._xlws.FILTER(_xlpm.d,(_xlpm.f=_xlpm.k)*(_xlpm.g=0))))</f>
        <v>0.92133911133581947</v>
      </c>
      <c r="L52" s="2" cm="1">
        <f t="array" ref="L52">_xlfn.LET(_xlpm.d,L$2:L$36,_xlpm.f,$A$2:$A$36,_xlpm.g,$B$2:$B$36,_xlpm.k,$C52,AVERAGE(_xlfn._xlws.FILTER(_xlpm.d,(_xlpm.f=_xlpm.k)*(_xlpm.g=0))))</f>
        <v>0.99531709591363782</v>
      </c>
      <c r="M52" s="2" cm="1">
        <f t="array" ref="M52">_xlfn.LET(_xlpm.d,M$2:M$36,_xlpm.f,$A$2:$A$36,_xlpm.g,$B$2:$B$36,_xlpm.k,$C52,AVERAGE(_xlfn._xlws.FILTER(_xlpm.d,(_xlpm.f=_xlpm.k)*(_xlpm.g=0))))</f>
        <v>0.98838948304978447</v>
      </c>
      <c r="N52" s="2" cm="1">
        <f t="array" ref="N52">_xlfn.LET(_xlpm.d,N$2:N$36,_xlpm.f,$A$2:$A$36,_xlpm.g,$B$2:$B$36,_xlpm.k,$C52,AVERAGE(_xlfn._xlws.FILTER(_xlpm.d,(_xlpm.f=_xlpm.k)*(_xlpm.g=0))))</f>
        <v>0.89355183297797602</v>
      </c>
      <c r="O52" s="2" cm="1">
        <f t="array" ref="O52">_xlfn.LET(_xlpm.d,O$2:O$36,_xlpm.f,$A$2:$A$36,_xlpm.g,$B$2:$B$36,_xlpm.k,$C52,AVERAGE(_xlfn._xlws.FILTER(_xlpm.d,(_xlpm.f=_xlpm.k)*(_xlpm.g=0))))</f>
        <v>0.89872228218419081</v>
      </c>
      <c r="P52" s="2" cm="1">
        <f t="array" ref="P52">_xlfn.LET(_xlpm.d,P$2:P$36,_xlpm.f,$A$2:$A$36,_xlpm.g,$B$2:$B$36,_xlpm.k,$C52,AVERAGE(_xlfn._xlws.FILTER(_xlpm.d,(_xlpm.f=_xlpm.k)*(_xlpm.g=0))))</f>
        <v>0.97998560091079467</v>
      </c>
      <c r="Q52" s="2" cm="1">
        <f t="array" ref="Q52">_xlfn.LET(_xlpm.d,Q$2:Q$36,_xlpm.f,$A$2:$A$36,_xlpm.g,$B$2:$B$36,_xlpm.k,$C52,AVERAGE(_xlfn._xlws.FILTER(_xlpm.d,(_xlpm.f=_xlpm.k)*(_xlpm.g=0))))</f>
        <v>0.96483178414972637</v>
      </c>
    </row>
  </sheetData>
  <conditionalFormatting sqref="D2:P36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9:Q44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7:Q4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8:Q5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Q2:Q36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S2:S36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V49"/>
  <sheetViews>
    <sheetView workbookViewId="0">
      <pane xSplit="9080" ySplit="3520" topLeftCell="B32" activePane="bottomRight"/>
      <selection activeCell="B1" sqref="B1:B1048576"/>
      <selection pane="topRight" activeCell="V3" sqref="V3"/>
      <selection pane="bottomLeft" activeCell="C31" sqref="C31"/>
      <selection pane="bottomRight" activeCell="D39" sqref="D39"/>
    </sheetView>
  </sheetViews>
  <sheetFormatPr baseColWidth="10" defaultRowHeight="30" customHeight="1"/>
  <cols>
    <col min="1" max="1" width="16.625" customWidth="1"/>
    <col min="2" max="2" width="9" customWidth="1"/>
    <col min="3" max="5" width="7.875" customWidth="1"/>
    <col min="6" max="6" width="9.5" customWidth="1"/>
    <col min="7" max="19" width="7.375" customWidth="1"/>
    <col min="20" max="20" width="8.75" customWidth="1"/>
    <col min="21" max="21" width="9.125" customWidth="1"/>
    <col min="22" max="22" width="8.75" customWidth="1"/>
  </cols>
  <sheetData>
    <row r="1" spans="1:22" ht="30" customHeight="1">
      <c r="A1" t="s">
        <v>0</v>
      </c>
      <c r="B1" t="s">
        <v>59</v>
      </c>
      <c r="C1" t="s">
        <v>50</v>
      </c>
      <c r="D1" t="s">
        <v>51</v>
      </c>
      <c r="E1" t="s">
        <v>60</v>
      </c>
      <c r="F1" t="s">
        <v>52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47</v>
      </c>
      <c r="P1" t="s">
        <v>9</v>
      </c>
      <c r="Q1" t="s">
        <v>48</v>
      </c>
      <c r="R1" t="s">
        <v>49</v>
      </c>
      <c r="S1" t="s">
        <v>10</v>
      </c>
      <c r="T1" t="s">
        <v>36</v>
      </c>
      <c r="U1" t="s">
        <v>61</v>
      </c>
      <c r="V1" t="s">
        <v>62</v>
      </c>
    </row>
    <row r="2" spans="1:22" ht="30" customHeight="1">
      <c r="A2" t="s">
        <v>11</v>
      </c>
      <c r="B2" t="str">
        <f>_xlfn.TEXTBEFORE(Table1[[#This Row],[condition]],"-")</f>
        <v>arabic</v>
      </c>
      <c r="C2" t="b">
        <f>LEFT(Table1[[#This Row],[encoding]],3)=C$1</f>
        <v>0</v>
      </c>
      <c r="D2" t="b">
        <f>LEFT(Table1[[#This Row],[encoding]],2)=D$1</f>
        <v>0</v>
      </c>
      <c r="E2" t="b">
        <f>NOT(OR(C2,D2))</f>
        <v>1</v>
      </c>
      <c r="F2" t="str">
        <f>_xlfn.TEXTAFTER(Table1[[#This Row],[condition]],"-")</f>
        <v>1g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>_xlfn.LET(_xlpm.d,$G2:$S2,AVERAGE(_xlpm.d))</f>
        <v>1</v>
      </c>
      <c r="U2" s="3">
        <f>_xlfn.LET(_xlpm.d,$G2:$S2,STDEV(_xlpm.d))</f>
        <v>0</v>
      </c>
      <c r="V2" s="1">
        <f>Table1[[#This Row],[average]]-SQRT(Table1[[#This Row],[stdev]])</f>
        <v>1</v>
      </c>
    </row>
    <row r="3" spans="1:22" ht="30" customHeight="1">
      <c r="A3" t="s">
        <v>12</v>
      </c>
      <c r="B3" t="str">
        <f>_xlfn.TEXTBEFORE(Table1[[#This Row],[condition]],"-")</f>
        <v>arabic</v>
      </c>
      <c r="C3" t="b">
        <f>LEFT(Table1[[#This Row],[encoding]],3)=C$1</f>
        <v>0</v>
      </c>
      <c r="D3" t="b">
        <f>LEFT(Table1[[#This Row],[encoding]],2)=D$1</f>
        <v>0</v>
      </c>
      <c r="E3" t="b">
        <f t="shared" ref="E3:E36" si="0">NOT(OR(C3,D3))</f>
        <v>1</v>
      </c>
      <c r="F3" t="str">
        <f>_xlfn.TEXTAFTER(Table1[[#This Row],[condition]],"-")</f>
        <v>2g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36" si="1">_xlfn.LET(_xlpm.d,$G3:$S3,AVERAGE(_xlpm.d))</f>
        <v>1</v>
      </c>
      <c r="U3" s="3">
        <f t="shared" ref="U3:U36" si="2">_xlfn.LET(_xlpm.d,$G3:$S3,STDEV(_xlpm.d))</f>
        <v>0</v>
      </c>
      <c r="V3" s="1">
        <f>Table1[[#This Row],[average]]-SQRT(Table1[[#This Row],[stdev]])</f>
        <v>1</v>
      </c>
    </row>
    <row r="4" spans="1:22" ht="30" customHeight="1">
      <c r="A4" t="s">
        <v>13</v>
      </c>
      <c r="B4" t="str">
        <f>_xlfn.TEXTBEFORE(Table1[[#This Row],[condition]],"-")</f>
        <v>arabic</v>
      </c>
      <c r="C4" t="b">
        <f>LEFT(Table1[[#This Row],[encoding]],3)=C$1</f>
        <v>0</v>
      </c>
      <c r="D4" t="b">
        <f>LEFT(Table1[[#This Row],[encoding]],2)=D$1</f>
        <v>0</v>
      </c>
      <c r="E4" t="b">
        <f t="shared" si="0"/>
        <v>1</v>
      </c>
      <c r="F4" t="str">
        <f>_xlfn.TEXTAFTER(Table1[[#This Row],[condition]],"-")</f>
        <v>3g</v>
      </c>
      <c r="G4" s="1">
        <v>0.99653580692653299</v>
      </c>
      <c r="H4" s="1">
        <v>1</v>
      </c>
      <c r="I4" s="1">
        <v>1</v>
      </c>
      <c r="J4" s="1">
        <v>1</v>
      </c>
      <c r="K4" s="1">
        <v>0.99902623846222705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si="1"/>
        <v>0.99965861887605834</v>
      </c>
      <c r="U4" s="3">
        <f t="shared" si="2"/>
        <v>9.7612376475852047E-4</v>
      </c>
      <c r="V4" s="1">
        <f>Table1[[#This Row],[average]]-SQRT(Table1[[#This Row],[stdev]])</f>
        <v>0.96841563942853248</v>
      </c>
    </row>
    <row r="5" spans="1:22" ht="30" customHeight="1">
      <c r="A5" t="s">
        <v>14</v>
      </c>
      <c r="B5" t="str">
        <f>_xlfn.TEXTBEFORE(Table1[[#This Row],[condition]],"-")</f>
        <v>arabic</v>
      </c>
      <c r="C5" t="b">
        <f>LEFT(Table1[[#This Row],[encoding]],3)=C$1</f>
        <v>0</v>
      </c>
      <c r="D5" t="b">
        <f>LEFT(Table1[[#This Row],[encoding]],2)=D$1</f>
        <v>1</v>
      </c>
      <c r="E5" t="b">
        <f t="shared" si="0"/>
        <v>0</v>
      </c>
      <c r="F5" t="str">
        <f>_xlfn.TEXTAFTER(Table1[[#This Row],[condition]],"-")</f>
        <v>sk2g</v>
      </c>
      <c r="G5" s="1">
        <v>0.98973753430527001</v>
      </c>
      <c r="H5" s="1">
        <v>0.99109231060630998</v>
      </c>
      <c r="I5" s="1">
        <v>0.99851843180169497</v>
      </c>
      <c r="J5" s="1">
        <v>1</v>
      </c>
      <c r="K5" s="1">
        <v>0.99911735996297601</v>
      </c>
      <c r="L5" s="1">
        <v>1</v>
      </c>
      <c r="M5" s="1">
        <v>0.999211964885792</v>
      </c>
      <c r="N5" s="1">
        <v>0.99545078326674197</v>
      </c>
      <c r="O5" s="1">
        <v>1</v>
      </c>
      <c r="P5" s="1">
        <v>0.95846388455017795</v>
      </c>
      <c r="Q5" s="1">
        <v>1</v>
      </c>
      <c r="R5" s="1">
        <v>0.99948051835901797</v>
      </c>
      <c r="S5" s="1">
        <v>0.97123972641136003</v>
      </c>
      <c r="T5" s="1">
        <f t="shared" si="1"/>
        <v>0.99248557801148773</v>
      </c>
      <c r="U5" s="3">
        <f t="shared" si="2"/>
        <v>1.2998598307476428E-2</v>
      </c>
      <c r="V5" s="1">
        <f>Table1[[#This Row],[average]]-SQRT(Table1[[#This Row],[stdev]])</f>
        <v>0.87847418249561648</v>
      </c>
    </row>
    <row r="6" spans="1:22" ht="30" customHeight="1">
      <c r="A6" t="s">
        <v>15</v>
      </c>
      <c r="B6" t="str">
        <f>_xlfn.TEXTBEFORE(Table1[[#This Row],[condition]],"-")</f>
        <v>arabic</v>
      </c>
      <c r="C6" t="b">
        <f>LEFT(Table1[[#This Row],[encoding]],3)=C$1</f>
        <v>0</v>
      </c>
      <c r="D6" t="b">
        <f>LEFT(Table1[[#This Row],[encoding]],2)=D$1</f>
        <v>1</v>
      </c>
      <c r="E6" t="b">
        <f t="shared" si="0"/>
        <v>0</v>
      </c>
      <c r="F6" t="str">
        <f>_xlfn.TEXTAFTER(Table1[[#This Row],[condition]],"-")</f>
        <v>sk3g</v>
      </c>
      <c r="G6" s="1">
        <v>0.98422209899969804</v>
      </c>
      <c r="H6" s="1">
        <v>1</v>
      </c>
      <c r="I6" s="1">
        <v>0.99902146551989202</v>
      </c>
      <c r="J6" s="1">
        <v>0.99838958267699696</v>
      </c>
      <c r="K6" s="1">
        <v>0.97487384675336397</v>
      </c>
      <c r="L6" s="1">
        <v>0.99828756578710998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0.99751225820297296</v>
      </c>
      <c r="S6" s="1">
        <v>0.852173381118568</v>
      </c>
      <c r="T6" s="1">
        <f t="shared" si="1"/>
        <v>0.98496001531220001</v>
      </c>
      <c r="U6" s="3">
        <f t="shared" si="2"/>
        <v>4.0625353781443919E-2</v>
      </c>
      <c r="V6" s="1">
        <f>Table1[[#This Row],[average]]-SQRT(Table1[[#This Row],[stdev]])</f>
        <v>0.78340269398289697</v>
      </c>
    </row>
    <row r="7" spans="1:22" ht="30" customHeight="1">
      <c r="A7" t="s">
        <v>37</v>
      </c>
      <c r="B7" t="str">
        <f>_xlfn.TEXTBEFORE(Table1[[#This Row],[condition]],"-")</f>
        <v>arabic</v>
      </c>
      <c r="C7" t="b">
        <f>LEFT(Table1[[#This Row],[encoding]],3)=C$1</f>
        <v>1</v>
      </c>
      <c r="D7" t="b">
        <f>LEFT(Table1[[#This Row],[encoding]],2)=D$1</f>
        <v>0</v>
      </c>
      <c r="E7" t="b">
        <f t="shared" si="0"/>
        <v>0</v>
      </c>
      <c r="F7" t="str">
        <f>_xlfn.TEXTAFTER(Table1[[#This Row],[condition]],"-")</f>
        <v>xsk2g</v>
      </c>
      <c r="G7" s="1">
        <v>0.988018523837073</v>
      </c>
      <c r="H7" s="1">
        <v>0.98726229810545796</v>
      </c>
      <c r="I7" s="1">
        <v>0.98335153888682703</v>
      </c>
      <c r="J7" s="1">
        <v>0.92095804257913605</v>
      </c>
      <c r="K7" s="1">
        <v>0.99837634520976404</v>
      </c>
      <c r="L7" s="1">
        <v>0.92894014816619097</v>
      </c>
      <c r="M7" s="1">
        <v>0.87446709252048105</v>
      </c>
      <c r="N7" s="1">
        <v>0.99743534090363895</v>
      </c>
      <c r="O7" s="1">
        <v>0.98076076652157795</v>
      </c>
      <c r="P7" s="1">
        <v>0.82871010485249996</v>
      </c>
      <c r="Q7" s="1">
        <v>0.70507709616653402</v>
      </c>
      <c r="R7" s="1">
        <v>1</v>
      </c>
      <c r="S7" s="1">
        <v>0.85347459628144895</v>
      </c>
      <c r="T7" s="1">
        <f t="shared" si="1"/>
        <v>0.92667937646389464</v>
      </c>
      <c r="U7" s="3">
        <f t="shared" si="2"/>
        <v>8.9405696968715989E-2</v>
      </c>
      <c r="V7" s="1">
        <f>Table1[[#This Row],[average]]-SQRT(Table1[[#This Row],[stdev]])</f>
        <v>0.62767152210432098</v>
      </c>
    </row>
    <row r="8" spans="1:22" ht="30" customHeight="1">
      <c r="A8" t="s">
        <v>38</v>
      </c>
      <c r="B8" t="str">
        <f>_xlfn.TEXTBEFORE(Table1[[#This Row],[condition]],"-")</f>
        <v>arabic</v>
      </c>
      <c r="C8" t="b">
        <f>LEFT(Table1[[#This Row],[encoding]],3)=C$1</f>
        <v>1</v>
      </c>
      <c r="D8" t="b">
        <f>LEFT(Table1[[#This Row],[encoding]],2)=D$1</f>
        <v>0</v>
      </c>
      <c r="E8" t="b">
        <f t="shared" si="0"/>
        <v>0</v>
      </c>
      <c r="F8" t="str">
        <f>_xlfn.TEXTAFTER(Table1[[#This Row],[condition]],"-")</f>
        <v>xsk3g</v>
      </c>
      <c r="G8" s="1">
        <v>1</v>
      </c>
      <c r="H8" s="1">
        <v>0.99829908520196997</v>
      </c>
      <c r="I8" s="1">
        <v>0.98175179999265905</v>
      </c>
      <c r="J8" s="1">
        <v>0.98126751910168797</v>
      </c>
      <c r="K8" s="1">
        <v>1</v>
      </c>
      <c r="L8" s="1">
        <v>1</v>
      </c>
      <c r="M8" s="1">
        <v>0.91955239074679396</v>
      </c>
      <c r="N8" s="1">
        <v>0.88698937353136398</v>
      </c>
      <c r="O8" s="1">
        <v>0.97993823599402996</v>
      </c>
      <c r="P8" s="1">
        <v>0.71497868270935105</v>
      </c>
      <c r="Q8" s="1">
        <v>0.98748433925774903</v>
      </c>
      <c r="R8" s="1">
        <v>1</v>
      </c>
      <c r="S8" s="1">
        <v>0.59157414395448304</v>
      </c>
      <c r="T8" s="1">
        <f t="shared" si="1"/>
        <v>0.92629504388385286</v>
      </c>
      <c r="U8" s="3">
        <f t="shared" si="2"/>
        <v>0.12842523615935358</v>
      </c>
      <c r="V8" s="1">
        <f>Table1[[#This Row],[average]]-SQRT(Table1[[#This Row],[stdev]])</f>
        <v>0.56793037464404961</v>
      </c>
    </row>
    <row r="9" spans="1:22" ht="30" customHeight="1">
      <c r="A9" t="s">
        <v>16</v>
      </c>
      <c r="B9" t="str">
        <f>_xlfn.TEXTBEFORE(Table1[[#This Row],[condition]],"-")</f>
        <v>english</v>
      </c>
      <c r="C9" t="b">
        <f>LEFT(Table1[[#This Row],[encoding]],3)=C$1</f>
        <v>0</v>
      </c>
      <c r="D9" t="b">
        <f>LEFT(Table1[[#This Row],[encoding]],2)=D$1</f>
        <v>0</v>
      </c>
      <c r="E9" t="b">
        <f t="shared" si="0"/>
        <v>1</v>
      </c>
      <c r="F9" t="str">
        <f>_xlfn.TEXTAFTER(Table1[[#This Row],[condition]],"-")</f>
        <v>1g</v>
      </c>
      <c r="G9" s="1">
        <v>0.88398687792569397</v>
      </c>
      <c r="H9" s="1">
        <v>0.82944456288853996</v>
      </c>
      <c r="I9" s="1">
        <v>0.72941786387876595</v>
      </c>
      <c r="J9" s="1">
        <v>0.70607240797549597</v>
      </c>
      <c r="K9" s="1">
        <v>0.68338674645011899</v>
      </c>
      <c r="L9" s="1">
        <v>0.135238547455899</v>
      </c>
      <c r="M9" s="1">
        <v>0.63069749318300405</v>
      </c>
      <c r="N9" s="1">
        <v>0.22161916920896299</v>
      </c>
      <c r="O9" s="1">
        <v>0.33664174497660998</v>
      </c>
      <c r="P9" s="1">
        <v>0.56342581481906995</v>
      </c>
      <c r="Q9" s="1">
        <v>0.27876272032571803</v>
      </c>
      <c r="R9" s="1">
        <v>0</v>
      </c>
      <c r="S9" s="1">
        <v>0</v>
      </c>
      <c r="T9" s="1">
        <f t="shared" si="1"/>
        <v>0.46143799608368297</v>
      </c>
      <c r="U9" s="3">
        <f t="shared" si="2"/>
        <v>0.31260474181093967</v>
      </c>
      <c r="V9" s="1">
        <f>Table1[[#This Row],[average]]-SQRT(Table1[[#This Row],[stdev]])</f>
        <v>-9.7672674366219736E-2</v>
      </c>
    </row>
    <row r="10" spans="1:22" ht="30" customHeight="1">
      <c r="A10" t="s">
        <v>17</v>
      </c>
      <c r="B10" t="str">
        <f>_xlfn.TEXTBEFORE(Table1[[#This Row],[condition]],"-")</f>
        <v>english</v>
      </c>
      <c r="C10" t="b">
        <f>LEFT(Table1[[#This Row],[encoding]],3)=C$1</f>
        <v>0</v>
      </c>
      <c r="D10" t="b">
        <f>LEFT(Table1[[#This Row],[encoding]],2)=D$1</f>
        <v>0</v>
      </c>
      <c r="E10" t="b">
        <f t="shared" si="0"/>
        <v>1</v>
      </c>
      <c r="F10" t="str">
        <f>_xlfn.TEXTAFTER(Table1[[#This Row],[condition]],"-")</f>
        <v>2g</v>
      </c>
      <c r="G10" s="1">
        <v>0.46139349378975503</v>
      </c>
      <c r="H10" s="1">
        <v>0.25181802036422901</v>
      </c>
      <c r="I10" s="1">
        <v>0.16513271578834399</v>
      </c>
      <c r="J10" s="1">
        <v>0.31727070041208599</v>
      </c>
      <c r="K10" s="1">
        <v>0.168624474643601</v>
      </c>
      <c r="L10" s="1">
        <v>0.362610107541875</v>
      </c>
      <c r="M10" s="1">
        <v>0.370189947738364</v>
      </c>
      <c r="N10" s="1">
        <v>0.12506618089322799</v>
      </c>
      <c r="O10" s="1">
        <v>0.23004863050656199</v>
      </c>
      <c r="P10" s="1">
        <v>0.29500032032593099</v>
      </c>
      <c r="Q10" s="1">
        <v>0</v>
      </c>
      <c r="R10" s="1">
        <v>0</v>
      </c>
      <c r="S10" s="1">
        <v>0</v>
      </c>
      <c r="T10" s="1">
        <f t="shared" si="1"/>
        <v>0.21131958400030579</v>
      </c>
      <c r="U10" s="3">
        <f t="shared" si="2"/>
        <v>0.15172569245981746</v>
      </c>
      <c r="V10" s="1">
        <f>Table1[[#This Row],[average]]-SQRT(Table1[[#This Row],[stdev]])</f>
        <v>-0.17820023893534079</v>
      </c>
    </row>
    <row r="11" spans="1:22" ht="30" customHeight="1">
      <c r="A11" t="s">
        <v>18</v>
      </c>
      <c r="B11" t="str">
        <f>_xlfn.TEXTBEFORE(Table1[[#This Row],[condition]],"-")</f>
        <v>english</v>
      </c>
      <c r="C11" t="b">
        <f>LEFT(Table1[[#This Row],[encoding]],3)=C$1</f>
        <v>0</v>
      </c>
      <c r="D11" t="b">
        <f>LEFT(Table1[[#This Row],[encoding]],2)=D$1</f>
        <v>0</v>
      </c>
      <c r="E11" t="b">
        <f t="shared" si="0"/>
        <v>1</v>
      </c>
      <c r="F11" t="str">
        <f>_xlfn.TEXTAFTER(Table1[[#This Row],[condition]],"-")</f>
        <v>3g</v>
      </c>
      <c r="G11" s="1">
        <v>0.51312029254407598</v>
      </c>
      <c r="H11" s="1">
        <v>0.29548092177012503</v>
      </c>
      <c r="I11" s="1">
        <v>0.45419768276644401</v>
      </c>
      <c r="J11" s="1">
        <v>0.42075149021782698</v>
      </c>
      <c r="K11" s="1">
        <v>0.16562467567404701</v>
      </c>
      <c r="L11" s="1">
        <v>0.25180621128555097</v>
      </c>
      <c r="M11" s="1">
        <v>0.15641126987472501</v>
      </c>
      <c r="N11" s="1">
        <v>0.352973847235866</v>
      </c>
      <c r="O11" s="1">
        <v>0.15370294352672501</v>
      </c>
      <c r="P11" s="1">
        <v>0.30030120694684398</v>
      </c>
      <c r="Q11" s="1">
        <v>0.223639889541806</v>
      </c>
      <c r="R11" s="1">
        <v>0.197059307072628</v>
      </c>
      <c r="S11" s="1">
        <v>0.37506921561287698</v>
      </c>
      <c r="T11" s="1">
        <f t="shared" si="1"/>
        <v>0.296933765697657</v>
      </c>
      <c r="U11" s="3">
        <f t="shared" si="2"/>
        <v>0.11935436938835448</v>
      </c>
      <c r="V11" s="1">
        <f>Table1[[#This Row],[average]]-SQRT(Table1[[#This Row],[stdev]])</f>
        <v>-4.8543251466082071E-2</v>
      </c>
    </row>
    <row r="12" spans="1:22" ht="30" customHeight="1">
      <c r="A12" t="s">
        <v>19</v>
      </c>
      <c r="B12" t="str">
        <f>_xlfn.TEXTBEFORE(Table1[[#This Row],[condition]],"-")</f>
        <v>english</v>
      </c>
      <c r="C12" t="b">
        <f>LEFT(Table1[[#This Row],[encoding]],3)=C$1</f>
        <v>0</v>
      </c>
      <c r="D12" t="b">
        <f>LEFT(Table1[[#This Row],[encoding]],2)=D$1</f>
        <v>1</v>
      </c>
      <c r="E12" t="b">
        <f t="shared" si="0"/>
        <v>0</v>
      </c>
      <c r="F12" t="str">
        <f>_xlfn.TEXTAFTER(Table1[[#This Row],[condition]],"-")</f>
        <v>sk2g</v>
      </c>
      <c r="G12" s="1">
        <v>0.44871667676257898</v>
      </c>
      <c r="H12" s="1">
        <v>0.34531322601167203</v>
      </c>
      <c r="I12" s="1">
        <v>0.39120945605068902</v>
      </c>
      <c r="J12" s="1">
        <v>0.50939693724402102</v>
      </c>
      <c r="K12" s="1">
        <v>0.56401915638836397</v>
      </c>
      <c r="L12" s="1">
        <v>0.29649280892871999</v>
      </c>
      <c r="M12" s="1">
        <v>0.41975860081824501</v>
      </c>
      <c r="N12" s="1">
        <v>0.57763848513606397</v>
      </c>
      <c r="O12" s="1">
        <v>0.143352582099396</v>
      </c>
      <c r="P12" s="1">
        <v>0</v>
      </c>
      <c r="Q12" s="1">
        <v>0.22842314161521901</v>
      </c>
      <c r="R12" s="1">
        <v>0.20094078922780001</v>
      </c>
      <c r="S12" s="1">
        <v>0.37379417949302701</v>
      </c>
      <c r="T12" s="1">
        <f t="shared" si="1"/>
        <v>0.34608123382890732</v>
      </c>
      <c r="U12" s="3">
        <f t="shared" si="2"/>
        <v>0.16950776131160133</v>
      </c>
      <c r="V12" s="1">
        <f>Table1[[#This Row],[average]]-SQRT(Table1[[#This Row],[stdev]])</f>
        <v>-6.5631968912517213E-2</v>
      </c>
    </row>
    <row r="13" spans="1:22" ht="30" customHeight="1">
      <c r="A13" t="s">
        <v>20</v>
      </c>
      <c r="B13" t="str">
        <f>_xlfn.TEXTBEFORE(Table1[[#This Row],[condition]],"-")</f>
        <v>english</v>
      </c>
      <c r="C13" t="b">
        <f>LEFT(Table1[[#This Row],[encoding]],3)=C$1</f>
        <v>0</v>
      </c>
      <c r="D13" t="b">
        <f>LEFT(Table1[[#This Row],[encoding]],2)=D$1</f>
        <v>1</v>
      </c>
      <c r="E13" t="b">
        <f t="shared" si="0"/>
        <v>0</v>
      </c>
      <c r="F13" t="str">
        <f>_xlfn.TEXTAFTER(Table1[[#This Row],[condition]],"-")</f>
        <v>sk3g</v>
      </c>
      <c r="G13" s="1">
        <v>0.44054861770373699</v>
      </c>
      <c r="H13" s="1">
        <v>0.463594572393487</v>
      </c>
      <c r="I13" s="1">
        <v>0.43272796632813398</v>
      </c>
      <c r="J13" s="1">
        <v>0.48938989165646402</v>
      </c>
      <c r="K13" s="1">
        <v>0.50782875756780199</v>
      </c>
      <c r="L13" s="1">
        <v>0.31331932804162799</v>
      </c>
      <c r="M13" s="1">
        <v>0.16696700283392399</v>
      </c>
      <c r="N13" s="1">
        <v>0.22330436282296301</v>
      </c>
      <c r="O13" s="1">
        <v>0.25300791622639701</v>
      </c>
      <c r="P13" s="1">
        <v>0.19965972567163601</v>
      </c>
      <c r="Q13" s="1">
        <v>0.290289614931799</v>
      </c>
      <c r="R13" s="1">
        <v>0.24887655243286799</v>
      </c>
      <c r="S13" s="1">
        <v>0.22541775482723</v>
      </c>
      <c r="T13" s="1">
        <f t="shared" si="1"/>
        <v>0.32730246641831301</v>
      </c>
      <c r="U13" s="3">
        <f t="shared" si="2"/>
        <v>0.12172676158858667</v>
      </c>
      <c r="V13" s="1">
        <f>Table1[[#This Row],[average]]-SQRT(Table1[[#This Row],[stdev]])</f>
        <v>-2.1591158614571004E-2</v>
      </c>
    </row>
    <row r="14" spans="1:22" ht="30" customHeight="1">
      <c r="A14" t="s">
        <v>39</v>
      </c>
      <c r="B14" t="str">
        <f>_xlfn.TEXTBEFORE(Table1[[#This Row],[condition]],"-")</f>
        <v>english</v>
      </c>
      <c r="C14" t="b">
        <f>LEFT(Table1[[#This Row],[encoding]],3)=C$1</f>
        <v>1</v>
      </c>
      <c r="D14" t="b">
        <f>LEFT(Table1[[#This Row],[encoding]],2)=D$1</f>
        <v>0</v>
      </c>
      <c r="E14" t="b">
        <f t="shared" si="0"/>
        <v>0</v>
      </c>
      <c r="F14" t="str">
        <f>_xlfn.TEXTAFTER(Table1[[#This Row],[condition]],"-")</f>
        <v>xsk2g</v>
      </c>
      <c r="G14" s="1">
        <v>0.84345509795074303</v>
      </c>
      <c r="H14" s="1">
        <v>0.44109009531475202</v>
      </c>
      <c r="I14" s="1">
        <v>0.3728748981226</v>
      </c>
      <c r="J14" s="1">
        <v>0.53265922732151005</v>
      </c>
      <c r="K14" s="1">
        <v>0.40182971631167302</v>
      </c>
      <c r="L14" s="1">
        <v>0.25440543019293199</v>
      </c>
      <c r="M14" s="1">
        <v>0.27416045041258802</v>
      </c>
      <c r="N14" s="1">
        <v>0.40231523800730201</v>
      </c>
      <c r="O14" s="1">
        <v>0.31426953437785499</v>
      </c>
      <c r="P14" s="1">
        <v>0.199377997814807</v>
      </c>
      <c r="Q14" s="1">
        <v>0.42546938921116401</v>
      </c>
      <c r="R14" s="1">
        <v>0.25619113128774001</v>
      </c>
      <c r="S14" s="1">
        <v>0.31878409763420901</v>
      </c>
      <c r="T14" s="1">
        <f t="shared" si="1"/>
        <v>0.3874524849199904</v>
      </c>
      <c r="U14" s="3">
        <f t="shared" si="2"/>
        <v>0.16512495844391151</v>
      </c>
      <c r="V14" s="1">
        <f>Table1[[#This Row],[average]]-SQRT(Table1[[#This Row],[stdev]])</f>
        <v>-1.8903219412939432E-2</v>
      </c>
    </row>
    <row r="15" spans="1:22" ht="30" customHeight="1">
      <c r="A15" t="s">
        <v>40</v>
      </c>
      <c r="B15" t="str">
        <f>_xlfn.TEXTBEFORE(Table1[[#This Row],[condition]],"-")</f>
        <v>english</v>
      </c>
      <c r="C15" t="b">
        <f>LEFT(Table1[[#This Row],[encoding]],3)=C$1</f>
        <v>1</v>
      </c>
      <c r="D15" t="b">
        <f>LEFT(Table1[[#This Row],[encoding]],2)=D$1</f>
        <v>0</v>
      </c>
      <c r="E15" t="b">
        <f t="shared" si="0"/>
        <v>0</v>
      </c>
      <c r="F15" t="str">
        <f>_xlfn.TEXTAFTER(Table1[[#This Row],[condition]],"-")</f>
        <v>xsk3g</v>
      </c>
      <c r="G15" s="1">
        <v>0.58444175979426505</v>
      </c>
      <c r="H15" s="1">
        <v>0.45252262120539399</v>
      </c>
      <c r="I15" s="1">
        <v>0.71307895954455602</v>
      </c>
      <c r="J15" s="1">
        <v>0.51649596712899504</v>
      </c>
      <c r="K15" s="1">
        <v>0.34571413966165698</v>
      </c>
      <c r="L15" s="1">
        <v>0.39861935655775899</v>
      </c>
      <c r="M15" s="1">
        <v>0.57437645512212498</v>
      </c>
      <c r="N15" s="1">
        <v>0.41450191405474501</v>
      </c>
      <c r="O15" s="1">
        <v>0.22066121481234</v>
      </c>
      <c r="P15" s="1">
        <v>0.219353959960918</v>
      </c>
      <c r="Q15" s="1">
        <v>0.24217339566965601</v>
      </c>
      <c r="R15" s="1">
        <v>0</v>
      </c>
      <c r="S15" s="1">
        <v>0.247809470214571</v>
      </c>
      <c r="T15" s="1">
        <f t="shared" si="1"/>
        <v>0.37921147797899862</v>
      </c>
      <c r="U15" s="3">
        <f t="shared" si="2"/>
        <v>0.19347306440559203</v>
      </c>
      <c r="V15" s="1">
        <f>Table1[[#This Row],[average]]-SQRT(Table1[[#This Row],[stdev]])</f>
        <v>-6.0644253375717327E-2</v>
      </c>
    </row>
    <row r="16" spans="1:22" ht="30" customHeight="1">
      <c r="A16" t="s">
        <v>21</v>
      </c>
      <c r="B16" t="str">
        <f>_xlfn.TEXTBEFORE(Table1[[#This Row],[condition]],"-")</f>
        <v>french</v>
      </c>
      <c r="C16" t="b">
        <f>LEFT(Table1[[#This Row],[encoding]],3)=C$1</f>
        <v>0</v>
      </c>
      <c r="D16" t="b">
        <f>LEFT(Table1[[#This Row],[encoding]],2)=D$1</f>
        <v>0</v>
      </c>
      <c r="E16" t="b">
        <f t="shared" si="0"/>
        <v>1</v>
      </c>
      <c r="F16" t="str">
        <f>_xlfn.TEXTAFTER(Table1[[#This Row],[condition]],"-")</f>
        <v>1g</v>
      </c>
      <c r="G16" s="1">
        <v>0.87914130913120603</v>
      </c>
      <c r="H16" s="1">
        <v>0.776776330371862</v>
      </c>
      <c r="I16" s="1">
        <v>0.76493736930508205</v>
      </c>
      <c r="J16" s="1">
        <v>0.71019542131973001</v>
      </c>
      <c r="K16" s="1">
        <v>0.54499717614940302</v>
      </c>
      <c r="L16" s="1">
        <v>0.118781689230049</v>
      </c>
      <c r="M16" s="1">
        <v>0.31182517276819</v>
      </c>
      <c r="N16" s="1">
        <v>0.28661942877881103</v>
      </c>
      <c r="O16" s="1">
        <v>0.50327711378820095</v>
      </c>
      <c r="P16" s="1">
        <v>0.18112248724365601</v>
      </c>
      <c r="Q16" s="1">
        <v>0</v>
      </c>
      <c r="R16" s="1">
        <v>0.31454427279109298</v>
      </c>
      <c r="S16" s="1">
        <v>0</v>
      </c>
      <c r="T16" s="1">
        <f t="shared" si="1"/>
        <v>0.41478598237517555</v>
      </c>
      <c r="U16" s="3">
        <f t="shared" si="2"/>
        <v>0.30341243028565101</v>
      </c>
      <c r="V16" s="1">
        <f>Table1[[#This Row],[average]]-SQRT(Table1[[#This Row],[stdev]])</f>
        <v>-0.13604287515286922</v>
      </c>
    </row>
    <row r="17" spans="1:22" ht="30" customHeight="1">
      <c r="A17" t="s">
        <v>22</v>
      </c>
      <c r="B17" t="str">
        <f>_xlfn.TEXTBEFORE(Table1[[#This Row],[condition]],"-")</f>
        <v>french</v>
      </c>
      <c r="C17" t="b">
        <f>LEFT(Table1[[#This Row],[encoding]],3)=C$1</f>
        <v>0</v>
      </c>
      <c r="D17" t="b">
        <f>LEFT(Table1[[#This Row],[encoding]],2)=D$1</f>
        <v>0</v>
      </c>
      <c r="E17" t="b">
        <f t="shared" si="0"/>
        <v>1</v>
      </c>
      <c r="F17" t="str">
        <f>_xlfn.TEXTAFTER(Table1[[#This Row],[condition]],"-")</f>
        <v>2g</v>
      </c>
      <c r="G17" s="1">
        <v>0.640392047593769</v>
      </c>
      <c r="H17" s="1">
        <v>0.45780869291981702</v>
      </c>
      <c r="I17" s="1">
        <v>0.294246614290818</v>
      </c>
      <c r="J17" s="1">
        <v>0.53398032782773497</v>
      </c>
      <c r="K17" s="1">
        <v>0.235057659312714</v>
      </c>
      <c r="L17" s="1">
        <v>0.23819116085778799</v>
      </c>
      <c r="M17" s="1">
        <v>0</v>
      </c>
      <c r="N17" s="1">
        <v>0.28891106603382299</v>
      </c>
      <c r="O17" s="1">
        <v>0.18321398331388999</v>
      </c>
      <c r="P17" s="1">
        <v>0.34366441909363299</v>
      </c>
      <c r="Q17" s="1">
        <v>0</v>
      </c>
      <c r="R17" s="1">
        <v>0.204705871496241</v>
      </c>
      <c r="S17" s="1">
        <v>0.28825793646449999</v>
      </c>
      <c r="T17" s="1">
        <f t="shared" si="1"/>
        <v>0.28526382916959447</v>
      </c>
      <c r="U17" s="3">
        <f t="shared" si="2"/>
        <v>0.18385964307547387</v>
      </c>
      <c r="V17" s="1">
        <f>Table1[[#This Row],[average]]-SQRT(Table1[[#This Row],[stdev]])</f>
        <v>-0.14352474702556706</v>
      </c>
    </row>
    <row r="18" spans="1:22" ht="30" customHeight="1">
      <c r="A18" t="s">
        <v>23</v>
      </c>
      <c r="B18" t="str">
        <f>_xlfn.TEXTBEFORE(Table1[[#This Row],[condition]],"-")</f>
        <v>french</v>
      </c>
      <c r="C18" t="b">
        <f>LEFT(Table1[[#This Row],[encoding]],3)=C$1</f>
        <v>0</v>
      </c>
      <c r="D18" t="b">
        <f>LEFT(Table1[[#This Row],[encoding]],2)=D$1</f>
        <v>0</v>
      </c>
      <c r="E18" t="b">
        <f t="shared" si="0"/>
        <v>1</v>
      </c>
      <c r="F18" t="str">
        <f>_xlfn.TEXTAFTER(Table1[[#This Row],[condition]],"-")</f>
        <v>3g</v>
      </c>
      <c r="G18" s="1">
        <v>0.38585322626504598</v>
      </c>
      <c r="H18" s="1">
        <v>0.44672873271171998</v>
      </c>
      <c r="I18" s="1">
        <v>0.42759660020511298</v>
      </c>
      <c r="J18" s="1">
        <v>0.70058835054597501</v>
      </c>
      <c r="K18" s="1">
        <v>0.593631531410862</v>
      </c>
      <c r="L18" s="1">
        <v>0.53721311583091202</v>
      </c>
      <c r="M18" s="1">
        <v>0.119322489266103</v>
      </c>
      <c r="N18" s="1">
        <v>0.238553527018874</v>
      </c>
      <c r="O18" s="1">
        <v>0.31710131781702999</v>
      </c>
      <c r="P18" s="1">
        <v>0.39260947751208802</v>
      </c>
      <c r="Q18" s="1">
        <v>0.31676124338050299</v>
      </c>
      <c r="R18" s="1">
        <v>0.25765227588996298</v>
      </c>
      <c r="S18" s="1">
        <v>0.166214238025752</v>
      </c>
      <c r="T18" s="1">
        <f t="shared" si="1"/>
        <v>0.37690970199076462</v>
      </c>
      <c r="U18" s="3">
        <f t="shared" si="2"/>
        <v>0.16745823535640986</v>
      </c>
      <c r="V18" s="1">
        <f>Table1[[#This Row],[average]]-SQRT(Table1[[#This Row],[stdev]])</f>
        <v>-3.2306909788876903E-2</v>
      </c>
    </row>
    <row r="19" spans="1:22" ht="30" customHeight="1">
      <c r="A19" t="s">
        <v>24</v>
      </c>
      <c r="B19" t="str">
        <f>_xlfn.TEXTBEFORE(Table1[[#This Row],[condition]],"-")</f>
        <v>french</v>
      </c>
      <c r="C19" t="b">
        <f>LEFT(Table1[[#This Row],[encoding]],3)=C$1</f>
        <v>0</v>
      </c>
      <c r="D19" t="b">
        <f>LEFT(Table1[[#This Row],[encoding]],2)=D$1</f>
        <v>1</v>
      </c>
      <c r="E19" t="b">
        <f t="shared" si="0"/>
        <v>0</v>
      </c>
      <c r="F19" t="str">
        <f>_xlfn.TEXTAFTER(Table1[[#This Row],[condition]],"-")</f>
        <v>sk2g</v>
      </c>
      <c r="G19" s="1">
        <v>0.60938723343328005</v>
      </c>
      <c r="H19" s="1">
        <v>0.68889335919650097</v>
      </c>
      <c r="I19" s="1">
        <v>0.53207117934063997</v>
      </c>
      <c r="J19" s="1">
        <v>0.46451126142121302</v>
      </c>
      <c r="K19" s="1">
        <v>0.39771019995256701</v>
      </c>
      <c r="L19" s="1">
        <v>0.38721647157367201</v>
      </c>
      <c r="M19" s="1">
        <v>0.40721602266183998</v>
      </c>
      <c r="N19" s="1">
        <v>0.30983268631775401</v>
      </c>
      <c r="O19" s="1">
        <v>0.37125951700830701</v>
      </c>
      <c r="P19" s="1">
        <v>0.22768526437282499</v>
      </c>
      <c r="Q19" s="1">
        <v>0.34754639573745799</v>
      </c>
      <c r="R19" s="1">
        <v>0.183276889551647</v>
      </c>
      <c r="S19" s="1">
        <v>0.48063043278881601</v>
      </c>
      <c r="T19" s="1">
        <f t="shared" si="1"/>
        <v>0.41594130102742455</v>
      </c>
      <c r="U19" s="3">
        <f t="shared" si="2"/>
        <v>0.14162570221937676</v>
      </c>
      <c r="V19" s="1">
        <f>Table1[[#This Row],[average]]-SQRT(Table1[[#This Row],[stdev]])</f>
        <v>3.9609396693794152E-2</v>
      </c>
    </row>
    <row r="20" spans="1:22" ht="30" customHeight="1">
      <c r="A20" t="s">
        <v>25</v>
      </c>
      <c r="B20" t="str">
        <f>_xlfn.TEXTBEFORE(Table1[[#This Row],[condition]],"-")</f>
        <v>french</v>
      </c>
      <c r="C20" t="b">
        <f>LEFT(Table1[[#This Row],[encoding]],3)=C$1</f>
        <v>0</v>
      </c>
      <c r="D20" t="b">
        <f>LEFT(Table1[[#This Row],[encoding]],2)=D$1</f>
        <v>1</v>
      </c>
      <c r="E20" t="b">
        <f t="shared" si="0"/>
        <v>0</v>
      </c>
      <c r="F20" t="str">
        <f>_xlfn.TEXTAFTER(Table1[[#This Row],[condition]],"-")</f>
        <v>sk3g</v>
      </c>
      <c r="G20" s="1">
        <v>0.43284042553073199</v>
      </c>
      <c r="H20" s="1">
        <v>0.52314808951910396</v>
      </c>
      <c r="I20" s="1">
        <v>0.45631934174097399</v>
      </c>
      <c r="J20" s="1">
        <v>0.43060992399554299</v>
      </c>
      <c r="K20" s="1">
        <v>0.32105056495154299</v>
      </c>
      <c r="L20" s="1">
        <v>0.602774200099079</v>
      </c>
      <c r="M20" s="1">
        <v>0.49372333842373201</v>
      </c>
      <c r="N20" s="1">
        <v>0.503714419663298</v>
      </c>
      <c r="O20" s="1">
        <v>0.41647671686016202</v>
      </c>
      <c r="P20" s="1">
        <v>0.42861467146142601</v>
      </c>
      <c r="Q20" s="1">
        <v>0.19883888332892599</v>
      </c>
      <c r="R20" s="1">
        <v>0.48291689166574697</v>
      </c>
      <c r="S20" s="1">
        <v>0</v>
      </c>
      <c r="T20" s="1">
        <f t="shared" si="1"/>
        <v>0.40700211286463583</v>
      </c>
      <c r="U20" s="3">
        <f t="shared" si="2"/>
        <v>0.15680078086005339</v>
      </c>
      <c r="V20" s="1">
        <f>Table1[[#This Row],[average]]-SQRT(Table1[[#This Row],[stdev]])</f>
        <v>1.1021329416684433E-2</v>
      </c>
    </row>
    <row r="21" spans="1:22" ht="30" customHeight="1">
      <c r="A21" t="s">
        <v>41</v>
      </c>
      <c r="B21" t="str">
        <f>_xlfn.TEXTBEFORE(Table1[[#This Row],[condition]],"-")</f>
        <v>french</v>
      </c>
      <c r="C21" t="b">
        <f>LEFT(Table1[[#This Row],[encoding]],3)=C$1</f>
        <v>1</v>
      </c>
      <c r="D21" t="b">
        <f>LEFT(Table1[[#This Row],[encoding]],2)=D$1</f>
        <v>0</v>
      </c>
      <c r="E21" t="b">
        <f t="shared" si="0"/>
        <v>0</v>
      </c>
      <c r="F21" t="str">
        <f>_xlfn.TEXTAFTER(Table1[[#This Row],[condition]],"-")</f>
        <v>xsk2g</v>
      </c>
      <c r="G21" s="1">
        <v>0.55279529371777403</v>
      </c>
      <c r="H21" s="1">
        <v>0.400541256486865</v>
      </c>
      <c r="I21" s="1">
        <v>0.52319759648642195</v>
      </c>
      <c r="J21" s="1">
        <v>0.44033784247212798</v>
      </c>
      <c r="K21" s="1">
        <v>0.18332517233012999</v>
      </c>
      <c r="L21" s="1">
        <v>0.284744658512187</v>
      </c>
      <c r="M21" s="1">
        <v>0.369470907376936</v>
      </c>
      <c r="N21" s="1">
        <v>0.44075079079684998</v>
      </c>
      <c r="O21" s="1">
        <v>0.18306951498471299</v>
      </c>
      <c r="P21" s="1">
        <v>0.34818310392367902</v>
      </c>
      <c r="Q21" s="1">
        <v>0.38614613774548501</v>
      </c>
      <c r="R21" s="1">
        <v>0.224642890025952</v>
      </c>
      <c r="S21" s="1">
        <v>0.24943438402526999</v>
      </c>
      <c r="T21" s="1">
        <f t="shared" si="1"/>
        <v>0.35281842683726083</v>
      </c>
      <c r="U21" s="3">
        <f t="shared" si="2"/>
        <v>0.12158415345985565</v>
      </c>
      <c r="V21" s="1">
        <f>Table1[[#This Row],[average]]-SQRT(Table1[[#This Row],[stdev]])</f>
        <v>4.1292336295337129E-3</v>
      </c>
    </row>
    <row r="22" spans="1:22" ht="30" customHeight="1">
      <c r="A22" t="s">
        <v>42</v>
      </c>
      <c r="B22" t="str">
        <f>_xlfn.TEXTBEFORE(Table1[[#This Row],[condition]],"-")</f>
        <v>french</v>
      </c>
      <c r="C22" t="b">
        <f>LEFT(Table1[[#This Row],[encoding]],3)=C$1</f>
        <v>1</v>
      </c>
      <c r="D22" t="b">
        <f>LEFT(Table1[[#This Row],[encoding]],2)=D$1</f>
        <v>0</v>
      </c>
      <c r="E22" t="b">
        <f t="shared" si="0"/>
        <v>0</v>
      </c>
      <c r="F22" t="str">
        <f>_xlfn.TEXTAFTER(Table1[[#This Row],[condition]],"-")</f>
        <v>xsk3g</v>
      </c>
      <c r="G22" s="1">
        <v>0.45463330576754502</v>
      </c>
      <c r="H22" s="1">
        <v>0.62874472798851699</v>
      </c>
      <c r="I22" s="1">
        <v>0.25657263761549598</v>
      </c>
      <c r="J22" s="1">
        <v>0.41770662486399601</v>
      </c>
      <c r="K22" s="1">
        <v>0.50982247562783101</v>
      </c>
      <c r="L22" s="1">
        <v>0.414873223967196</v>
      </c>
      <c r="M22" s="1">
        <v>0.349253861813346</v>
      </c>
      <c r="N22" s="1">
        <v>0.38584604066265499</v>
      </c>
      <c r="O22" s="1">
        <v>0.250141566416898</v>
      </c>
      <c r="P22" s="1">
        <v>0.37663070087253298</v>
      </c>
      <c r="Q22" s="1">
        <v>0.28618081313152799</v>
      </c>
      <c r="R22" s="1">
        <v>0.24842023947215999</v>
      </c>
      <c r="S22" s="1">
        <v>0.21836691674748501</v>
      </c>
      <c r="T22" s="1">
        <f t="shared" si="1"/>
        <v>0.36901485653439892</v>
      </c>
      <c r="U22" s="3">
        <f t="shared" si="2"/>
        <v>0.11926721726311999</v>
      </c>
      <c r="V22" s="1">
        <f>Table1[[#This Row],[average]]-SQRT(Table1[[#This Row],[stdev]])</f>
        <v>2.3663995433517937E-2</v>
      </c>
    </row>
    <row r="23" spans="1:22" ht="30" customHeight="1">
      <c r="A23" t="s">
        <v>26</v>
      </c>
      <c r="B23" t="str">
        <f>_xlfn.TEXTBEFORE(Table1[[#This Row],[condition]],"-")</f>
        <v>german</v>
      </c>
      <c r="C23" t="b">
        <f>LEFT(Table1[[#This Row],[encoding]],3)=C$1</f>
        <v>0</v>
      </c>
      <c r="D23" t="b">
        <f>LEFT(Table1[[#This Row],[encoding]],2)=D$1</f>
        <v>0</v>
      </c>
      <c r="E23" t="b">
        <f t="shared" si="0"/>
        <v>1</v>
      </c>
      <c r="F23" t="str">
        <f>_xlfn.TEXTAFTER(Table1[[#This Row],[condition]],"-")</f>
        <v>1g</v>
      </c>
      <c r="G23" s="1">
        <v>0.94042431231878498</v>
      </c>
      <c r="H23" s="1">
        <v>0.99094466594535102</v>
      </c>
      <c r="I23" s="1">
        <v>0.76654383222234701</v>
      </c>
      <c r="J23" s="1">
        <v>0.69437083249651699</v>
      </c>
      <c r="K23" s="1">
        <v>0.413559163182185</v>
      </c>
      <c r="L23" s="1">
        <v>0.73437597160178503</v>
      </c>
      <c r="M23" s="1">
        <v>0.29038584735183298</v>
      </c>
      <c r="N23" s="1">
        <v>0.26840255011419301</v>
      </c>
      <c r="O23" s="1">
        <v>0.46729674309518199</v>
      </c>
      <c r="P23" s="1">
        <v>0.44081142449011002</v>
      </c>
      <c r="Q23" s="1">
        <v>0.20092757568331601</v>
      </c>
      <c r="R23" s="1">
        <v>0</v>
      </c>
      <c r="S23" s="1">
        <v>0</v>
      </c>
      <c r="T23" s="1">
        <f t="shared" si="1"/>
        <v>0.4775417629616619</v>
      </c>
      <c r="U23" s="3">
        <f t="shared" si="2"/>
        <v>0.32803273784401865</v>
      </c>
      <c r="V23" s="1">
        <f>Table1[[#This Row],[average]]-SQRT(Table1[[#This Row],[stdev]])</f>
        <v>-9.519966023384846E-2</v>
      </c>
    </row>
    <row r="24" spans="1:22" ht="30" customHeight="1">
      <c r="A24" t="s">
        <v>27</v>
      </c>
      <c r="B24" t="str">
        <f>_xlfn.TEXTBEFORE(Table1[[#This Row],[condition]],"-")</f>
        <v>german</v>
      </c>
      <c r="C24" t="b">
        <f>LEFT(Table1[[#This Row],[encoding]],3)=C$1</f>
        <v>0</v>
      </c>
      <c r="D24" t="b">
        <f>LEFT(Table1[[#This Row],[encoding]],2)=D$1</f>
        <v>0</v>
      </c>
      <c r="E24" t="b">
        <f t="shared" si="0"/>
        <v>1</v>
      </c>
      <c r="F24" t="str">
        <f>_xlfn.TEXTAFTER(Table1[[#This Row],[condition]],"-")</f>
        <v>2g</v>
      </c>
      <c r="G24" s="1">
        <v>0.64590090806390799</v>
      </c>
      <c r="H24" s="1">
        <v>0.61914868566040804</v>
      </c>
      <c r="I24" s="1">
        <v>0.33286711560238502</v>
      </c>
      <c r="J24" s="1">
        <v>0.27161595785352799</v>
      </c>
      <c r="K24" s="1">
        <v>0.31363484744096398</v>
      </c>
      <c r="L24" s="1">
        <v>0.32001932684760998</v>
      </c>
      <c r="M24" s="1">
        <v>0.32617948728513002</v>
      </c>
      <c r="N24" s="1">
        <v>0.34816062194092201</v>
      </c>
      <c r="O24" s="1">
        <v>0.156417923158963</v>
      </c>
      <c r="P24" s="1">
        <v>0.537830643302184</v>
      </c>
      <c r="Q24" s="1">
        <v>0.25732060565394799</v>
      </c>
      <c r="R24" s="1">
        <v>0.429546973675551</v>
      </c>
      <c r="S24" s="1">
        <v>0.59348930638775299</v>
      </c>
      <c r="T24" s="1">
        <f t="shared" si="1"/>
        <v>0.39631787714409644</v>
      </c>
      <c r="U24" s="3">
        <f t="shared" si="2"/>
        <v>0.15499922883056705</v>
      </c>
      <c r="V24" s="1">
        <f>Table1[[#This Row],[average]]-SQRT(Table1[[#This Row],[stdev]])</f>
        <v>2.6184628308832947E-3</v>
      </c>
    </row>
    <row r="25" spans="1:22" ht="30" customHeight="1">
      <c r="A25" t="s">
        <v>28</v>
      </c>
      <c r="B25" t="str">
        <f>_xlfn.TEXTBEFORE(Table1[[#This Row],[condition]],"-")</f>
        <v>german</v>
      </c>
      <c r="C25" t="b">
        <f>LEFT(Table1[[#This Row],[encoding]],3)=C$1</f>
        <v>0</v>
      </c>
      <c r="D25" t="b">
        <f>LEFT(Table1[[#This Row],[encoding]],2)=D$1</f>
        <v>0</v>
      </c>
      <c r="E25" t="b">
        <f t="shared" si="0"/>
        <v>1</v>
      </c>
      <c r="F25" t="str">
        <f>_xlfn.TEXTAFTER(Table1[[#This Row],[condition]],"-")</f>
        <v>3g</v>
      </c>
      <c r="G25" s="1">
        <v>0.75718024400140804</v>
      </c>
      <c r="H25" s="1">
        <v>0.78497042294789598</v>
      </c>
      <c r="I25" s="1">
        <v>0.57979726687005795</v>
      </c>
      <c r="J25" s="1">
        <v>0.51629335097916595</v>
      </c>
      <c r="K25" s="1">
        <v>0.15327486796473899</v>
      </c>
      <c r="L25" s="1">
        <v>0.60842721093151597</v>
      </c>
      <c r="M25" s="1">
        <v>0.40218382304195699</v>
      </c>
      <c r="N25" s="1">
        <v>0.55855916915163895</v>
      </c>
      <c r="O25" s="1">
        <v>0.46375218679847602</v>
      </c>
      <c r="P25" s="1">
        <v>0.31479979316849899</v>
      </c>
      <c r="Q25" s="1">
        <v>0.36478587560876102</v>
      </c>
      <c r="R25" s="1">
        <v>0.56254195673465801</v>
      </c>
      <c r="S25" s="1">
        <v>0.70700963550516605</v>
      </c>
      <c r="T25" s="1">
        <f t="shared" si="1"/>
        <v>0.52104429259261065</v>
      </c>
      <c r="U25" s="3">
        <f t="shared" si="2"/>
        <v>0.18116705257382704</v>
      </c>
      <c r="V25" s="1">
        <f>Table1[[#This Row],[average]]-SQRT(Table1[[#This Row],[stdev]])</f>
        <v>9.5407061404093663E-2</v>
      </c>
    </row>
    <row r="26" spans="1:22" ht="30" customHeight="1">
      <c r="A26" t="s">
        <v>29</v>
      </c>
      <c r="B26" t="str">
        <f>_xlfn.TEXTBEFORE(Table1[[#This Row],[condition]],"-")</f>
        <v>german</v>
      </c>
      <c r="C26" t="b">
        <f>LEFT(Table1[[#This Row],[encoding]],3)=C$1</f>
        <v>0</v>
      </c>
      <c r="D26" t="b">
        <f>LEFT(Table1[[#This Row],[encoding]],2)=D$1</f>
        <v>1</v>
      </c>
      <c r="E26" t="b">
        <f t="shared" si="0"/>
        <v>0</v>
      </c>
      <c r="F26" t="str">
        <f>_xlfn.TEXTAFTER(Table1[[#This Row],[condition]],"-")</f>
        <v>sk2g</v>
      </c>
      <c r="G26" s="1">
        <v>0.67908800612833398</v>
      </c>
      <c r="H26" s="1">
        <v>0.685075490961636</v>
      </c>
      <c r="I26" s="1">
        <v>0.46403036688765997</v>
      </c>
      <c r="J26" s="1">
        <v>0.42203219785453999</v>
      </c>
      <c r="K26" s="1">
        <v>0.48502115148215502</v>
      </c>
      <c r="L26" s="1">
        <v>0.57294876862285804</v>
      </c>
      <c r="M26" s="1">
        <v>0.42799501655390598</v>
      </c>
      <c r="N26" s="1">
        <v>0.257657954828654</v>
      </c>
      <c r="O26" s="1">
        <v>0.52741799586628402</v>
      </c>
      <c r="P26" s="1">
        <v>0.48572407819003099</v>
      </c>
      <c r="Q26" s="1">
        <v>0.43530494770712902</v>
      </c>
      <c r="R26" s="1">
        <v>0.50100270501706101</v>
      </c>
      <c r="S26" s="1">
        <v>0.49364443264873098</v>
      </c>
      <c r="T26" s="1">
        <f t="shared" si="1"/>
        <v>0.49514947021145994</v>
      </c>
      <c r="U26" s="3">
        <f t="shared" si="2"/>
        <v>0.11106869300591497</v>
      </c>
      <c r="V26" s="1">
        <f>Table1[[#This Row],[average]]-SQRT(Table1[[#This Row],[stdev]])</f>
        <v>0.16187977010970306</v>
      </c>
    </row>
    <row r="27" spans="1:22" ht="30" customHeight="1">
      <c r="A27" t="s">
        <v>30</v>
      </c>
      <c r="B27" t="str">
        <f>_xlfn.TEXTBEFORE(Table1[[#This Row],[condition]],"-")</f>
        <v>german</v>
      </c>
      <c r="C27" t="b">
        <f>LEFT(Table1[[#This Row],[encoding]],3)=C$1</f>
        <v>0</v>
      </c>
      <c r="D27" t="b">
        <f>LEFT(Table1[[#This Row],[encoding]],2)=D$1</f>
        <v>1</v>
      </c>
      <c r="E27" t="b">
        <f t="shared" si="0"/>
        <v>0</v>
      </c>
      <c r="F27" t="str">
        <f>_xlfn.TEXTAFTER(Table1[[#This Row],[condition]],"-")</f>
        <v>sk3g</v>
      </c>
      <c r="G27" s="1">
        <v>0.71527417147697603</v>
      </c>
      <c r="H27" s="1">
        <v>0.76974548627218997</v>
      </c>
      <c r="I27" s="1">
        <v>0.61994745641918603</v>
      </c>
      <c r="J27" s="1">
        <v>0.42231091562184397</v>
      </c>
      <c r="K27" s="1">
        <v>0.51108035938534102</v>
      </c>
      <c r="L27" s="1">
        <v>0.59083101074334698</v>
      </c>
      <c r="M27" s="1">
        <v>0.336222377717802</v>
      </c>
      <c r="N27" s="1">
        <v>0.38123288958396601</v>
      </c>
      <c r="O27" s="1">
        <v>0.48475381698037301</v>
      </c>
      <c r="P27" s="1">
        <v>0.49867191119231802</v>
      </c>
      <c r="Q27" s="1">
        <v>0.45837088303115098</v>
      </c>
      <c r="R27" s="1">
        <v>0.48317944915497202</v>
      </c>
      <c r="S27" s="1">
        <v>0.47987014105925702</v>
      </c>
      <c r="T27" s="1">
        <f t="shared" si="1"/>
        <v>0.51934545143374788</v>
      </c>
      <c r="U27" s="3">
        <f t="shared" si="2"/>
        <v>0.1247064875412786</v>
      </c>
      <c r="V27" s="1">
        <f>Table1[[#This Row],[average]]-SQRT(Table1[[#This Row],[stdev]])</f>
        <v>0.16620739409458402</v>
      </c>
    </row>
    <row r="28" spans="1:22" ht="30" customHeight="1">
      <c r="A28" t="s">
        <v>43</v>
      </c>
      <c r="B28" t="str">
        <f>_xlfn.TEXTBEFORE(Table1[[#This Row],[condition]],"-")</f>
        <v>german</v>
      </c>
      <c r="C28" t="b">
        <f>LEFT(Table1[[#This Row],[encoding]],3)=C$1</f>
        <v>1</v>
      </c>
      <c r="D28" t="b">
        <f>LEFT(Table1[[#This Row],[encoding]],2)=D$1</f>
        <v>0</v>
      </c>
      <c r="E28" t="b">
        <f t="shared" si="0"/>
        <v>0</v>
      </c>
      <c r="F28" t="str">
        <f>_xlfn.TEXTAFTER(Table1[[#This Row],[condition]],"-")</f>
        <v>xsk2g</v>
      </c>
      <c r="G28" s="1">
        <v>0.55764869430917996</v>
      </c>
      <c r="H28" s="1">
        <v>0.65679584020849402</v>
      </c>
      <c r="I28" s="1">
        <v>0.584569262951804</v>
      </c>
      <c r="J28" s="1">
        <v>0.60856215553344895</v>
      </c>
      <c r="K28" s="1">
        <v>0.54142772025207797</v>
      </c>
      <c r="L28" s="1">
        <v>0.62349247345403402</v>
      </c>
      <c r="M28" s="1">
        <v>0.75614251545490296</v>
      </c>
      <c r="N28" s="1">
        <v>0.29381308844194198</v>
      </c>
      <c r="O28" s="1">
        <v>0.474763539066204</v>
      </c>
      <c r="P28" s="1">
        <v>0.32615588427786502</v>
      </c>
      <c r="Q28" s="1">
        <v>0.545148336002099</v>
      </c>
      <c r="R28" s="1">
        <v>0</v>
      </c>
      <c r="S28" s="1">
        <v>0.482616527942344</v>
      </c>
      <c r="T28" s="1">
        <f t="shared" si="1"/>
        <v>0.49624123368418438</v>
      </c>
      <c r="U28" s="3">
        <f t="shared" si="2"/>
        <v>0.19471137436823585</v>
      </c>
      <c r="V28" s="1">
        <f>Table1[[#This Row],[average]]-SQRT(Table1[[#This Row],[stdev]])</f>
        <v>5.4980115559965514E-2</v>
      </c>
    </row>
    <row r="29" spans="1:22" ht="30" customHeight="1">
      <c r="A29" t="s">
        <v>44</v>
      </c>
      <c r="B29" t="str">
        <f>_xlfn.TEXTBEFORE(Table1[[#This Row],[condition]],"-")</f>
        <v>german</v>
      </c>
      <c r="C29" t="b">
        <f>LEFT(Table1[[#This Row],[encoding]],3)=C$1</f>
        <v>1</v>
      </c>
      <c r="D29" t="b">
        <f>LEFT(Table1[[#This Row],[encoding]],2)=D$1</f>
        <v>0</v>
      </c>
      <c r="E29" t="b">
        <f t="shared" si="0"/>
        <v>0</v>
      </c>
      <c r="F29" t="str">
        <f>_xlfn.TEXTAFTER(Table1[[#This Row],[condition]],"-")</f>
        <v>xsk3g</v>
      </c>
      <c r="G29" s="1">
        <v>0.61841830555828803</v>
      </c>
      <c r="H29" s="1">
        <v>0.52258256425332394</v>
      </c>
      <c r="I29" s="1">
        <v>0.62632544492531805</v>
      </c>
      <c r="J29" s="1">
        <v>0.57416065089156998</v>
      </c>
      <c r="K29" s="1">
        <v>0.57316409679387303</v>
      </c>
      <c r="L29" s="1">
        <v>0.57592990492943696</v>
      </c>
      <c r="M29" s="1">
        <v>0.53963692427483501</v>
      </c>
      <c r="N29" s="1">
        <v>0.42449917600847997</v>
      </c>
      <c r="O29" s="1">
        <v>0.34757957903106201</v>
      </c>
      <c r="P29" s="1">
        <v>0.28501134625054603</v>
      </c>
      <c r="Q29" s="1">
        <v>0.32974327735648101</v>
      </c>
      <c r="R29" s="1">
        <v>0.329558678799726</v>
      </c>
      <c r="S29" s="1">
        <v>0.37427210479432799</v>
      </c>
      <c r="T29" s="1">
        <f t="shared" si="1"/>
        <v>0.47083708106671296</v>
      </c>
      <c r="U29" s="3">
        <f t="shared" si="2"/>
        <v>0.12470685708165069</v>
      </c>
      <c r="V29" s="1">
        <f>Table1[[#This Row],[average]]-SQRT(Table1[[#This Row],[stdev]])</f>
        <v>0.11769850050427894</v>
      </c>
    </row>
    <row r="30" spans="1:22" ht="30" customHeight="1">
      <c r="A30" t="s">
        <v>31</v>
      </c>
      <c r="B30" t="str">
        <f>_xlfn.TEXTBEFORE(Table1[[#This Row],[condition]],"-")</f>
        <v>russian</v>
      </c>
      <c r="C30" t="b">
        <f>LEFT(Table1[[#This Row],[encoding]],3)=C$1</f>
        <v>0</v>
      </c>
      <c r="D30" t="b">
        <f>LEFT(Table1[[#This Row],[encoding]],2)=D$1</f>
        <v>0</v>
      </c>
      <c r="E30" t="b">
        <f t="shared" si="0"/>
        <v>1</v>
      </c>
      <c r="F30" t="str">
        <f>_xlfn.TEXTAFTER(Table1[[#This Row],[condition]],"-")</f>
        <v>1g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f t="shared" si="1"/>
        <v>1</v>
      </c>
      <c r="U30" s="3">
        <f t="shared" si="2"/>
        <v>0</v>
      </c>
      <c r="V30" s="1">
        <f>Table1[[#This Row],[average]]-SQRT(Table1[[#This Row],[stdev]])</f>
        <v>1</v>
      </c>
    </row>
    <row r="31" spans="1:22" ht="30" customHeight="1">
      <c r="A31" t="s">
        <v>32</v>
      </c>
      <c r="B31" t="str">
        <f>_xlfn.TEXTBEFORE(Table1[[#This Row],[condition]],"-")</f>
        <v>russian</v>
      </c>
      <c r="C31" t="b">
        <f>LEFT(Table1[[#This Row],[encoding]],3)=C$1</f>
        <v>0</v>
      </c>
      <c r="D31" t="b">
        <f>LEFT(Table1[[#This Row],[encoding]],2)=D$1</f>
        <v>0</v>
      </c>
      <c r="E31" t="b">
        <f t="shared" si="0"/>
        <v>1</v>
      </c>
      <c r="F31" t="str">
        <f>_xlfn.TEXTAFTER(Table1[[#This Row],[condition]],"-")</f>
        <v>2g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f t="shared" si="1"/>
        <v>1</v>
      </c>
      <c r="U31" s="3">
        <f t="shared" si="2"/>
        <v>0</v>
      </c>
      <c r="V31" s="1">
        <f>Table1[[#This Row],[average]]-SQRT(Table1[[#This Row],[stdev]])</f>
        <v>1</v>
      </c>
    </row>
    <row r="32" spans="1:22" ht="30" customHeight="1">
      <c r="A32" t="s">
        <v>33</v>
      </c>
      <c r="B32" t="str">
        <f>_xlfn.TEXTBEFORE(Table1[[#This Row],[condition]],"-")</f>
        <v>russian</v>
      </c>
      <c r="C32" t="b">
        <f>LEFT(Table1[[#This Row],[encoding]],3)=C$1</f>
        <v>0</v>
      </c>
      <c r="D32" t="b">
        <f>LEFT(Table1[[#This Row],[encoding]],2)=D$1</f>
        <v>0</v>
      </c>
      <c r="E32" t="b">
        <f t="shared" si="0"/>
        <v>1</v>
      </c>
      <c r="F32" t="str">
        <f>_xlfn.TEXTAFTER(Table1[[#This Row],[condition]],"-")</f>
        <v>3g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f t="shared" si="1"/>
        <v>1</v>
      </c>
      <c r="U32" s="3">
        <f t="shared" si="2"/>
        <v>0</v>
      </c>
      <c r="V32" s="1">
        <f>Table1[[#This Row],[average]]-SQRT(Table1[[#This Row],[stdev]])</f>
        <v>1</v>
      </c>
    </row>
    <row r="33" spans="1:22" ht="30" customHeight="1">
      <c r="A33" t="s">
        <v>34</v>
      </c>
      <c r="B33" t="str">
        <f>_xlfn.TEXTBEFORE(Table1[[#This Row],[condition]],"-")</f>
        <v>russian</v>
      </c>
      <c r="C33" t="b">
        <f>LEFT(Table1[[#This Row],[encoding]],3)=C$1</f>
        <v>0</v>
      </c>
      <c r="D33" t="b">
        <f>LEFT(Table1[[#This Row],[encoding]],2)=D$1</f>
        <v>1</v>
      </c>
      <c r="E33" t="b">
        <f t="shared" si="0"/>
        <v>0</v>
      </c>
      <c r="F33" t="str">
        <f>_xlfn.TEXTAFTER(Table1[[#This Row],[condition]],"-")</f>
        <v>sk2g</v>
      </c>
      <c r="G33" s="1">
        <v>1</v>
      </c>
      <c r="H33" s="1">
        <v>0.99841256641768805</v>
      </c>
      <c r="I33" s="1">
        <v>1</v>
      </c>
      <c r="J33" s="1">
        <v>1</v>
      </c>
      <c r="K33" s="1">
        <v>1</v>
      </c>
      <c r="L33" s="1">
        <v>0.90700490545652201</v>
      </c>
      <c r="M33" s="1">
        <v>0.99673840199256303</v>
      </c>
      <c r="N33" s="1">
        <v>1</v>
      </c>
      <c r="O33" s="1">
        <v>1</v>
      </c>
      <c r="P33" s="1">
        <v>1</v>
      </c>
      <c r="Q33" s="1">
        <v>0.60395815363122796</v>
      </c>
      <c r="R33" s="1">
        <v>1</v>
      </c>
      <c r="S33" s="1">
        <v>0.98275349237887699</v>
      </c>
      <c r="T33" s="1">
        <f t="shared" si="1"/>
        <v>0.96068211691360594</v>
      </c>
      <c r="U33" s="3">
        <f t="shared" si="2"/>
        <v>0.11019346040081221</v>
      </c>
      <c r="V33" s="1">
        <f>Table1[[#This Row],[average]]-SQRT(Table1[[#This Row],[stdev]])</f>
        <v>0.62872811347214697</v>
      </c>
    </row>
    <row r="34" spans="1:22" ht="30" customHeight="1">
      <c r="A34" t="s">
        <v>35</v>
      </c>
      <c r="B34" t="str">
        <f>_xlfn.TEXTBEFORE(Table1[[#This Row],[condition]],"-")</f>
        <v>russian</v>
      </c>
      <c r="C34" t="b">
        <f>LEFT(Table1[[#This Row],[encoding]],3)=C$1</f>
        <v>0</v>
      </c>
      <c r="D34" t="b">
        <f>LEFT(Table1[[#This Row],[encoding]],2)=D$1</f>
        <v>1</v>
      </c>
      <c r="E34" t="b">
        <f t="shared" si="0"/>
        <v>0</v>
      </c>
      <c r="F34" t="str">
        <f>_xlfn.TEXTAFTER(Table1[[#This Row],[condition]],"-")</f>
        <v>sk3g</v>
      </c>
      <c r="G34" s="1">
        <v>0.99403753550697005</v>
      </c>
      <c r="H34" s="1">
        <v>0.92807280264757197</v>
      </c>
      <c r="I34" s="1">
        <v>0.99587765036466602</v>
      </c>
      <c r="J34" s="1">
        <v>0.99098963192581102</v>
      </c>
      <c r="K34" s="1">
        <v>0.83378553865830796</v>
      </c>
      <c r="L34" s="1">
        <v>0.97627163617615798</v>
      </c>
      <c r="M34" s="1">
        <v>0.83938876316392297</v>
      </c>
      <c r="N34" s="1">
        <v>0.98010250190036197</v>
      </c>
      <c r="O34" s="1">
        <v>0.97664276386776605</v>
      </c>
      <c r="P34" s="1">
        <v>1</v>
      </c>
      <c r="Q34" s="1">
        <v>0.79224834991460402</v>
      </c>
      <c r="R34" s="1">
        <v>0.99068883026462096</v>
      </c>
      <c r="S34" s="1">
        <v>0.97977907004528997</v>
      </c>
      <c r="T34" s="1">
        <f t="shared" si="1"/>
        <v>0.94445269803354226</v>
      </c>
      <c r="U34" s="3">
        <f t="shared" si="2"/>
        <v>7.2903916273915154E-2</v>
      </c>
      <c r="V34" s="1">
        <f>Table1[[#This Row],[average]]-SQRT(Table1[[#This Row],[stdev]])</f>
        <v>0.67444544577183885</v>
      </c>
    </row>
    <row r="35" spans="1:22" ht="30" customHeight="1">
      <c r="A35" t="s">
        <v>45</v>
      </c>
      <c r="B35" t="str">
        <f>_xlfn.TEXTBEFORE(Table1[[#This Row],[condition]],"-")</f>
        <v>russian</v>
      </c>
      <c r="C35" t="b">
        <f>LEFT(Table1[[#This Row],[encoding]],3)=C$1</f>
        <v>1</v>
      </c>
      <c r="D35" t="b">
        <f>LEFT(Table1[[#This Row],[encoding]],2)=D$1</f>
        <v>0</v>
      </c>
      <c r="E35" t="b">
        <f t="shared" si="0"/>
        <v>0</v>
      </c>
      <c r="F35" t="str">
        <f>_xlfn.TEXTAFTER(Table1[[#This Row],[condition]],"-")</f>
        <v>xsk2g</v>
      </c>
      <c r="G35" s="1">
        <v>0.99009733821811796</v>
      </c>
      <c r="H35" s="1">
        <v>0.99869264363972698</v>
      </c>
      <c r="I35" s="1">
        <v>1</v>
      </c>
      <c r="J35" s="1">
        <v>0.94144043094938001</v>
      </c>
      <c r="K35" s="1">
        <v>0.99873733146369303</v>
      </c>
      <c r="L35" s="1">
        <v>1</v>
      </c>
      <c r="M35" s="1">
        <v>0.98635999812405295</v>
      </c>
      <c r="N35" s="1">
        <v>1</v>
      </c>
      <c r="O35" s="1">
        <v>1</v>
      </c>
      <c r="P35" s="1">
        <v>0.956742482084734</v>
      </c>
      <c r="Q35" s="1">
        <v>0.99629629629629601</v>
      </c>
      <c r="R35" s="1">
        <v>0.90933872471504795</v>
      </c>
      <c r="S35" s="1">
        <v>0.95811839241327201</v>
      </c>
      <c r="T35" s="1">
        <f t="shared" si="1"/>
        <v>0.97967874137725552</v>
      </c>
      <c r="U35" s="3">
        <f t="shared" si="2"/>
        <v>2.916434608804138E-2</v>
      </c>
      <c r="V35" s="1">
        <f>Table1[[#This Row],[average]]-SQRT(Table1[[#This Row],[stdev]])</f>
        <v>0.80890302270495307</v>
      </c>
    </row>
    <row r="36" spans="1:22" ht="30" customHeight="1">
      <c r="A36" t="s">
        <v>46</v>
      </c>
      <c r="B36" t="str">
        <f>_xlfn.TEXTBEFORE(Table1[[#This Row],[condition]],"-")</f>
        <v>russian</v>
      </c>
      <c r="C36" t="b">
        <f>LEFT(Table1[[#This Row],[encoding]],3)=C$1</f>
        <v>1</v>
      </c>
      <c r="D36" t="b">
        <f>LEFT(Table1[[#This Row],[encoding]],2)=D$1</f>
        <v>0</v>
      </c>
      <c r="E36" t="b">
        <f t="shared" si="0"/>
        <v>0</v>
      </c>
      <c r="F36" t="str">
        <f>_xlfn.TEXTAFTER(Table1[[#This Row],[condition]],"-")</f>
        <v>xsk3g</v>
      </c>
      <c r="G36" s="1">
        <v>0.98567502616823599</v>
      </c>
      <c r="H36" s="1">
        <v>0.95242292519133898</v>
      </c>
      <c r="I36" s="1">
        <v>1</v>
      </c>
      <c r="J36" s="1">
        <v>0.99708267955116403</v>
      </c>
      <c r="K36" s="1">
        <v>0.99063509806476002</v>
      </c>
      <c r="L36" s="1">
        <v>0.89357613114403101</v>
      </c>
      <c r="M36" s="1">
        <v>0.99774769062075497</v>
      </c>
      <c r="N36" s="1">
        <v>0.54793216611455497</v>
      </c>
      <c r="O36" s="1">
        <v>0.99525981161406096</v>
      </c>
      <c r="P36" s="1">
        <v>0.97359441621397302</v>
      </c>
      <c r="Q36" s="1">
        <v>0.96880819802572804</v>
      </c>
      <c r="R36" s="1">
        <v>0.49230613812547602</v>
      </c>
      <c r="S36" s="1">
        <v>0.95926265062732896</v>
      </c>
      <c r="T36" s="1">
        <f t="shared" si="1"/>
        <v>0.90417714857395448</v>
      </c>
      <c r="U36" s="3">
        <f t="shared" si="2"/>
        <v>0.17320518441844668</v>
      </c>
      <c r="V36" s="1">
        <f>Table1[[#This Row],[average]]-SQRT(Table1[[#This Row],[stdev]])</f>
        <v>0.48799787900560287</v>
      </c>
    </row>
    <row r="39" spans="1:22" ht="30" customHeight="1">
      <c r="F39" t="s">
        <v>53</v>
      </c>
      <c r="G39" s="2">
        <f>_xlfn.LET(_xlpm.d,G$2:G$36,AVERAGE(_xlpm.d))</f>
        <v>0.77065611896368502</v>
      </c>
      <c r="H39" s="2">
        <f t="shared" ref="H39:T39" si="3">_xlfn.LET(_xlpm.d,H$2:H$36,AVERAGE(_xlpm.d))</f>
        <v>0.73958351420577007</v>
      </c>
      <c r="I39" s="2">
        <f t="shared" si="3"/>
        <v>0.69846235754024499</v>
      </c>
      <c r="J39" s="2">
        <f t="shared" si="3"/>
        <v>0.7008411520690716</v>
      </c>
      <c r="K39" s="2">
        <f t="shared" si="3"/>
        <v>0.64023818318596404</v>
      </c>
      <c r="L39" s="2">
        <f t="shared" si="3"/>
        <v>0.6378968961124527</v>
      </c>
      <c r="M39" s="2">
        <f t="shared" si="3"/>
        <v>0.60958815160079582</v>
      </c>
      <c r="N39" s="2">
        <f t="shared" si="3"/>
        <v>0.59176807921193297</v>
      </c>
      <c r="O39" s="2">
        <f t="shared" si="3"/>
        <v>0.59230879024883054</v>
      </c>
      <c r="P39" s="2">
        <f t="shared" si="3"/>
        <v>0.58277496575146681</v>
      </c>
      <c r="Q39" s="2">
        <f t="shared" si="3"/>
        <v>0.53913444454155102</v>
      </c>
      <c r="R39" s="2">
        <f t="shared" si="3"/>
        <v>0.52898238125608421</v>
      </c>
      <c r="S39" s="2">
        <f t="shared" si="3"/>
        <v>0.54923017792576978</v>
      </c>
      <c r="T39" s="2">
        <f t="shared" si="3"/>
        <v>0.62934347789335554</v>
      </c>
      <c r="U39">
        <f>_xlfn.LET(_xlpm.d,$G39:$S39,STDEV(_xlpm.d))</f>
        <v>7.7553131678914727E-2</v>
      </c>
    </row>
    <row r="40" spans="1:22" ht="30" customHeight="1">
      <c r="F40" t="s">
        <v>60</v>
      </c>
      <c r="G40" s="2">
        <f>_xlfn.LET(_xlpm.d,G$2:G$36,_xlpm.f,$E$2:$E$36,AVERAGE(_xlfn._xlws.FILTER(_xlpm.d,_xlpm.f)))</f>
        <v>0.80692856790401202</v>
      </c>
      <c r="H40" s="2">
        <f t="shared" ref="H40:T40" si="4">_xlfn.LET(_xlpm.d,H$2:H$36,_xlpm.f,$E$2:$E$36,AVERAGE(_xlfn._xlws.FILTER(_xlpm.d,_xlpm.f)))</f>
        <v>0.76354140237199652</v>
      </c>
      <c r="I40" s="2">
        <f t="shared" si="4"/>
        <v>0.70098247072862385</v>
      </c>
      <c r="J40" s="2">
        <f t="shared" si="4"/>
        <v>0.7247425893085373</v>
      </c>
      <c r="K40" s="2">
        <f t="shared" si="4"/>
        <v>0.61805449204605745</v>
      </c>
      <c r="L40" s="2">
        <f t="shared" si="4"/>
        <v>0.62044422277219902</v>
      </c>
      <c r="M40" s="2">
        <f t="shared" si="4"/>
        <v>0.57381303536728701</v>
      </c>
      <c r="N40" s="2">
        <f t="shared" si="4"/>
        <v>0.57925770402508792</v>
      </c>
      <c r="O40" s="2">
        <f t="shared" si="4"/>
        <v>0.58743017246544249</v>
      </c>
      <c r="P40" s="2">
        <f t="shared" si="4"/>
        <v>0.62463770579346767</v>
      </c>
      <c r="Q40" s="2">
        <f t="shared" si="4"/>
        <v>0.50947986067960349</v>
      </c>
      <c r="R40" s="2">
        <f t="shared" si="4"/>
        <v>0.53107004384400891</v>
      </c>
      <c r="S40" s="2">
        <f t="shared" si="4"/>
        <v>0.54200268879973656</v>
      </c>
      <c r="T40" s="2">
        <f t="shared" si="4"/>
        <v>0.62941422739277386</v>
      </c>
      <c r="U40">
        <f t="shared" ref="U40:U42" si="5">_xlfn.LET(_xlpm.d,$G40:$S40,STDEV(_xlpm.d))</f>
        <v>9.2650646705104187E-2</v>
      </c>
    </row>
    <row r="41" spans="1:22" ht="30" customHeight="1">
      <c r="F41" t="s">
        <v>51</v>
      </c>
      <c r="G41" s="2">
        <f>_xlfn.LET(_xlpm.d,G$2:G$36,_xlpm.f,$D$2:$D$36,AVERAGE(_xlfn._xlws.FILTER(_xlpm.d,_xlpm.f)))</f>
        <v>0.72938522998475752</v>
      </c>
      <c r="H41" s="2">
        <f t="shared" ref="H41:T41" si="6">_xlfn.LET(_xlpm.d,H$2:H$36,_xlpm.f,$D$2:$D$36,AVERAGE(_xlfn._xlws.FILTER(_xlpm.d,_xlpm.f)))</f>
        <v>0.73933479040261596</v>
      </c>
      <c r="I41" s="2">
        <f t="shared" si="6"/>
        <v>0.68897233144535353</v>
      </c>
      <c r="J41" s="2">
        <f t="shared" si="6"/>
        <v>0.67276303423964312</v>
      </c>
      <c r="K41" s="2">
        <f t="shared" si="6"/>
        <v>0.65944869351024193</v>
      </c>
      <c r="L41" s="2">
        <f t="shared" si="6"/>
        <v>0.66451466954290939</v>
      </c>
      <c r="M41" s="2">
        <f t="shared" si="6"/>
        <v>0.60872214890517262</v>
      </c>
      <c r="N41" s="2">
        <f t="shared" si="6"/>
        <v>0.62289340835198026</v>
      </c>
      <c r="O41" s="2">
        <f t="shared" si="6"/>
        <v>0.61729113089086851</v>
      </c>
      <c r="P41" s="2">
        <f t="shared" si="6"/>
        <v>0.57988195354384142</v>
      </c>
      <c r="Q41" s="2">
        <f t="shared" si="6"/>
        <v>0.53549803698975129</v>
      </c>
      <c r="R41" s="2">
        <f t="shared" si="6"/>
        <v>0.60878748838767072</v>
      </c>
      <c r="S41" s="2">
        <f t="shared" si="6"/>
        <v>0.58393026107711554</v>
      </c>
      <c r="T41" s="2">
        <f t="shared" si="6"/>
        <v>0.63934024440553239</v>
      </c>
      <c r="U41">
        <f t="shared" si="5"/>
        <v>5.9681024447114817E-2</v>
      </c>
    </row>
    <row r="42" spans="1:22" ht="30" customHeight="1">
      <c r="F42" t="s">
        <v>50</v>
      </c>
      <c r="G42" s="2">
        <f>_xlfn.LET(_xlpm.d,G$2:G$36,_xlpm.f,$C$2:$C$36,AVERAGE(_xlfn._xlws.FILTER(_xlpm.d,_xlpm.f)))</f>
        <v>0.75751833453212236</v>
      </c>
      <c r="H42" s="2">
        <f t="shared" ref="H42:T42" si="7">_xlfn.LET(_xlpm.d,H$2:H$36,_xlpm.f,$C$2:$C$36,AVERAGE(_xlfn._xlws.FILTER(_xlpm.d,_xlpm.f)))</f>
        <v>0.70389540575958398</v>
      </c>
      <c r="I42" s="2">
        <f t="shared" si="7"/>
        <v>0.70417221385256823</v>
      </c>
      <c r="J42" s="2">
        <f t="shared" si="7"/>
        <v>0.69306711403930166</v>
      </c>
      <c r="K42" s="2">
        <f t="shared" si="7"/>
        <v>0.65430320957154597</v>
      </c>
      <c r="L42" s="2">
        <f t="shared" si="7"/>
        <v>0.63745813269237661</v>
      </c>
      <c r="M42" s="2">
        <f t="shared" si="7"/>
        <v>0.66411682864668165</v>
      </c>
      <c r="N42" s="2">
        <f t="shared" si="7"/>
        <v>0.57940831285215322</v>
      </c>
      <c r="O42" s="2">
        <f t="shared" si="7"/>
        <v>0.57464437628187404</v>
      </c>
      <c r="P42" s="2">
        <f t="shared" si="7"/>
        <v>0.52287386789609058</v>
      </c>
      <c r="Q42" s="2">
        <f t="shared" si="7"/>
        <v>0.58725272788627214</v>
      </c>
      <c r="R42" s="2">
        <f t="shared" si="7"/>
        <v>0.44604578024261016</v>
      </c>
      <c r="S42" s="2">
        <f t="shared" si="7"/>
        <v>0.52537132846347401</v>
      </c>
      <c r="T42" s="2">
        <f t="shared" si="7"/>
        <v>0.61924058713205032</v>
      </c>
      <c r="U42">
        <f t="shared" si="5"/>
        <v>8.9078211521732162E-2</v>
      </c>
    </row>
    <row r="44" spans="1:22" ht="30" customHeight="1">
      <c r="F44" t="s">
        <v>53</v>
      </c>
      <c r="G44" s="2">
        <f>_xlfn.LET(_xlpm.d,G$2:G$36,AVERAGE(_xlpm.d))</f>
        <v>0.77065611896368502</v>
      </c>
      <c r="H44" s="2">
        <f t="shared" ref="H44:T44" si="8">_xlfn.LET(_xlpm.d,H$2:H$36,AVERAGE(_xlpm.d))</f>
        <v>0.73958351420577007</v>
      </c>
      <c r="I44" s="2">
        <f t="shared" si="8"/>
        <v>0.69846235754024499</v>
      </c>
      <c r="J44" s="2">
        <f t="shared" si="8"/>
        <v>0.7008411520690716</v>
      </c>
      <c r="K44" s="2">
        <f t="shared" si="8"/>
        <v>0.64023818318596404</v>
      </c>
      <c r="L44" s="2">
        <f t="shared" si="8"/>
        <v>0.6378968961124527</v>
      </c>
      <c r="M44" s="2">
        <f t="shared" si="8"/>
        <v>0.60958815160079582</v>
      </c>
      <c r="N44" s="2">
        <f t="shared" si="8"/>
        <v>0.59176807921193297</v>
      </c>
      <c r="O44" s="2">
        <f t="shared" si="8"/>
        <v>0.59230879024883054</v>
      </c>
      <c r="P44" s="2">
        <f t="shared" si="8"/>
        <v>0.58277496575146681</v>
      </c>
      <c r="Q44" s="2">
        <f t="shared" si="8"/>
        <v>0.53913444454155102</v>
      </c>
      <c r="R44" s="2">
        <f t="shared" si="8"/>
        <v>0.52898238125608421</v>
      </c>
      <c r="S44" s="2">
        <f t="shared" si="8"/>
        <v>0.54923017792576978</v>
      </c>
      <c r="T44" s="2">
        <f t="shared" si="8"/>
        <v>0.62934347789335554</v>
      </c>
    </row>
    <row r="45" spans="1:22" ht="30" customHeight="1">
      <c r="F45" t="s">
        <v>54</v>
      </c>
      <c r="G45" s="2" cm="1">
        <f t="array" ref="G45">_xlfn.LET(_xlpm.d,G$2:G$36,_xlpm.f,$B$2:$B$36,AVERAGE(_xlfn._xlws.FILTER(_xlpm.d,_xlpm.f=$F45)))</f>
        <v>0.99407342343836758</v>
      </c>
      <c r="H45" s="2" cm="1">
        <f t="array" ref="H45">_xlfn.LET(_xlpm.d,H$2:H$36,_xlpm.f,$B$2:$B$36,AVERAGE(_xlfn._xlws.FILTER(_xlpm.d,_xlpm.f=$F45)))</f>
        <v>0.99666481341624835</v>
      </c>
      <c r="I45" s="2" cm="1">
        <f t="array" ref="I45">_xlfn.LET(_xlpm.d,I$2:I$36,_xlpm.f,$B$2:$B$36,AVERAGE(_xlfn._xlws.FILTER(_xlpm.d,_xlpm.f=$F45)))</f>
        <v>0.99466331945729625</v>
      </c>
      <c r="J45" s="2" cm="1">
        <f t="array" ref="J45">_xlfn.LET(_xlpm.d,J$2:J$36,_xlpm.f,$B$2:$B$36,AVERAGE(_xlfn._xlws.FILTER(_xlpm.d,_xlpm.f=$F45)))</f>
        <v>0.98580216347968874</v>
      </c>
      <c r="K45" s="2" cm="1">
        <f t="array" ref="K45">_xlfn.LET(_xlpm.d,K$2:K$36,_xlpm.f,$B$2:$B$36,AVERAGE(_xlfn._xlws.FILTER(_xlpm.d,_xlpm.f=$F45)))</f>
        <v>0.99591339862690442</v>
      </c>
      <c r="L45" s="2" cm="1">
        <f t="array" ref="L45">_xlfn.LET(_xlpm.d,L$2:L$36,_xlpm.f,$B$2:$B$36,AVERAGE(_xlfn._xlws.FILTER(_xlpm.d,_xlpm.f=$F45)))</f>
        <v>0.98960395913618593</v>
      </c>
      <c r="M45" s="2" cm="1">
        <f t="array" ref="M45">_xlfn.LET(_xlpm.d,M$2:M$36,_xlpm.f,$B$2:$B$36,AVERAGE(_xlfn._xlws.FILTER(_xlpm.d,_xlpm.f=$F45)))</f>
        <v>0.97046163545043818</v>
      </c>
      <c r="N45" s="2" cm="1">
        <f t="array" ref="N45">_xlfn.LET(_xlpm.d,N$2:N$36,_xlpm.f,$B$2:$B$36,AVERAGE(_xlfn._xlws.FILTER(_xlpm.d,_xlpm.f=$F45)))</f>
        <v>0.98283935681453494</v>
      </c>
      <c r="O45" s="2" cm="1">
        <f t="array" ref="O45">_xlfn.LET(_xlpm.d,O$2:O$36,_xlpm.f,$B$2:$B$36,AVERAGE(_xlfn._xlws.FILTER(_xlpm.d,_xlpm.f=$F45)))</f>
        <v>0.99438557178794407</v>
      </c>
      <c r="P45" s="2" cm="1">
        <f t="array" ref="P45">_xlfn.LET(_xlpm.d,P$2:P$36,_xlpm.f,$B$2:$B$36,AVERAGE(_xlfn._xlws.FILTER(_xlpm.d,_xlpm.f=$F45)))</f>
        <v>0.92887895315886126</v>
      </c>
      <c r="Q45" s="2" cm="1">
        <f t="array" ref="Q45">_xlfn.LET(_xlpm.d,Q$2:Q$36,_xlpm.f,$B$2:$B$36,AVERAGE(_xlfn._xlws.FILTER(_xlpm.d,_xlpm.f=$F45)))</f>
        <v>0.95608020506061187</v>
      </c>
      <c r="R45" s="2" cm="1">
        <f t="array" ref="R45">_xlfn.LET(_xlpm.d,R$2:R$36,_xlpm.f,$B$2:$B$36,AVERAGE(_xlfn._xlws.FILTER(_xlpm.d,_xlpm.f=$F45)))</f>
        <v>0.99957039665171299</v>
      </c>
      <c r="S45" s="2" cm="1">
        <f t="array" ref="S45">_xlfn.LET(_xlpm.d,S$2:S$36,_xlpm.f,$B$2:$B$36,AVERAGE(_xlfn._xlws.FILTER(_xlpm.d,_xlpm.f=$F45)))</f>
        <v>0.8954945496808373</v>
      </c>
      <c r="T45" s="2" cm="1">
        <f t="array" ref="T45">_xlfn.LET(_xlpm.d,T$2:T$36,_xlpm.f,$B$2:$B$36,AVERAGE(_xlfn._xlws.FILTER(_xlpm.d,_xlpm.f=$F45)))</f>
        <v>0.97572551893535631</v>
      </c>
    </row>
    <row r="46" spans="1:22" ht="30" customHeight="1">
      <c r="F46" t="s">
        <v>55</v>
      </c>
      <c r="G46" s="2" cm="1">
        <f t="array" ref="G46">_xlfn.LET(_xlpm.d,G$2:G$36,_xlpm.f,$B$2:$B$36,AVERAGE(_xlfn._xlws.FILTER(_xlpm.d,_xlpm.f=$F46)))</f>
        <v>0.70199066312241132</v>
      </c>
      <c r="H46" s="2" cm="1">
        <f t="array" ref="H46">_xlfn.LET(_xlpm.d,H$2:H$36,_xlpm.f,$B$2:$B$36,AVERAGE(_xlfn._xlws.FILTER(_xlpm.d,_xlpm.f=$F46)))</f>
        <v>0.71846616517847128</v>
      </c>
      <c r="I46" s="2" cm="1">
        <f t="array" ref="I46">_xlfn.LET(_xlpm.d,I$2:I$36,_xlpm.f,$B$2:$B$36,AVERAGE(_xlfn._xlws.FILTER(_xlpm.d,_xlpm.f=$F46)))</f>
        <v>0.56772582083982248</v>
      </c>
      <c r="J46" s="2" cm="1">
        <f t="array" ref="J46">_xlfn.LET(_xlpm.d,J$2:J$36,_xlpm.f,$B$2:$B$36,AVERAGE(_xlfn._xlws.FILTER(_xlpm.d,_xlpm.f=$F46)))</f>
        <v>0.50133515160437336</v>
      </c>
      <c r="K46" s="2" cm="1">
        <f t="array" ref="K46">_xlfn.LET(_xlpm.d,K$2:K$36,_xlpm.f,$B$2:$B$36,AVERAGE(_xlfn._xlws.FILTER(_xlpm.d,_xlpm.f=$F46)))</f>
        <v>0.42730888664304789</v>
      </c>
      <c r="L46" s="2" cm="1">
        <f t="array" ref="L46">_xlfn.LET(_xlpm.d,L$2:L$36,_xlpm.f,$B$2:$B$36,AVERAGE(_xlfn._xlws.FILTER(_xlpm.d,_xlpm.f=$F46)))</f>
        <v>0.57514638101865523</v>
      </c>
      <c r="M46" s="2" cm="1">
        <f t="array" ref="M46">_xlfn.LET(_xlpm.d,M$2:M$36,_xlpm.f,$B$2:$B$36,AVERAGE(_xlfn._xlws.FILTER(_xlpm.d,_xlpm.f=$F46)))</f>
        <v>0.43982085595433801</v>
      </c>
      <c r="N46" s="2" cm="1">
        <f t="array" ref="N46">_xlfn.LET(_xlpm.d,N$2:N$36,_xlpm.f,$B$2:$B$36,AVERAGE(_xlfn._xlws.FILTER(_xlpm.d,_xlpm.f=$F46)))</f>
        <v>0.36176077858139938</v>
      </c>
      <c r="O46" s="2" cm="1">
        <f t="array" ref="O46">_xlfn.LET(_xlpm.d,O$2:O$36,_xlpm.f,$B$2:$B$36,AVERAGE(_xlfn._xlws.FILTER(_xlpm.d,_xlpm.f=$F46)))</f>
        <v>0.41742596914236341</v>
      </c>
      <c r="P46" s="2" cm="1">
        <f t="array" ref="P46">_xlfn.LET(_xlpm.d,P$2:P$36,_xlpm.f,$B$2:$B$36,AVERAGE(_xlfn._xlws.FILTER(_xlpm.d,_xlpm.f=$F46)))</f>
        <v>0.41271501155307899</v>
      </c>
      <c r="Q46" s="2" cm="1">
        <f t="array" ref="Q46">_xlfn.LET(_xlpm.d,Q$2:Q$36,_xlpm.f,$B$2:$B$36,AVERAGE(_xlfn._xlws.FILTER(_xlpm.d,_xlpm.f=$F46)))</f>
        <v>0.37022878586326929</v>
      </c>
      <c r="R46" s="2" cm="1">
        <f t="array" ref="R46">_xlfn.LET(_xlpm.d,R$2:R$36,_xlpm.f,$B$2:$B$36,AVERAGE(_xlfn._xlws.FILTER(_xlpm.d,_xlpm.f=$F46)))</f>
        <v>0.3294042519117098</v>
      </c>
      <c r="S46" s="2" cm="1">
        <f t="array" ref="S46">_xlfn.LET(_xlpm.d,S$2:S$36,_xlpm.f,$B$2:$B$36,AVERAGE(_xlfn._xlws.FILTER(_xlpm.d,_xlpm.f=$F46)))</f>
        <v>0.44727173547679699</v>
      </c>
      <c r="T46" s="2" cm="1">
        <f t="array" ref="T46">_xlfn.LET(_xlpm.d,T$2:T$36,_xlpm.f,$B$2:$B$36,AVERAGE(_xlfn._xlws.FILTER(_xlpm.d,_xlpm.f=$F46)))</f>
        <v>0.48235388129921059</v>
      </c>
    </row>
    <row r="47" spans="1:22" ht="30" customHeight="1">
      <c r="F47" t="s">
        <v>56</v>
      </c>
      <c r="G47" s="2" cm="1">
        <f t="array" ref="G47">_xlfn.LET(_xlpm.d,G$2:G$36,_xlpm.f,$B$2:$B$36,AVERAGE(_xlfn._xlws.FILTER(_xlpm.d,_xlpm.f=$F47)))</f>
        <v>0.59652325949583562</v>
      </c>
      <c r="H47" s="2" cm="1">
        <f t="array" ref="H47">_xlfn.LET(_xlpm.d,H$2:H$36,_xlpm.f,$B$2:$B$36,AVERAGE(_xlfn._xlws.FILTER(_xlpm.d,_xlpm.f=$F47)))</f>
        <v>0.43989485999259986</v>
      </c>
      <c r="I47" s="2" cm="1">
        <f t="array" ref="I47">_xlfn.LET(_xlpm.d,I$2:I$36,_xlpm.f,$B$2:$B$36,AVERAGE(_xlfn._xlws.FILTER(_xlpm.d,_xlpm.f=$F47)))</f>
        <v>0.4655199346399333</v>
      </c>
      <c r="J47" s="2" cm="1">
        <f t="array" ref="J47">_xlfn.LET(_xlpm.d,J$2:J$36,_xlpm.f,$B$2:$B$36,AVERAGE(_xlfn._xlws.FILTER(_xlpm.d,_xlpm.f=$F47)))</f>
        <v>0.49886237456519994</v>
      </c>
      <c r="K47" s="2" cm="1">
        <f t="array" ref="K47">_xlfn.LET(_xlpm.d,K$2:K$36,_xlpm.f,$B$2:$B$36,AVERAGE(_xlfn._xlws.FILTER(_xlpm.d,_xlpm.f=$F47)))</f>
        <v>0.40528966667103755</v>
      </c>
      <c r="L47" s="2" cm="1">
        <f t="array" ref="L47">_xlfn.LET(_xlpm.d,L$2:L$36,_xlpm.f,$B$2:$B$36,AVERAGE(_xlfn._xlws.FILTER(_xlpm.d,_xlpm.f=$F47)))</f>
        <v>0.28749882714348057</v>
      </c>
      <c r="M47" s="2" cm="1">
        <f t="array" ref="M47">_xlfn.LET(_xlpm.d,M$2:M$36,_xlpm.f,$B$2:$B$36,AVERAGE(_xlfn._xlws.FILTER(_xlpm.d,_xlpm.f=$F47)))</f>
        <v>0.37036588856899638</v>
      </c>
      <c r="N47" s="2" cm="1">
        <f t="array" ref="N47">_xlfn.LET(_xlpm.d,N$2:N$36,_xlpm.f,$B$2:$B$36,AVERAGE(_xlfn._xlws.FILTER(_xlpm.d,_xlpm.f=$F47)))</f>
        <v>0.33105988533701869</v>
      </c>
      <c r="O47" s="2" cm="1">
        <f t="array" ref="O47">_xlfn.LET(_xlpm.d,O$2:O$36,_xlpm.f,$B$2:$B$36,AVERAGE(_xlfn._xlws.FILTER(_xlpm.d,_xlpm.f=$F47)))</f>
        <v>0.23595493807512641</v>
      </c>
      <c r="P47" s="2" cm="1">
        <f t="array" ref="P47">_xlfn.LET(_xlpm.d,P$2:P$36,_xlpm.f,$B$2:$B$36,AVERAGE(_xlfn._xlws.FILTER(_xlpm.d,_xlpm.f=$F47)))</f>
        <v>0.25387414650560081</v>
      </c>
      <c r="Q47" s="2" cm="1">
        <f t="array" ref="Q47">_xlfn.LET(_xlpm.d,Q$2:Q$36,_xlpm.f,$B$2:$B$36,AVERAGE(_xlfn._xlws.FILTER(_xlpm.d,_xlpm.f=$F47)))</f>
        <v>0.241251164470766</v>
      </c>
      <c r="R47" s="2" cm="1">
        <f t="array" ref="R47">_xlfn.LET(_xlpm.d,R$2:R$36,_xlpm.f,$B$2:$B$36,AVERAGE(_xlfn._xlws.FILTER(_xlpm.d,_xlpm.f=$F47)))</f>
        <v>0.129009682860148</v>
      </c>
      <c r="S47" s="2" cm="1">
        <f t="array" ref="S47">_xlfn.LET(_xlpm.d,S$2:S$36,_xlpm.f,$B$2:$B$36,AVERAGE(_xlfn._xlws.FILTER(_xlpm.d,_xlpm.f=$F47)))</f>
        <v>0.22012495968313056</v>
      </c>
      <c r="T47" s="2" cm="1">
        <f t="array" ref="T47">_xlfn.LET(_xlpm.d,T$2:T$36,_xlpm.f,$B$2:$B$36,AVERAGE(_xlfn._xlws.FILTER(_xlpm.d,_xlpm.f=$F47)))</f>
        <v>0.34424842984683651</v>
      </c>
    </row>
    <row r="48" spans="1:22" ht="30" customHeight="1">
      <c r="F48" t="s">
        <v>57</v>
      </c>
      <c r="G48" s="2" cm="1">
        <f t="array" ref="G48">_xlfn.LET(_xlpm.d,G$2:G$36,_xlpm.f,$B$2:$B$36,AVERAGE(_xlfn._xlws.FILTER(_xlpm.d,_xlpm.f=$F48)))</f>
        <v>0.56500612020562169</v>
      </c>
      <c r="H48" s="2" cm="1">
        <f t="array" ref="H48">_xlfn.LET(_xlpm.d,H$2:H$36,_xlpm.f,$B$2:$B$36,AVERAGE(_xlfn._xlws.FILTER(_xlpm.d,_xlpm.f=$F48)))</f>
        <v>0.56037731274205516</v>
      </c>
      <c r="I48" s="2" cm="1">
        <f t="array" ref="I48">_xlfn.LET(_xlpm.d,I$2:I$36,_xlpm.f,$B$2:$B$36,AVERAGE(_xlfn._xlws.FILTER(_xlpm.d,_xlpm.f=$F48)))</f>
        <v>0.46499161985493498</v>
      </c>
      <c r="J48" s="2" cm="1">
        <f t="array" ref="J48">_xlfn.LET(_xlpm.d,J$2:J$36,_xlpm.f,$B$2:$B$36,AVERAGE(_xlfn._xlws.FILTER(_xlpm.d,_xlpm.f=$F48)))</f>
        <v>0.52827567892090277</v>
      </c>
      <c r="K48" s="2" cm="1">
        <f t="array" ref="K48">_xlfn.LET(_xlpm.d,K$2:K$36,_xlpm.f,$B$2:$B$36,AVERAGE(_xlfn._xlws.FILTER(_xlpm.d,_xlpm.f=$F48)))</f>
        <v>0.3979421113907215</v>
      </c>
      <c r="L48" s="2" cm="1">
        <f t="array" ref="L48">_xlfn.LET(_xlpm.d,L$2:L$36,_xlpm.f,$B$2:$B$36,AVERAGE(_xlfn._xlws.FILTER(_xlpm.d,_xlpm.f=$F48)))</f>
        <v>0.36911350286726902</v>
      </c>
      <c r="M48" s="2" cm="1">
        <f t="array" ref="M48">_xlfn.LET(_xlpm.d,M$2:M$36,_xlpm.f,$B$2:$B$36,AVERAGE(_xlfn._xlws.FILTER(_xlpm.d,_xlpm.f=$F48)))</f>
        <v>0.29297311318716385</v>
      </c>
      <c r="N48" s="2" cm="1">
        <f t="array" ref="N48">_xlfn.LET(_xlpm.d,N$2:N$36,_xlpm.f,$B$2:$B$36,AVERAGE(_xlfn._xlws.FILTER(_xlpm.d,_xlpm.f=$F48)))</f>
        <v>0.35060399418172361</v>
      </c>
      <c r="O48" s="2" cm="1">
        <f t="array" ref="O48">_xlfn.LET(_xlpm.d,O$2:O$36,_xlpm.f,$B$2:$B$36,AVERAGE(_xlfn._xlws.FILTER(_xlpm.d,_xlpm.f=$F48)))</f>
        <v>0.31779139002702872</v>
      </c>
      <c r="P48" s="2" cm="1">
        <f t="array" ref="P48">_xlfn.LET(_xlpm.d,P$2:P$36,_xlpm.f,$B$2:$B$36,AVERAGE(_xlfn._xlws.FILTER(_xlpm.d,_xlpm.f=$F48)))</f>
        <v>0.3283585892114057</v>
      </c>
      <c r="Q48" s="2" cm="1">
        <f t="array" ref="Q48">_xlfn.LET(_xlpm.d,Q$2:Q$36,_xlpm.f,$B$2:$B$36,AVERAGE(_xlfn._xlws.FILTER(_xlpm.d,_xlpm.f=$F48)))</f>
        <v>0.21935335333198572</v>
      </c>
      <c r="R48" s="2" cm="1">
        <f t="array" ref="R48">_xlfn.LET(_xlpm.d,R$2:R$36,_xlpm.f,$B$2:$B$36,AVERAGE(_xlfn._xlws.FILTER(_xlpm.d,_xlpm.f=$F48)))</f>
        <v>0.27373704727040044</v>
      </c>
      <c r="S48" s="2" cm="1">
        <f t="array" ref="S48">_xlfn.LET(_xlpm.d,S$2:S$36,_xlpm.f,$B$2:$B$36,AVERAGE(_xlfn._xlws.FILTER(_xlpm.d,_xlpm.f=$F48)))</f>
        <v>0.20041484400740331</v>
      </c>
      <c r="T48" s="2" cm="1">
        <f t="array" ref="T48">_xlfn.LET(_xlpm.d,T$2:T$36,_xlpm.f,$B$2:$B$36,AVERAGE(_xlfn._xlws.FILTER(_xlpm.d,_xlpm.f=$F48)))</f>
        <v>0.37453374439989345</v>
      </c>
    </row>
    <row r="49" spans="6:20" ht="30" customHeight="1">
      <c r="F49" t="s">
        <v>58</v>
      </c>
      <c r="G49" s="2" cm="1">
        <f t="array" ref="G49">_xlfn.LET(_xlpm.d,G$2:G$36,_xlpm.f,$B$2:$B$36,AVERAGE(_xlfn._xlws.FILTER(_xlpm.d,_xlpm.f=$F49)))</f>
        <v>0.99568712855618913</v>
      </c>
      <c r="H49" s="2" cm="1">
        <f t="array" ref="H49">_xlfn.LET(_xlpm.d,H$2:H$36,_xlpm.f,$B$2:$B$36,AVERAGE(_xlfn._xlws.FILTER(_xlpm.d,_xlpm.f=$F49)))</f>
        <v>0.98251441969947506</v>
      </c>
      <c r="I49" s="2" cm="1">
        <f t="array" ref="I49">_xlfn.LET(_xlpm.d,I$2:I$36,_xlpm.f,$B$2:$B$36,AVERAGE(_xlfn._xlws.FILTER(_xlpm.d,_xlpm.f=$F49)))</f>
        <v>0.99941109290923802</v>
      </c>
      <c r="J49" s="2" cm="1">
        <f t="array" ref="J49">_xlfn.LET(_xlpm.d,J$2:J$36,_xlpm.f,$B$2:$B$36,AVERAGE(_xlfn._xlws.FILTER(_xlpm.d,_xlpm.f=$F49)))</f>
        <v>0.98993039177519371</v>
      </c>
      <c r="K49" s="2" cm="1">
        <f t="array" ref="K49">_xlfn.LET(_xlpm.d,K$2:K$36,_xlpm.f,$B$2:$B$36,AVERAGE(_xlfn._xlws.FILTER(_xlpm.d,_xlpm.f=$F49)))</f>
        <v>0.97473685259810872</v>
      </c>
      <c r="L49" s="2" cm="1">
        <f t="array" ref="L49">_xlfn.LET(_xlpm.d,L$2:L$36,_xlpm.f,$B$2:$B$36,AVERAGE(_xlfn._xlws.FILTER(_xlpm.d,_xlpm.f=$F49)))</f>
        <v>0.968121810396673</v>
      </c>
      <c r="M49" s="2" cm="1">
        <f t="array" ref="M49">_xlfn.LET(_xlpm.d,M$2:M$36,_xlpm.f,$B$2:$B$36,AVERAGE(_xlfn._xlws.FILTER(_xlpm.d,_xlpm.f=$F49)))</f>
        <v>0.97431926484304199</v>
      </c>
      <c r="N49" s="2" cm="1">
        <f t="array" ref="N49">_xlfn.LET(_xlpm.d,N$2:N$36,_xlpm.f,$B$2:$B$36,AVERAGE(_xlfn._xlws.FILTER(_xlpm.d,_xlpm.f=$F49)))</f>
        <v>0.9325763811449882</v>
      </c>
      <c r="O49" s="2" cm="1">
        <f t="array" ref="O49">_xlfn.LET(_xlpm.d,O$2:O$36,_xlpm.f,$B$2:$B$36,AVERAGE(_xlfn._xlws.FILTER(_xlpm.d,_xlpm.f=$F49)))</f>
        <v>0.99598608221168961</v>
      </c>
      <c r="P49" s="2" cm="1">
        <f t="array" ref="P49">_xlfn.LET(_xlpm.d,P$2:P$36,_xlpm.f,$B$2:$B$36,AVERAGE(_xlfn._xlws.FILTER(_xlpm.d,_xlpm.f=$F49)))</f>
        <v>0.99004812832838673</v>
      </c>
      <c r="Q49" s="2" cm="1">
        <f t="array" ref="Q49">_xlfn.LET(_xlpm.d,Q$2:Q$36,_xlpm.f,$B$2:$B$36,AVERAGE(_xlfn._xlws.FILTER(_xlpm.d,_xlpm.f=$F49)))</f>
        <v>0.90875871398112229</v>
      </c>
      <c r="R49" s="2" cm="1">
        <f t="array" ref="R49">_xlfn.LET(_xlpm.d,R$2:R$36,_xlpm.f,$B$2:$B$36,AVERAGE(_xlfn._xlws.FILTER(_xlpm.d,_xlpm.f=$F49)))</f>
        <v>0.91319052758644925</v>
      </c>
      <c r="S49" s="2" cm="1">
        <f t="array" ref="S49">_xlfn.LET(_xlpm.d,S$2:S$36,_xlpm.f,$B$2:$B$36,AVERAGE(_xlfn._xlws.FILTER(_xlpm.d,_xlpm.f=$F49)))</f>
        <v>0.98284480078068115</v>
      </c>
      <c r="T49" s="2" cm="1">
        <f t="array" ref="T49">_xlfn.LET(_xlpm.d,T$2:T$36,_xlpm.f,$B$2:$B$36,AVERAGE(_xlfn._xlws.FILTER(_xlpm.d,_xlpm.f=$F49)))</f>
        <v>0.96985581498547979</v>
      </c>
    </row>
  </sheetData>
  <phoneticPr fontId="1" type="noConversion"/>
  <conditionalFormatting sqref="G2:S36">
    <cfRule type="colorScale" priority="8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39:T42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44:T49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36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V2:V36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aNA.simple.xsk-free</vt:lpstr>
      <vt:lpstr>aNA.simple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2025-09-10T09:16:41Z</dcterms:modified>
  <cp:category/>
</cp:coreProperties>
</file>