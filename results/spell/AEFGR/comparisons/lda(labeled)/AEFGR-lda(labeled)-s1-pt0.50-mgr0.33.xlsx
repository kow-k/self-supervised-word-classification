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GR/comparisons/lda(labeled)/"/>
    </mc:Choice>
  </mc:AlternateContent>
  <xr:revisionPtr revIDLastSave="0" documentId="13_ncr:1_{AB5F3F8C-DBD7-3641-AB2F-AAABAD745734}" xr6:coauthVersionLast="47" xr6:coauthVersionMax="47" xr10:uidLastSave="{00000000-0000-0000-0000-000000000000}"/>
  <bookViews>
    <workbookView xWindow="4960" yWindow="500" windowWidth="32840" windowHeight="17640" xr2:uid="{AAB55906-58C7-F940-B4CF-E7AFA13CA4FF}"/>
  </bookViews>
  <sheets>
    <sheet name="aNA.xsk-free" sheetId="3" r:id="rId1"/>
    <sheet name="aNA.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3" l="1"/>
  <c r="O29" i="3"/>
  <c r="N29" i="3"/>
  <c r="M29" i="3"/>
  <c r="L29" i="3"/>
  <c r="K29" i="3"/>
  <c r="J29" i="3"/>
  <c r="I29" i="3"/>
  <c r="H29" i="3"/>
  <c r="G29" i="3"/>
  <c r="F29" i="3"/>
  <c r="E29" i="3"/>
  <c r="D29" i="3"/>
  <c r="Q26" i="3"/>
  <c r="B26" i="3"/>
  <c r="A26" i="3"/>
  <c r="Q25" i="3"/>
  <c r="B25" i="3"/>
  <c r="A25" i="3"/>
  <c r="Q24" i="3"/>
  <c r="B24" i="3"/>
  <c r="A24" i="3"/>
  <c r="Q23" i="3"/>
  <c r="B23" i="3"/>
  <c r="A23" i="3"/>
  <c r="Q22" i="3"/>
  <c r="B22" i="3"/>
  <c r="A22" i="3"/>
  <c r="Q21" i="3"/>
  <c r="B21" i="3"/>
  <c r="A21" i="3"/>
  <c r="Q20" i="3"/>
  <c r="B20" i="3"/>
  <c r="A20" i="3"/>
  <c r="Q19" i="3"/>
  <c r="B19" i="3"/>
  <c r="A19" i="3"/>
  <c r="Q18" i="3"/>
  <c r="B18" i="3"/>
  <c r="A18" i="3"/>
  <c r="Q17" i="3"/>
  <c r="B17" i="3"/>
  <c r="A17" i="3"/>
  <c r="Q16" i="3"/>
  <c r="B16" i="3"/>
  <c r="A16" i="3"/>
  <c r="Q15" i="3"/>
  <c r="B15" i="3"/>
  <c r="A15" i="3"/>
  <c r="Q14" i="3"/>
  <c r="B14" i="3"/>
  <c r="A14" i="3"/>
  <c r="Q13" i="3"/>
  <c r="B13" i="3"/>
  <c r="A13" i="3"/>
  <c r="Q12" i="3"/>
  <c r="B12" i="3"/>
  <c r="A12" i="3"/>
  <c r="Q11" i="3"/>
  <c r="B11" i="3"/>
  <c r="A11" i="3"/>
  <c r="Q10" i="3"/>
  <c r="B10" i="3"/>
  <c r="A10" i="3"/>
  <c r="Q9" i="3"/>
  <c r="B9" i="3"/>
  <c r="A9" i="3"/>
  <c r="Q8" i="3"/>
  <c r="B8" i="3"/>
  <c r="A8" i="3"/>
  <c r="Q7" i="3"/>
  <c r="B7" i="3"/>
  <c r="A7" i="3"/>
  <c r="Q6" i="3"/>
  <c r="B6" i="3"/>
  <c r="A6" i="3"/>
  <c r="Q5" i="3"/>
  <c r="B5" i="3"/>
  <c r="A5" i="3"/>
  <c r="Q4" i="3"/>
  <c r="B4" i="3"/>
  <c r="A4" i="3"/>
  <c r="Q3" i="3"/>
  <c r="B3" i="3"/>
  <c r="A3" i="3"/>
  <c r="Q2" i="3"/>
  <c r="B2" i="3"/>
  <c r="A2" i="3"/>
  <c r="E34" i="3" l="1" a="1"/>
  <c r="E34" i="3" s="1"/>
  <c r="O31" i="3" a="1"/>
  <c r="O31" i="3" s="1"/>
  <c r="M30" i="3" a="1"/>
  <c r="M30" i="3" s="1"/>
  <c r="Q29" i="3"/>
  <c r="Q32" i="3" a="1"/>
  <c r="Q32" i="3" s="1"/>
  <c r="Q34" i="3" a="1"/>
  <c r="Q34" i="3" s="1"/>
  <c r="F34" i="3" a="1"/>
  <c r="F34" i="3" s="1"/>
  <c r="I34" i="3" a="1"/>
  <c r="I34" i="3" s="1"/>
  <c r="M34" i="3" a="1"/>
  <c r="M34" i="3" s="1"/>
  <c r="N30" i="3" a="1"/>
  <c r="N30" i="3" s="1"/>
  <c r="Q30" i="3" a="1"/>
  <c r="Q30" i="3" s="1"/>
  <c r="G33" i="3" a="1"/>
  <c r="G33" i="3" s="1"/>
  <c r="F32" i="3" a="1"/>
  <c r="F32" i="3" s="1"/>
  <c r="J34" i="3" a="1"/>
  <c r="J34" i="3" s="1"/>
  <c r="G31" i="3" a="1"/>
  <c r="G31" i="3" s="1"/>
  <c r="K33" i="3" a="1"/>
  <c r="K33" i="3" s="1"/>
  <c r="H31" i="3" a="1"/>
  <c r="H31" i="3" s="1"/>
  <c r="J32" i="3" a="1"/>
  <c r="J32" i="3" s="1"/>
  <c r="L33" i="3" a="1"/>
  <c r="L33" i="3" s="1"/>
  <c r="N34" i="3" a="1"/>
  <c r="N34" i="3" s="1"/>
  <c r="P31" i="3" a="1"/>
  <c r="P31" i="3" s="1"/>
  <c r="E32" i="3" a="1"/>
  <c r="E32" i="3" s="1"/>
  <c r="D31" i="3" a="1"/>
  <c r="D31" i="3" s="1"/>
  <c r="H33" i="3" a="1"/>
  <c r="H33" i="3" s="1"/>
  <c r="E30" i="3" a="1"/>
  <c r="E30" i="3" s="1"/>
  <c r="I32" i="3" a="1"/>
  <c r="I32" i="3" s="1"/>
  <c r="F30" i="3" a="1"/>
  <c r="F30" i="3" s="1"/>
  <c r="P42" i="3" a="1"/>
  <c r="P42" i="3" s="1"/>
  <c r="I30" i="3" a="1"/>
  <c r="I30" i="3" s="1"/>
  <c r="K31" i="3" a="1"/>
  <c r="K31" i="3" s="1"/>
  <c r="M32" i="3" a="1"/>
  <c r="M32" i="3" s="1"/>
  <c r="O33" i="3" a="1"/>
  <c r="O33" i="3" s="1"/>
  <c r="P34" i="3" a="1"/>
  <c r="P34" i="3" s="1"/>
  <c r="H34" i="3" a="1"/>
  <c r="H34" i="3" s="1"/>
  <c r="N33" i="3" a="1"/>
  <c r="N33" i="3" s="1"/>
  <c r="F33" i="3" a="1"/>
  <c r="F33" i="3" s="1"/>
  <c r="L32" i="3" a="1"/>
  <c r="L32" i="3" s="1"/>
  <c r="D32" i="3" a="1"/>
  <c r="D32" i="3" s="1"/>
  <c r="J31" i="3" a="1"/>
  <c r="J31" i="3" s="1"/>
  <c r="F31" i="3" a="1"/>
  <c r="F31" i="3" s="1"/>
  <c r="L30" i="3" a="1"/>
  <c r="L30" i="3" s="1"/>
  <c r="D30" i="3" a="1"/>
  <c r="D30" i="3" s="1"/>
  <c r="K34" i="3" a="1"/>
  <c r="K34" i="3" s="1"/>
  <c r="M33" i="3" a="1"/>
  <c r="M33" i="3" s="1"/>
  <c r="K32" i="3" a="1"/>
  <c r="K32" i="3" s="1"/>
  <c r="M31" i="3" a="1"/>
  <c r="M31" i="3" s="1"/>
  <c r="O30" i="3" a="1"/>
  <c r="O30" i="3" s="1"/>
  <c r="L34" i="3" a="1"/>
  <c r="L34" i="3" s="1"/>
  <c r="D34" i="3" a="1"/>
  <c r="D34" i="3" s="1"/>
  <c r="J33" i="3" a="1"/>
  <c r="J33" i="3" s="1"/>
  <c r="P32" i="3" a="1"/>
  <c r="P32" i="3" s="1"/>
  <c r="H32" i="3" a="1"/>
  <c r="H32" i="3" s="1"/>
  <c r="N31" i="3" a="1"/>
  <c r="N31" i="3" s="1"/>
  <c r="P30" i="3" a="1"/>
  <c r="P30" i="3" s="1"/>
  <c r="H30" i="3" a="1"/>
  <c r="H30" i="3" s="1"/>
  <c r="G34" i="3" a="1"/>
  <c r="G34" i="3" s="1"/>
  <c r="E33" i="3" a="1"/>
  <c r="E33" i="3" s="1"/>
  <c r="G32" i="3" a="1"/>
  <c r="G32" i="3" s="1"/>
  <c r="I31" i="3" a="1"/>
  <c r="I31" i="3" s="1"/>
  <c r="G30" i="3" a="1"/>
  <c r="G30" i="3" s="1"/>
  <c r="O34" i="3" a="1"/>
  <c r="O34" i="3" s="1"/>
  <c r="Q33" i="3" a="1"/>
  <c r="Q33" i="3" s="1"/>
  <c r="I33" i="3" a="1"/>
  <c r="I33" i="3" s="1"/>
  <c r="O32" i="3" a="1"/>
  <c r="O32" i="3" s="1"/>
  <c r="Q31" i="3" a="1"/>
  <c r="Q31" i="3" s="1"/>
  <c r="E31" i="3" a="1"/>
  <c r="E31" i="3" s="1"/>
  <c r="K30" i="3" a="1"/>
  <c r="K30" i="3" s="1"/>
  <c r="D33" i="3" a="1"/>
  <c r="D33" i="3" s="1"/>
  <c r="Q42" i="3" a="1"/>
  <c r="Q42" i="3" s="1"/>
  <c r="M42" i="3" a="1"/>
  <c r="M42" i="3" s="1"/>
  <c r="I42" i="3" a="1"/>
  <c r="I42" i="3" s="1"/>
  <c r="E42" i="3" a="1"/>
  <c r="E42" i="3" s="1"/>
  <c r="O41" i="3" a="1"/>
  <c r="O41" i="3" s="1"/>
  <c r="K41" i="3" a="1"/>
  <c r="K41" i="3" s="1"/>
  <c r="G41" i="3" a="1"/>
  <c r="G41" i="3" s="1"/>
  <c r="Q40" i="3" a="1"/>
  <c r="Q40" i="3" s="1"/>
  <c r="M40" i="3" a="1"/>
  <c r="M40" i="3" s="1"/>
  <c r="I40" i="3" a="1"/>
  <c r="I40" i="3" s="1"/>
  <c r="E40" i="3" a="1"/>
  <c r="E40" i="3" s="1"/>
  <c r="O39" i="3" a="1"/>
  <c r="O39" i="3" s="1"/>
  <c r="K39" i="3" a="1"/>
  <c r="K39" i="3" s="1"/>
  <c r="G39" i="3" a="1"/>
  <c r="G39" i="3" s="1"/>
  <c r="Q38" i="3" a="1"/>
  <c r="Q38" i="3" s="1"/>
  <c r="M38" i="3" a="1"/>
  <c r="M38" i="3" s="1"/>
  <c r="I38" i="3" a="1"/>
  <c r="I38" i="3" s="1"/>
  <c r="E38" i="3" a="1"/>
  <c r="E38" i="3" s="1"/>
  <c r="K37" i="3" a="1"/>
  <c r="K37" i="3" s="1"/>
  <c r="G37" i="3" a="1"/>
  <c r="G37" i="3" s="1"/>
  <c r="O37" i="3" a="1"/>
  <c r="O37" i="3" s="1"/>
  <c r="D40" i="3" a="1"/>
  <c r="D40" i="3" s="1"/>
  <c r="J39" i="3" a="1"/>
  <c r="J39" i="3" s="1"/>
  <c r="P38" i="3" a="1"/>
  <c r="P38" i="3" s="1"/>
  <c r="H38" i="3" a="1"/>
  <c r="H38" i="3" s="1"/>
  <c r="N37" i="3" a="1"/>
  <c r="N37" i="3" s="1"/>
  <c r="F37" i="3" a="1"/>
  <c r="F37" i="3" s="1"/>
  <c r="F42" i="3" a="1"/>
  <c r="F42" i="3" s="1"/>
  <c r="L41" i="3" a="1"/>
  <c r="L41" i="3" s="1"/>
  <c r="D41" i="3" a="1"/>
  <c r="D41" i="3" s="1"/>
  <c r="F40" i="3" a="1"/>
  <c r="F40" i="3" s="1"/>
  <c r="D39" i="3" a="1"/>
  <c r="D39" i="3" s="1"/>
  <c r="F38" i="3" a="1"/>
  <c r="F38" i="3" s="1"/>
  <c r="N39" i="3" a="1"/>
  <c r="N39" i="3" s="1"/>
  <c r="F39" i="3" a="1"/>
  <c r="F39" i="3" s="1"/>
  <c r="L38" i="3" a="1"/>
  <c r="L38" i="3" s="1"/>
  <c r="D38" i="3" a="1"/>
  <c r="D38" i="3" s="1"/>
  <c r="J37" i="3" a="1"/>
  <c r="J37" i="3" s="1"/>
  <c r="N42" i="3" a="1"/>
  <c r="N42" i="3" s="1"/>
  <c r="N40" i="3" a="1"/>
  <c r="N40" i="3" s="1"/>
  <c r="L39" i="3" a="1"/>
  <c r="L39" i="3" s="1"/>
  <c r="N38" i="3" a="1"/>
  <c r="N38" i="3" s="1"/>
  <c r="L37" i="3" a="1"/>
  <c r="L37" i="3" s="1"/>
  <c r="M41" i="3" a="1"/>
  <c r="M41" i="3" s="1"/>
  <c r="I41" i="3" a="1"/>
  <c r="I41" i="3" s="1"/>
  <c r="E41" i="3" a="1"/>
  <c r="E41" i="3" s="1"/>
  <c r="O40" i="3" a="1"/>
  <c r="O40" i="3" s="1"/>
  <c r="K40" i="3" a="1"/>
  <c r="K40" i="3" s="1"/>
  <c r="G40" i="3" a="1"/>
  <c r="G40" i="3" s="1"/>
  <c r="Q39" i="3" a="1"/>
  <c r="Q39" i="3" s="1"/>
  <c r="M39" i="3" a="1"/>
  <c r="M39" i="3" s="1"/>
  <c r="I39" i="3" a="1"/>
  <c r="I39" i="3" s="1"/>
  <c r="E39" i="3" a="1"/>
  <c r="E39" i="3" s="1"/>
  <c r="O38" i="3" a="1"/>
  <c r="O38" i="3" s="1"/>
  <c r="K38" i="3" a="1"/>
  <c r="K38" i="3" s="1"/>
  <c r="G38" i="3" a="1"/>
  <c r="G38" i="3" s="1"/>
  <c r="Q37" i="3" a="1"/>
  <c r="Q37" i="3" s="1"/>
  <c r="M37" i="3" a="1"/>
  <c r="M37" i="3" s="1"/>
  <c r="I37" i="3" a="1"/>
  <c r="I37" i="3" s="1"/>
  <c r="E37" i="3" a="1"/>
  <c r="E37" i="3" s="1"/>
  <c r="J42" i="3" a="1"/>
  <c r="J42" i="3" s="1"/>
  <c r="P41" i="3" a="1"/>
  <c r="P41" i="3" s="1"/>
  <c r="H41" i="3" a="1"/>
  <c r="H41" i="3" s="1"/>
  <c r="J40" i="3" a="1"/>
  <c r="J40" i="3" s="1"/>
  <c r="P39" i="3" a="1"/>
  <c r="P39" i="3" s="1"/>
  <c r="H39" i="3" a="1"/>
  <c r="H39" i="3" s="1"/>
  <c r="J38" i="3" a="1"/>
  <c r="J38" i="3" s="1"/>
  <c r="P37" i="3" a="1"/>
  <c r="P37" i="3" s="1"/>
  <c r="H37" i="3" a="1"/>
  <c r="H37" i="3" s="1"/>
  <c r="J30" i="3" a="1"/>
  <c r="J30" i="3" s="1"/>
  <c r="L31" i="3" a="1"/>
  <c r="L31" i="3" s="1"/>
  <c r="N32" i="3" a="1"/>
  <c r="N32" i="3" s="1"/>
  <c r="P33" i="3" a="1"/>
  <c r="P33" i="3" s="1"/>
  <c r="D37" i="3" a="1"/>
  <c r="D37" i="3" s="1"/>
  <c r="Q41" i="3" a="1"/>
  <c r="Q41" i="3" s="1"/>
  <c r="G42" i="3" a="1"/>
  <c r="G42" i="3" s="1"/>
  <c r="K42" i="3" a="1"/>
  <c r="K42" i="3" s="1"/>
  <c r="O42" i="3" a="1"/>
  <c r="O42" i="3" s="1"/>
  <c r="H40" i="3" a="1"/>
  <c r="H40" i="3" s="1"/>
  <c r="L40" i="3" a="1"/>
  <c r="L40" i="3" s="1"/>
  <c r="P40" i="3" a="1"/>
  <c r="P40" i="3" s="1"/>
  <c r="F41" i="3" a="1"/>
  <c r="F41" i="3" s="1"/>
  <c r="J41" i="3" a="1"/>
  <c r="J41" i="3" s="1"/>
  <c r="N41" i="3" a="1"/>
  <c r="N41" i="3" s="1"/>
  <c r="D42" i="3" a="1"/>
  <c r="D42" i="3" s="1"/>
  <c r="H42" i="3" a="1"/>
  <c r="H42" i="3" s="1"/>
  <c r="L42" i="3" a="1"/>
  <c r="L42" i="3" s="1"/>
  <c r="L47" i="2" a="1"/>
  <c r="L47" i="2" s="1"/>
  <c r="M47" i="2" a="1"/>
  <c r="M47" i="2" s="1"/>
  <c r="N47" i="2" a="1"/>
  <c r="N47" i="2" s="1"/>
  <c r="O47" i="2" a="1"/>
  <c r="O47" i="2" s="1"/>
  <c r="P47" i="2" a="1"/>
  <c r="P47" i="2" s="1"/>
  <c r="L48" i="2" a="1"/>
  <c r="L48" i="2" s="1"/>
  <c r="M48" i="2" a="1"/>
  <c r="M48" i="2" s="1"/>
  <c r="N48" i="2" a="1"/>
  <c r="N48" i="2" s="1"/>
  <c r="O48" i="2" a="1"/>
  <c r="O48" i="2" s="1"/>
  <c r="P48" i="2" a="1"/>
  <c r="P48" i="2" s="1"/>
  <c r="L49" i="2" a="1"/>
  <c r="L49" i="2" s="1"/>
  <c r="M49" i="2" a="1"/>
  <c r="M49" i="2" s="1"/>
  <c r="N49" i="2" a="1"/>
  <c r="N49" i="2" s="1"/>
  <c r="O49" i="2" a="1"/>
  <c r="O49" i="2" s="1"/>
  <c r="P49" i="2" a="1"/>
  <c r="P49" i="2" s="1"/>
  <c r="L50" i="2" a="1"/>
  <c r="L50" i="2" s="1"/>
  <c r="M50" i="2" a="1"/>
  <c r="M50" i="2" s="1"/>
  <c r="N50" i="2" a="1"/>
  <c r="N50" i="2" s="1"/>
  <c r="O50" i="2" a="1"/>
  <c r="O50" i="2" s="1"/>
  <c r="P50" i="2" a="1"/>
  <c r="P50" i="2" s="1"/>
  <c r="L51" i="2" a="1"/>
  <c r="L51" i="2" s="1"/>
  <c r="M51" i="2" a="1"/>
  <c r="M51" i="2" s="1"/>
  <c r="N51" i="2" a="1"/>
  <c r="N51" i="2" s="1"/>
  <c r="O51" i="2" a="1"/>
  <c r="O51" i="2" s="1"/>
  <c r="P51" i="2" a="1"/>
  <c r="P51" i="2" s="1"/>
  <c r="L52" i="2" a="1"/>
  <c r="L52" i="2" s="1"/>
  <c r="M52" i="2" a="1"/>
  <c r="M52" i="2" s="1"/>
  <c r="N52" i="2" a="1"/>
  <c r="N52" i="2" s="1"/>
  <c r="O52" i="2" a="1"/>
  <c r="O52" i="2" s="1"/>
  <c r="P52" i="2" a="1"/>
  <c r="P52" i="2" s="1"/>
  <c r="L39" i="2"/>
  <c r="M39" i="2"/>
  <c r="N39" i="2"/>
  <c r="O39" i="2"/>
  <c r="P39" i="2"/>
  <c r="L40" i="2" a="1"/>
  <c r="L40" i="2"/>
  <c r="M40" i="2" a="1"/>
  <c r="M40" i="2" s="1"/>
  <c r="N40" i="2" a="1"/>
  <c r="N40" i="2" s="1"/>
  <c r="O40" i="2" a="1"/>
  <c r="O40" i="2" s="1"/>
  <c r="P40" i="2" a="1"/>
  <c r="P40" i="2"/>
  <c r="L41" i="2" a="1"/>
  <c r="L41" i="2" s="1"/>
  <c r="M41" i="2" a="1"/>
  <c r="M41" i="2" s="1"/>
  <c r="N41" i="2" a="1"/>
  <c r="N41" i="2" s="1"/>
  <c r="O41" i="2" a="1"/>
  <c r="O41" i="2" s="1"/>
  <c r="P41" i="2" a="1"/>
  <c r="P41" i="2" s="1"/>
  <c r="L42" i="2" a="1"/>
  <c r="L42" i="2"/>
  <c r="M42" i="2" a="1"/>
  <c r="M42" i="2" s="1"/>
  <c r="N42" i="2" a="1"/>
  <c r="N42" i="2" s="1"/>
  <c r="O42" i="2" a="1"/>
  <c r="O42" i="2" s="1"/>
  <c r="P42" i="2" a="1"/>
  <c r="P42" i="2" s="1"/>
  <c r="L43" i="2" a="1"/>
  <c r="L43" i="2"/>
  <c r="M43" i="2" a="1"/>
  <c r="M43" i="2"/>
  <c r="N43" i="2" a="1"/>
  <c r="N43" i="2" s="1"/>
  <c r="O43" i="2" a="1"/>
  <c r="O43" i="2" s="1"/>
  <c r="P43" i="2" a="1"/>
  <c r="P43" i="2" s="1"/>
  <c r="L44" i="2" a="1"/>
  <c r="L44" i="2"/>
  <c r="M44" i="2" a="1"/>
  <c r="M44" i="2" s="1"/>
  <c r="N44" i="2" a="1"/>
  <c r="N44" i="2" s="1"/>
  <c r="O44" i="2" a="1"/>
  <c r="O44" i="2" s="1"/>
  <c r="P44" i="2" a="1"/>
  <c r="P44" i="2" s="1"/>
  <c r="A16" i="2"/>
  <c r="A17" i="2"/>
  <c r="A18" i="2"/>
  <c r="A19" i="2"/>
  <c r="A20" i="2"/>
  <c r="A21" i="2"/>
  <c r="A22" i="2"/>
  <c r="A23" i="2"/>
  <c r="A24" i="2"/>
  <c r="A25" i="2"/>
  <c r="B16" i="2"/>
  <c r="B17" i="2"/>
  <c r="B18" i="2"/>
  <c r="B19" i="2"/>
  <c r="B20" i="2"/>
  <c r="B21" i="2"/>
  <c r="B22" i="2"/>
  <c r="B23" i="2"/>
  <c r="B24" i="2"/>
  <c r="B25" i="2"/>
  <c r="Q16" i="2"/>
  <c r="Q17" i="2"/>
  <c r="Q18" i="2"/>
  <c r="Q19" i="2"/>
  <c r="Q20" i="2"/>
  <c r="Q21" i="2"/>
  <c r="Q22" i="2"/>
  <c r="Q23" i="2"/>
  <c r="Q24" i="2"/>
  <c r="Q25" i="2"/>
  <c r="K39" i="2"/>
  <c r="J39" i="2"/>
  <c r="I39" i="2"/>
  <c r="H39" i="2"/>
  <c r="G39" i="2"/>
  <c r="F39" i="2"/>
  <c r="E39" i="2"/>
  <c r="D39" i="2"/>
  <c r="Q36" i="2"/>
  <c r="B36" i="2"/>
  <c r="A36" i="2"/>
  <c r="Q35" i="2"/>
  <c r="B35" i="2"/>
  <c r="A35" i="2"/>
  <c r="Q34" i="2"/>
  <c r="B34" i="2"/>
  <c r="A34" i="2"/>
  <c r="Q33" i="2"/>
  <c r="B33" i="2"/>
  <c r="A33" i="2"/>
  <c r="Q32" i="2"/>
  <c r="B32" i="2"/>
  <c r="A32" i="2"/>
  <c r="Q31" i="2"/>
  <c r="B31" i="2"/>
  <c r="A31" i="2"/>
  <c r="Q30" i="2"/>
  <c r="B30" i="2"/>
  <c r="A30" i="2"/>
  <c r="Q29" i="2"/>
  <c r="B29" i="2"/>
  <c r="A29" i="2"/>
  <c r="Q28" i="2"/>
  <c r="B28" i="2"/>
  <c r="A28" i="2"/>
  <c r="Q27" i="2"/>
  <c r="B27" i="2"/>
  <c r="A27" i="2"/>
  <c r="Q26" i="2"/>
  <c r="B26" i="2"/>
  <c r="A26" i="2"/>
  <c r="Q15" i="2"/>
  <c r="B15" i="2"/>
  <c r="A15" i="2"/>
  <c r="Q14" i="2"/>
  <c r="B14" i="2"/>
  <c r="A14" i="2"/>
  <c r="Q13" i="2"/>
  <c r="B13" i="2"/>
  <c r="A13" i="2"/>
  <c r="Q12" i="2"/>
  <c r="B12" i="2"/>
  <c r="A12" i="2"/>
  <c r="Q11" i="2"/>
  <c r="B11" i="2"/>
  <c r="A11" i="2"/>
  <c r="Q10" i="2"/>
  <c r="B10" i="2"/>
  <c r="A10" i="2"/>
  <c r="Q9" i="2"/>
  <c r="B9" i="2"/>
  <c r="A9" i="2"/>
  <c r="Q8" i="2"/>
  <c r="B8" i="2"/>
  <c r="A8" i="2"/>
  <c r="Q7" i="2"/>
  <c r="B7" i="2"/>
  <c r="A7" i="2"/>
  <c r="Q6" i="2"/>
  <c r="B6" i="2"/>
  <c r="A6" i="2"/>
  <c r="Q5" i="2"/>
  <c r="B5" i="2"/>
  <c r="A5" i="2"/>
  <c r="Q4" i="2"/>
  <c r="B4" i="2"/>
  <c r="A4" i="2"/>
  <c r="Q3" i="2"/>
  <c r="B3" i="2"/>
  <c r="A3" i="2"/>
  <c r="Q2" i="2"/>
  <c r="B2" i="2"/>
  <c r="A2" i="2"/>
  <c r="Q43" i="2" l="1" a="1"/>
  <c r="Q43" i="2" s="1"/>
  <c r="Q52" i="2" a="1"/>
  <c r="Q52" i="2" s="1"/>
  <c r="Q40" i="2" a="1"/>
  <c r="Q40" i="2" s="1"/>
  <c r="Q47" i="2" a="1"/>
  <c r="Q47" i="2" s="1"/>
  <c r="Q50" i="2" a="1"/>
  <c r="Q50" i="2" s="1"/>
  <c r="Q41" i="2" a="1"/>
  <c r="Q41" i="2" s="1"/>
  <c r="Q44" i="2" a="1"/>
  <c r="Q44" i="2" s="1"/>
  <c r="Q51" i="2" a="1"/>
  <c r="Q51" i="2" s="1"/>
  <c r="Q39" i="2"/>
  <c r="Q42" i="2" a="1"/>
  <c r="Q42" i="2" s="1"/>
  <c r="Q49" i="2" a="1"/>
  <c r="Q49" i="2" s="1"/>
  <c r="Q48" i="2" a="1"/>
  <c r="Q48" i="2" s="1"/>
  <c r="I44" i="2" a="1"/>
  <c r="I44" i="2" s="1"/>
  <c r="E40" i="2" a="1"/>
  <c r="E40" i="2" s="1"/>
  <c r="J41" i="2" a="1"/>
  <c r="J41" i="2" s="1"/>
  <c r="F51" i="2" a="1"/>
  <c r="F51" i="2" s="1"/>
  <c r="E50" i="2" a="1"/>
  <c r="E50" i="2" s="1"/>
  <c r="D43" i="2" a="1"/>
  <c r="D43" i="2" s="1"/>
  <c r="I50" i="2" a="1"/>
  <c r="I50" i="2" s="1"/>
  <c r="I40" i="2" a="1"/>
  <c r="I40" i="2" s="1"/>
  <c r="H43" i="2" a="1"/>
  <c r="H43" i="2" s="1"/>
  <c r="G48" i="2" a="1"/>
  <c r="G48" i="2" s="1"/>
  <c r="D44" i="2" a="1"/>
  <c r="D44" i="2" s="1"/>
  <c r="E41" i="2" a="1"/>
  <c r="E41" i="2" s="1"/>
  <c r="H40" i="2" a="1"/>
  <c r="H40" i="2" s="1"/>
  <c r="I49" i="2" a="1"/>
  <c r="I49" i="2" s="1"/>
  <c r="D42" i="2" a="1"/>
  <c r="D42" i="2" s="1"/>
  <c r="F40" i="2" a="1"/>
  <c r="F40" i="2" s="1"/>
  <c r="J52" i="2" a="1"/>
  <c r="J52" i="2" s="1"/>
  <c r="F52" i="2" a="1"/>
  <c r="F52" i="2" s="1"/>
  <c r="I51" i="2" a="1"/>
  <c r="I51" i="2" s="1"/>
  <c r="E51" i="2" a="1"/>
  <c r="E51" i="2" s="1"/>
  <c r="H50" i="2" a="1"/>
  <c r="H50" i="2" s="1"/>
  <c r="D50" i="2" a="1"/>
  <c r="D50" i="2" s="1"/>
  <c r="K49" i="2" a="1"/>
  <c r="K49" i="2" s="1"/>
  <c r="G49" i="2" a="1"/>
  <c r="G49" i="2" s="1"/>
  <c r="J48" i="2" a="1"/>
  <c r="J48" i="2" s="1"/>
  <c r="F48" i="2" a="1"/>
  <c r="F48" i="2" s="1"/>
  <c r="H44" i="2" a="1"/>
  <c r="H44" i="2" s="1"/>
  <c r="K43" i="2" a="1"/>
  <c r="K43" i="2" s="1"/>
  <c r="G43" i="2" a="1"/>
  <c r="G43" i="2" s="1"/>
  <c r="J42" i="2" a="1"/>
  <c r="J42" i="2" s="1"/>
  <c r="F42" i="2" a="1"/>
  <c r="F42" i="2" s="1"/>
  <c r="I41" i="2" a="1"/>
  <c r="I41" i="2" s="1"/>
  <c r="D40" i="2" a="1"/>
  <c r="D40" i="2" s="1"/>
  <c r="E49" i="2" a="1"/>
  <c r="E49" i="2" s="1"/>
  <c r="I43" i="2" a="1"/>
  <c r="I43" i="2" s="1"/>
  <c r="K41" i="2" a="1"/>
  <c r="K41" i="2" s="1"/>
  <c r="H52" i="2" a="1"/>
  <c r="H52" i="2" s="1"/>
  <c r="G51" i="2" a="1"/>
  <c r="G51" i="2" s="1"/>
  <c r="F50" i="2" a="1"/>
  <c r="F50" i="2" s="1"/>
  <c r="H48" i="2" a="1"/>
  <c r="H48" i="2" s="1"/>
  <c r="J44" i="2" a="1"/>
  <c r="J44" i="2" s="1"/>
  <c r="I52" i="2" a="1"/>
  <c r="I52" i="2" s="1"/>
  <c r="E52" i="2" a="1"/>
  <c r="E52" i="2" s="1"/>
  <c r="H51" i="2" a="1"/>
  <c r="H51" i="2" s="1"/>
  <c r="D51" i="2" a="1"/>
  <c r="D51" i="2" s="1"/>
  <c r="K50" i="2" a="1"/>
  <c r="K50" i="2" s="1"/>
  <c r="G50" i="2" a="1"/>
  <c r="G50" i="2" s="1"/>
  <c r="J49" i="2" a="1"/>
  <c r="J49" i="2" s="1"/>
  <c r="F49" i="2" a="1"/>
  <c r="F49" i="2" s="1"/>
  <c r="I48" i="2" a="1"/>
  <c r="I48" i="2" s="1"/>
  <c r="E48" i="2" a="1"/>
  <c r="E48" i="2" s="1"/>
  <c r="K44" i="2" a="1"/>
  <c r="K44" i="2" s="1"/>
  <c r="G44" i="2" a="1"/>
  <c r="G44" i="2" s="1"/>
  <c r="J43" i="2" a="1"/>
  <c r="J43" i="2" s="1"/>
  <c r="F43" i="2" a="1"/>
  <c r="F43" i="2" s="1"/>
  <c r="I42" i="2" a="1"/>
  <c r="I42" i="2" s="1"/>
  <c r="E42" i="2" a="1"/>
  <c r="E42" i="2" s="1"/>
  <c r="H41" i="2" a="1"/>
  <c r="H41" i="2" s="1"/>
  <c r="D41" i="2" a="1"/>
  <c r="D41" i="2" s="1"/>
  <c r="K40" i="2" a="1"/>
  <c r="K40" i="2" s="1"/>
  <c r="G40" i="2" a="1"/>
  <c r="G40" i="2" s="1"/>
  <c r="D52" i="2" a="1"/>
  <c r="D52" i="2" s="1"/>
  <c r="K51" i="2" a="1"/>
  <c r="K51" i="2" s="1"/>
  <c r="J50" i="2" a="1"/>
  <c r="J50" i="2" s="1"/>
  <c r="D48" i="2" a="1"/>
  <c r="D48" i="2" s="1"/>
  <c r="F44" i="2" a="1"/>
  <c r="F44" i="2" s="1"/>
  <c r="E43" i="2" a="1"/>
  <c r="E43" i="2" s="1"/>
  <c r="H42" i="2" a="1"/>
  <c r="H42" i="2" s="1"/>
  <c r="G41" i="2" a="1"/>
  <c r="G41" i="2" s="1"/>
  <c r="J40" i="2" a="1"/>
  <c r="J40" i="2" s="1"/>
  <c r="K48" i="2" a="1"/>
  <c r="K48" i="2" s="1"/>
  <c r="J51" i="2" a="1"/>
  <c r="J51" i="2" s="1"/>
  <c r="D49" i="2" a="1"/>
  <c r="D49" i="2" s="1"/>
  <c r="H49" i="2" a="1"/>
  <c r="H49" i="2" s="1"/>
  <c r="G52" i="2" a="1"/>
  <c r="G52" i="2" s="1"/>
  <c r="K47" i="2" a="1"/>
  <c r="K47" i="2" s="1"/>
  <c r="I47" i="2" a="1"/>
  <c r="I47" i="2" s="1"/>
  <c r="E47" i="2" a="1"/>
  <c r="E47" i="2" s="1"/>
  <c r="G47" i="2" a="1"/>
  <c r="G47" i="2" s="1"/>
  <c r="H47" i="2" a="1"/>
  <c r="H47" i="2" s="1"/>
  <c r="D47" i="2" a="1"/>
  <c r="D47" i="2" s="1"/>
  <c r="G42" i="2" a="1"/>
  <c r="G42" i="2" s="1"/>
  <c r="F47" i="2" a="1"/>
  <c r="F47" i="2" s="1"/>
  <c r="F41" i="2" a="1"/>
  <c r="F41" i="2" s="1"/>
  <c r="K42" i="2" a="1"/>
  <c r="K42" i="2" s="1"/>
  <c r="E44" i="2" a="1"/>
  <c r="E44" i="2" s="1"/>
  <c r="J47" i="2" a="1"/>
  <c r="J47" i="2" s="1"/>
  <c r="K52" i="2" a="1"/>
  <c r="K5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<sst xmlns="http://schemas.openxmlformats.org/spreadsheetml/2006/main" count="124" uniqueCount="61">
  <si>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</si>
  <si>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</si>
  <si>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</si>
  <si>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</si>
  <si>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</si>
  <si>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</si>
  <si>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</si>
  <si>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</si>
  <si>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</si>
  <si>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</si>
  <si>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</si>
  <si>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</si>
  <si>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</si>
  <si>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</si>
  <si>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</si>
  <si>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</si>
  <si>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</si>
  <si>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</si>
  <si>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</si>
  <si>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</si>
  <si>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</si>
  <si>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</si>
  <si>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</si>
  <si>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</si>
  <si>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</si>
  <si>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</si>
  <si>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</si>
  <si>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</si>
  <si>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</si>
  <si>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</si>
  <si>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</si>
  <si>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</si>
  <si>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</si>
  <si>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</si>
  <si>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</si>
  <si>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</si>
  <si>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Note</t>
  </si>
  <si>
    <t>lang</t>
  </si>
  <si>
    <t>1g</t>
  </si>
  <si>
    <t>1g included</t>
  </si>
  <si>
    <t>all</t>
  </si>
  <si>
    <t>arabic</t>
  </si>
  <si>
    <t>english</t>
  </si>
  <si>
    <t>french</t>
  </si>
  <si>
    <t>german</t>
  </si>
  <si>
    <t>russian</t>
  </si>
  <si>
    <t>1g excluded</t>
  </si>
  <si>
    <t>average</t>
  </si>
  <si>
    <t>11</t>
  </si>
  <si>
    <t>13</t>
  </si>
  <si>
    <t>14</t>
  </si>
  <si>
    <t>arabic-xsk2g</t>
  </si>
  <si>
    <t>arabic-xsk3g</t>
  </si>
  <si>
    <t>english-xsk2g</t>
  </si>
  <si>
    <t>english-xsk3g</t>
  </si>
  <si>
    <t>french-xsk2g</t>
  </si>
  <si>
    <t>french-xsk3g</t>
  </si>
  <si>
    <t>german-xsk2g</t>
  </si>
  <si>
    <t>german-xsk3g</t>
  </si>
  <si>
    <t>russian-xsk2g</t>
  </si>
  <si>
    <t>russian-xsk3g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</si>
</sst>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3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70A875-9782-1746-957C-CB0412D7BE04}" name="Table134" displayName="Table134" ref="A1:R26" totalsRowShown="0">
  <autoFilter ref="A1:R26" xr:uid="{CFFBF5C2-C562-4A4E-B95B-091D1721BBE3}"/>
  <tableColumns count="18">
    <tableColumn id="1" xr3:uid="{754EFB95-9D0B-B941-91CE-8A9E8759526C}" name="lang">
      <calculatedColumnFormula>_xlfn.LET(_xlpm.c,_xlfn.SINGLE(Table134[condition]),_xlfn.TEXTBEFORE(_xlpm.c,"-"))</calculatedColumnFormula>
    </tableColumn>
    <tableColumn id="14" xr3:uid="{0ACF0003-AA19-2449-BEDC-72DE89194C54}" name="1g" dataDxfId="15">
      <calculatedColumnFormula>_xlfn.LET(_xlpm.c,_xlfn.SINGLE(Table134[condition]),IF(RIGHT(_xlpm.c,2)="1g",1,0))</calculatedColumnFormula>
    </tableColumn>
    <tableColumn id="13" xr3:uid="{4CC8412F-AF65-1F4F-A329-A6BD3606D9DA}" name="condition"/>
    <tableColumn id="2" xr3:uid="{70417ACD-5A0E-C543-BDCE-CD05AD8415F7}" name="3" dataDxfId="14"/>
    <tableColumn id="3" xr3:uid="{661F6AE6-2D45-E346-8034-EE8E939BABB7}" name="4" dataDxfId="13"/>
    <tableColumn id="4" xr3:uid="{0E8D8A8A-700B-4D45-81D6-7F1D3968800A}" name="5" dataDxfId="12"/>
    <tableColumn id="5" xr3:uid="{F5C637EF-25F2-114D-ADAC-0D1F7AE278F8}" name="6" dataDxfId="11"/>
    <tableColumn id="6" xr3:uid="{3100B593-1984-AC41-921D-9FBDF0AEE3DA}" name="7" dataDxfId="10"/>
    <tableColumn id="7" xr3:uid="{8DCBDA31-5784-EA46-9CE6-0710C38D0240}" name="8" dataDxfId="9"/>
    <tableColumn id="8" xr3:uid="{69192437-8D60-2C40-85D6-2CAD1E3BE590}" name="9" dataDxfId="8"/>
    <tableColumn id="9" xr3:uid="{22EE5987-DC28-964D-953A-711C59952348}" name="10" dataDxfId="7"/>
    <tableColumn id="19" xr3:uid="{EC7850F3-695B-AF4E-BBDE-4CD9EAEFBD5E}" name="11" dataDxfId="6"/>
    <tableColumn id="10" xr3:uid="{CD17A797-CAC1-9A49-A56C-7E1AB93025AF}" name="12" dataDxfId="5"/>
    <tableColumn id="20" xr3:uid="{5BC7FC8E-A986-AB47-85CC-E8EF6B8D952E}" name="13" dataDxfId="4"/>
    <tableColumn id="21" xr3:uid="{865BDDDD-C684-E649-87D7-FE9E5EBD6FFD}" name="14" dataDxfId="3"/>
    <tableColumn id="11" xr3:uid="{B9F29CBD-1BB2-B640-9B76-61AC4C3C2DD8}" name="15" dataDxfId="2"/>
    <tableColumn id="15" xr3:uid="{B8AE1BB5-08B8-104D-9EB8-A789F5C3A311}" name="average" dataDxfId="1">
      <calculatedColumnFormula>_xlfn.LET(_xlpm.d,$D2:$P2,AVERAGE(_xlpm.d))</calculatedColumnFormula>
    </tableColumn>
    <tableColumn id="12" xr3:uid="{87EC8FA1-3F1F-BE4A-9B4D-E636DE857C62}" name="No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0C0666-3C55-A44A-98FC-5DFF5870E744}" name="Table13" displayName="Table13" ref="A1:R36" totalsRowShown="0">
  <autoFilter ref="A1:R36" xr:uid="{CFFBF5C2-C562-4A4E-B95B-091D1721BBE3}"/>
  <tableColumns count="18">
    <tableColumn id="1" xr3:uid="{0D0F2752-2009-1047-B40C-9843D5DA650D}" name="lang">
      <calculatedColumnFormula>_xlfn.LET(_xlpm.c,_xlfn.SINGLE(Table13[condition]),_xlfn.TEXTBEFORE(_xlpm.c,"-"))</calculatedColumnFormula>
    </tableColumn>
    <tableColumn id="14" xr3:uid="{21AFBFDC-CA4A-D14C-97CC-9EFC6C9794F7}" name="1g" dataDxfId="31">
      <calculatedColumnFormula>_xlfn.LET(_xlpm.c,_xlfn.SINGLE(Table13[condition]),IF(RIGHT(_xlpm.c,2)="1g",1,0))</calculatedColumnFormula>
    </tableColumn>
    <tableColumn id="13" xr3:uid="{F92BC711-E544-8B40-B0F5-25E8DFFBEEDC}" name="condition"/>
    <tableColumn id="2" xr3:uid="{5355A2F7-36FA-614A-90C0-CE91DDD60C03}" name="3" dataDxfId="30"/>
    <tableColumn id="3" xr3:uid="{5D4A8A3F-9AC5-4342-BBFB-07CE1238E43A}" name="4" dataDxfId="29"/>
    <tableColumn id="4" xr3:uid="{50D518E0-1D7F-5D49-B356-067FA9E1959E}" name="5" dataDxfId="28"/>
    <tableColumn id="5" xr3:uid="{2224D8B5-DC3C-044A-AE65-F78D26709C13}" name="6" dataDxfId="27"/>
    <tableColumn id="6" xr3:uid="{E59DBCFA-C26D-5541-BD30-67838D3B74BD}" name="7" dataDxfId="26"/>
    <tableColumn id="7" xr3:uid="{8348F944-4D83-0E4B-91D6-52B09CCD9466}" name="8" dataDxfId="25"/>
    <tableColumn id="8" xr3:uid="{558AB0DC-22D8-7040-AA71-A3FBE890282E}" name="9" dataDxfId="24"/>
    <tableColumn id="9" xr3:uid="{77F2537B-20D1-D84B-9F79-CEC57AAA130A}" name="10" dataDxfId="23"/>
    <tableColumn id="19" xr3:uid="{B4ED4A44-1960-B742-B47E-3A42A9657A90}" name="11" dataDxfId="18"/>
    <tableColumn id="10" xr3:uid="{DA3E5FC3-A3AD-7E44-9D9B-E570E3DC3FB5}" name="12" dataDxfId="22"/>
    <tableColumn id="20" xr3:uid="{F6992747-AB88-0F4B-A4B9-ADFE30CBFDE8}" name="13" dataDxfId="17"/>
    <tableColumn id="21" xr3:uid="{CFFAD976-80ED-E042-A767-6EAF19060106}" name="14" dataDxfId="16"/>
    <tableColumn id="11" xr3:uid="{EE95DAC4-EDD4-E84F-A68D-456AF0E7EBE1}" name="15" dataDxfId="21"/>
    <tableColumn id="15" xr3:uid="{F104C92A-11CC-1F4B-BD59-3429B1A2C1BB}" name="average" dataDxfId="20">
      <calculatedColumnFormula>_xlfn.LET(_xlpm.d,$D2:$P2,AVERAGE(_xlpm.d))</calculatedColumnFormula>
    </tableColumn>
    <tableColumn id="12" xr3:uid="{C8CB8465-72DF-B149-9686-C99BE3C65BB7}" name="Note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DE18-6B6A-294E-B273-B953B12D48B1}">
  <dimension ref="A1:R42"/>
  <sheetViews>
    <sheetView tabSelected="1" workbookViewId="0">
      <pane xSplit="9080" ySplit="3520" topLeftCell="A31" activePane="bottomLeft"/>
      <selection sqref="A1:XFD1048576"/>
      <selection pane="topRight" activeCell="P2" sqref="P2:P36"/>
      <selection pane="bottomLeft" activeCell="A28" sqref="A27:XFD28"/>
      <selection pane="bottomRight" activeCell="B27" sqref="B27"/>
    </sheetView>
  </sheetViews>
  <sheetFormatPr baseColWidth="10" defaultRowHeight="30" customHeight="1"/>
  <cols>
    <col min="1" max="1" width="10.375" customWidth="1"/>
    <col min="2" max="2" width="7.125" customWidth="1"/>
    <col min="3" max="3" width="12.5" customWidth="1"/>
    <col min="4" max="17" width="6.875" customWidth="1"/>
  </cols>
  <sheetData>
    <row r="1" spans="1:18" ht="30" customHeight="1">
      <c r="A1" t="s">
        <v>37</v>
      </c>
      <c r="B1" t="s">
        <v>38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48</v>
      </c>
      <c r="M1" t="s">
        <v>9</v>
      </c>
      <c r="N1" t="s">
        <v>49</v>
      </c>
      <c r="O1" t="s">
        <v>50</v>
      </c>
      <c r="P1" t="s">
        <v>10</v>
      </c>
      <c r="Q1" t="s">
        <v>47</v>
      </c>
      <c r="R1" t="s">
        <v>36</v>
      </c>
    </row>
    <row r="2" spans="1:18" ht="30" customHeight="1">
      <c r="A2" t="str">
        <f>_xlfn.LET(_xlpm.c,_xlfn.SINGLE(Table134[condition]),_xlfn.TEXTBEFORE(_xlpm.c,"-"))</f>
        <v>arabic</v>
      </c>
      <c r="B2">
        <f>_xlfn.LET(_xlpm.c,_xlfn.SINGLE(Table134[condition]),IF(RIGHT(_xlpm.c,2)="1g",1,0))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>_xlfn.LET(_xlpm.d,$D2:$P2,AVERAGE(_xlpm.d))</f>
        <v>1</v>
      </c>
      <c r="R2" s="1"/>
    </row>
    <row r="3" spans="1:18" ht="30" customHeight="1">
      <c r="A3" t="str">
        <f>_xlfn.LET(_xlpm.c,_xlfn.SINGLE(Table134[condition]),_xlfn.TEXTBEFORE(_xlpm.c,"-"))</f>
        <v>arabic</v>
      </c>
      <c r="B3">
        <f>_xlfn.LET(_xlpm.c,_xlfn.SINGLE(Table134[condition]),IF(RIGHT(_xlpm.c,2)="1g",1,0))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>_xlfn.LET(_xlpm.d,$D3:$P3,AVERAGE(_xlpm.d))</f>
        <v>1</v>
      </c>
      <c r="R3" s="1"/>
    </row>
    <row r="4" spans="1:18" ht="30" customHeight="1">
      <c r="A4" t="str">
        <f>_xlfn.LET(_xlpm.c,_xlfn.SINGLE(Table134[condition]),_xlfn.TEXTBEFORE(_xlpm.c,"-"))</f>
        <v>arabic</v>
      </c>
      <c r="B4">
        <f>_xlfn.LET(_xlpm.c,_xlfn.SINGLE(Table134[condition]),IF(RIGHT(_xlpm.c,2)="1g",1,0))</f>
        <v>0</v>
      </c>
      <c r="C4" t="s">
        <v>13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f>_xlfn.LET(_xlpm.d,$D4:$P4,AVERAGE(_xlpm.d))</f>
        <v>1</v>
      </c>
      <c r="R4" s="1"/>
    </row>
    <row r="5" spans="1:18" ht="30" customHeight="1">
      <c r="A5" t="str">
        <f>_xlfn.LET(_xlpm.c,_xlfn.SINGLE(Table134[condition]),_xlfn.TEXTBEFORE(_xlpm.c,"-"))</f>
        <v>arabic</v>
      </c>
      <c r="B5">
        <f>_xlfn.LET(_xlpm.c,_xlfn.SINGLE(Table134[condition]),IF(RIGHT(_xlpm.c,2)="1g",1,0))</f>
        <v>0</v>
      </c>
      <c r="C5" t="s">
        <v>14</v>
      </c>
      <c r="D5" s="1">
        <v>1</v>
      </c>
      <c r="E5" s="1">
        <v>1</v>
      </c>
      <c r="F5" s="1">
        <v>1</v>
      </c>
      <c r="G5" s="1">
        <v>0.96533476580987299</v>
      </c>
      <c r="H5" s="1">
        <v>1</v>
      </c>
      <c r="I5" s="1">
        <v>0.98952870601599496</v>
      </c>
      <c r="J5" s="1">
        <v>0.97878459434825205</v>
      </c>
      <c r="K5" s="1">
        <v>1</v>
      </c>
      <c r="L5" s="1">
        <v>0.95803988996929801</v>
      </c>
      <c r="M5" s="1">
        <v>0.82890469519571996</v>
      </c>
      <c r="N5" s="1">
        <v>0.883310085010519</v>
      </c>
      <c r="O5" s="1">
        <v>0.99507197764451805</v>
      </c>
      <c r="P5" s="1">
        <v>0.99091772609528594</v>
      </c>
      <c r="Q5" s="1">
        <f>_xlfn.LET(_xlpm.d,$D5:$P5,AVERAGE(_xlpm.d))</f>
        <v>0.96845326462226622</v>
      </c>
      <c r="R5" s="1"/>
    </row>
    <row r="6" spans="1:18" ht="30" customHeight="1">
      <c r="A6" t="str">
        <f>_xlfn.LET(_xlpm.c,_xlfn.SINGLE(Table134[condition]),_xlfn.TEXTBEFORE(_xlpm.c,"-"))</f>
        <v>arabic</v>
      </c>
      <c r="B6">
        <f>_xlfn.LET(_xlpm.c,_xlfn.SINGLE(Table134[condition]),IF(RIGHT(_xlpm.c,2)="1g",1,0))</f>
        <v>0</v>
      </c>
      <c r="C6" t="s">
        <v>15</v>
      </c>
      <c r="D6" s="1">
        <v>0.99579348782358801</v>
      </c>
      <c r="E6" s="1">
        <v>0.99594769465612698</v>
      </c>
      <c r="F6" s="1">
        <v>1</v>
      </c>
      <c r="G6" s="1">
        <v>0.95581170818918804</v>
      </c>
      <c r="H6" s="1">
        <v>0.98760377105832098</v>
      </c>
      <c r="I6" s="1">
        <v>0.98807549494181401</v>
      </c>
      <c r="J6" s="1">
        <v>0.96674153151572395</v>
      </c>
      <c r="K6" s="1">
        <v>0.95947569433902002</v>
      </c>
      <c r="L6" s="1">
        <v>0.95384516139281805</v>
      </c>
      <c r="M6" s="1">
        <v>0.89550974044587495</v>
      </c>
      <c r="N6" s="1">
        <v>0.85045810831122404</v>
      </c>
      <c r="O6" s="1">
        <v>1</v>
      </c>
      <c r="P6" s="1">
        <v>0.80136843609756703</v>
      </c>
      <c r="Q6" s="1">
        <f>_xlfn.LET(_xlpm.d,$D6:$P6,AVERAGE(_xlpm.d))</f>
        <v>0.95004852529009731</v>
      </c>
      <c r="R6" s="1"/>
    </row>
    <row r="7" spans="1:18" ht="30" customHeight="1">
      <c r="A7" t="str">
        <f>_xlfn.LET(_xlpm.c,_xlfn.SINGLE(Table134[condition]),_xlfn.TEXTBEFORE(_xlpm.c,"-"))</f>
        <v>english</v>
      </c>
      <c r="B7">
        <f>_xlfn.LET(_xlpm.c,_xlfn.SINGLE(Table134[condition]),IF(RIGHT(_xlpm.c,2)="1g",1,0))</f>
        <v>1</v>
      </c>
      <c r="C7" t="s">
        <v>16</v>
      </c>
      <c r="D7" s="1">
        <v>1</v>
      </c>
      <c r="E7" s="1">
        <v>0.772745196031423</v>
      </c>
      <c r="F7" s="1">
        <v>0.88154558606042899</v>
      </c>
      <c r="G7" s="1">
        <v>0.87170671353458695</v>
      </c>
      <c r="H7" s="1">
        <v>0.64802686004072596</v>
      </c>
      <c r="I7" s="1">
        <v>0.72043580765688398</v>
      </c>
      <c r="J7" s="1">
        <v>0.63116642641506804</v>
      </c>
      <c r="K7" s="1">
        <v>0.58654410809528601</v>
      </c>
      <c r="L7" s="1">
        <v>0.72885045833061501</v>
      </c>
      <c r="M7" s="1">
        <v>0.63546226458863897</v>
      </c>
      <c r="N7" s="1">
        <v>0.45266146765563903</v>
      </c>
      <c r="O7" s="1">
        <v>0.70598824780997305</v>
      </c>
      <c r="P7" s="1">
        <v>0.48265438720373599</v>
      </c>
      <c r="Q7" s="1">
        <f>_xlfn.LET(_xlpm.d,$D7:$P7,AVERAGE(_xlpm.d))</f>
        <v>0.70136827103253863</v>
      </c>
      <c r="R7" s="1"/>
    </row>
    <row r="8" spans="1:18" ht="30" customHeight="1">
      <c r="A8" t="str">
        <f>_xlfn.LET(_xlpm.c,_xlfn.SINGLE(Table134[condition]),_xlfn.TEXTBEFORE(_xlpm.c,"-"))</f>
        <v>english</v>
      </c>
      <c r="B8">
        <f>_xlfn.LET(_xlpm.c,_xlfn.SINGLE(Table134[condition]),IF(RIGHT(_xlpm.c,2)="1g",1,0))</f>
        <v>0</v>
      </c>
      <c r="C8" t="s">
        <v>17</v>
      </c>
      <c r="D8" s="1">
        <v>0.52184300366376202</v>
      </c>
      <c r="E8" s="1">
        <v>0.44621398977788401</v>
      </c>
      <c r="F8" s="1">
        <v>0.54286865845232601</v>
      </c>
      <c r="G8" s="1">
        <v>0.64596569414698202</v>
      </c>
      <c r="H8" s="1">
        <v>0.40873994896152399</v>
      </c>
      <c r="I8" s="1">
        <v>0.50655705168004095</v>
      </c>
      <c r="J8" s="1">
        <v>0.39350197762057298</v>
      </c>
      <c r="K8" s="1">
        <v>0.465453042959935</v>
      </c>
      <c r="L8" s="1">
        <v>0.55392173450287796</v>
      </c>
      <c r="M8" s="1">
        <v>0.53369701167828298</v>
      </c>
      <c r="N8" s="1">
        <v>0.39238886113951799</v>
      </c>
      <c r="O8" s="1">
        <v>0.35317239059986499</v>
      </c>
      <c r="P8" s="1">
        <v>0.46847344001430402</v>
      </c>
      <c r="Q8" s="1">
        <f>_xlfn.LET(_xlpm.d,$D8:$P8,AVERAGE(_xlpm.d))</f>
        <v>0.47944590809214421</v>
      </c>
      <c r="R8" s="1"/>
    </row>
    <row r="9" spans="1:18" ht="30" customHeight="1">
      <c r="A9" t="str">
        <f>_xlfn.LET(_xlpm.c,_xlfn.SINGLE(Table134[condition]),_xlfn.TEXTBEFORE(_xlpm.c,"-"))</f>
        <v>english</v>
      </c>
      <c r="B9">
        <f>_xlfn.LET(_xlpm.c,_xlfn.SINGLE(Table134[condition]),IF(RIGHT(_xlpm.c,2)="1g",1,0))</f>
        <v>0</v>
      </c>
      <c r="C9" t="s">
        <v>18</v>
      </c>
      <c r="D9" s="1">
        <v>0.63252232450323698</v>
      </c>
      <c r="E9" s="1">
        <v>0.58909805820911298</v>
      </c>
      <c r="F9" s="1">
        <v>0.56493000249887804</v>
      </c>
      <c r="G9" s="1">
        <v>0.55454773911989097</v>
      </c>
      <c r="H9" s="1">
        <v>0.56805948969841502</v>
      </c>
      <c r="I9" s="1">
        <v>0.63695390330210599</v>
      </c>
      <c r="J9" s="1">
        <v>0.479940715504305</v>
      </c>
      <c r="K9" s="1">
        <v>0.61669728762290499</v>
      </c>
      <c r="L9" s="1">
        <v>0.47261917262196501</v>
      </c>
      <c r="M9" s="1">
        <v>0.275265774243308</v>
      </c>
      <c r="N9" s="1">
        <v>0.61091441825717296</v>
      </c>
      <c r="O9" s="1">
        <v>0.34826806960281298</v>
      </c>
      <c r="P9" s="1">
        <v>0.55542319129816298</v>
      </c>
      <c r="Q9" s="1">
        <f>_xlfn.LET(_xlpm.d,$D9:$P9,AVERAGE(_xlpm.d))</f>
        <v>0.53117231896017481</v>
      </c>
      <c r="R9" s="1"/>
    </row>
    <row r="10" spans="1:18" ht="30" customHeight="1">
      <c r="A10" t="str">
        <f>_xlfn.LET(_xlpm.c,_xlfn.SINGLE(Table134[condition]),_xlfn.TEXTBEFORE(_xlpm.c,"-"))</f>
        <v>english</v>
      </c>
      <c r="B10">
        <f>_xlfn.LET(_xlpm.c,_xlfn.SINGLE(Table134[condition]),IF(RIGHT(_xlpm.c,2)="1g",1,0))</f>
        <v>0</v>
      </c>
      <c r="C10" t="s">
        <v>19</v>
      </c>
      <c r="D10" s="1">
        <v>0.71222749583973399</v>
      </c>
      <c r="E10" s="1">
        <v>0.63376147142191896</v>
      </c>
      <c r="F10" s="1">
        <v>0.93623343716204799</v>
      </c>
      <c r="G10" s="1">
        <v>0.70418929504141903</v>
      </c>
      <c r="H10" s="1">
        <v>0.60868411224403396</v>
      </c>
      <c r="I10" s="1">
        <v>0.80548391417170495</v>
      </c>
      <c r="J10" s="1">
        <v>0.61356308696753104</v>
      </c>
      <c r="K10" s="1">
        <v>0.65832418425629902</v>
      </c>
      <c r="L10" s="1">
        <v>0.50518484768468497</v>
      </c>
      <c r="M10" s="1">
        <v>0.65755483826496197</v>
      </c>
      <c r="N10" s="1">
        <v>0.61300093762318897</v>
      </c>
      <c r="O10" s="1">
        <v>0.718076812518329</v>
      </c>
      <c r="P10" s="1">
        <v>0.53213995158604599</v>
      </c>
      <c r="Q10" s="1">
        <f>_xlfn.LET(_xlpm.d,$D10:$P10,AVERAGE(_xlpm.d))</f>
        <v>0.6691095680601461</v>
      </c>
      <c r="R10" s="1"/>
    </row>
    <row r="11" spans="1:18" ht="30" customHeight="1">
      <c r="A11" t="str">
        <f>_xlfn.LET(_xlpm.c,_xlfn.SINGLE(Table134[condition]),_xlfn.TEXTBEFORE(_xlpm.c,"-"))</f>
        <v>english</v>
      </c>
      <c r="B11">
        <f>_xlfn.LET(_xlpm.c,_xlfn.SINGLE(Table134[condition]),IF(RIGHT(_xlpm.c,2)="1g",1,0))</f>
        <v>0</v>
      </c>
      <c r="C11" t="s">
        <v>20</v>
      </c>
      <c r="D11" s="1">
        <v>0.74350770982373404</v>
      </c>
      <c r="E11" s="1">
        <v>0.59760494663351704</v>
      </c>
      <c r="F11" s="1">
        <v>0.49043342119820499</v>
      </c>
      <c r="G11" s="1">
        <v>0.603877390392068</v>
      </c>
      <c r="H11" s="1">
        <v>0.453008645692353</v>
      </c>
      <c r="I11" s="1">
        <v>0.55896894762792504</v>
      </c>
      <c r="J11" s="1">
        <v>0.65411963245207305</v>
      </c>
      <c r="K11" s="1">
        <v>0.554343788082858</v>
      </c>
      <c r="L11" s="1">
        <v>0.59867589064568905</v>
      </c>
      <c r="M11" s="1">
        <v>0.63759454513072999</v>
      </c>
      <c r="N11" s="1">
        <v>0.41037807331838699</v>
      </c>
      <c r="O11" s="1">
        <v>0.36783896322209297</v>
      </c>
      <c r="P11" s="1">
        <v>0.66351465023579104</v>
      </c>
      <c r="Q11" s="1">
        <f>_xlfn.LET(_xlpm.d,$D11:$P11,AVERAGE(_xlpm.d))</f>
        <v>0.56414358495810935</v>
      </c>
      <c r="R11" s="1"/>
    </row>
    <row r="12" spans="1:18" ht="30" customHeight="1">
      <c r="A12" t="str">
        <f>_xlfn.LET(_xlpm.c,_xlfn.SINGLE(Table134[condition]),_xlfn.TEXTBEFORE(_xlpm.c,"-"))</f>
        <v>french</v>
      </c>
      <c r="B12">
        <f>_xlfn.LET(_xlpm.c,_xlfn.SINGLE(Table134[condition]),IF(RIGHT(_xlpm.c,2)="1g",1,0))</f>
        <v>1</v>
      </c>
      <c r="C12" t="s">
        <v>21</v>
      </c>
      <c r="D12" s="1">
        <v>1</v>
      </c>
      <c r="E12" s="1">
        <v>0.93609579370377105</v>
      </c>
      <c r="F12" s="1">
        <v>0.81716267408352705</v>
      </c>
      <c r="G12" s="1">
        <v>0.845995150405639</v>
      </c>
      <c r="H12" s="1">
        <v>0.79283333124295496</v>
      </c>
      <c r="I12" s="1">
        <v>0.70915325391995498</v>
      </c>
      <c r="J12" s="1">
        <v>0.69085802914892702</v>
      </c>
      <c r="K12" s="1">
        <v>0.46978424191355</v>
      </c>
      <c r="L12" s="1">
        <v>0.67689306112113701</v>
      </c>
      <c r="M12" s="1">
        <v>0.83176215461022196</v>
      </c>
      <c r="N12" s="1">
        <v>0.68785508261448602</v>
      </c>
      <c r="O12" s="1">
        <v>0.89336284679880695</v>
      </c>
      <c r="P12" s="1">
        <v>0.97603108566307795</v>
      </c>
      <c r="Q12" s="1">
        <f t="shared" ref="Q12:Q19" si="0">_xlfn.LET(_xlpm.d,$D12:$P12,AVERAGE(_xlpm.d))</f>
        <v>0.79444513117123483</v>
      </c>
      <c r="R12" s="1"/>
    </row>
    <row r="13" spans="1:18" ht="30" customHeight="1">
      <c r="A13" t="str">
        <f>_xlfn.LET(_xlpm.c,_xlfn.SINGLE(Table134[condition]),_xlfn.TEXTBEFORE(_xlpm.c,"-"))</f>
        <v>french</v>
      </c>
      <c r="B13">
        <f>_xlfn.LET(_xlpm.c,_xlfn.SINGLE(Table134[condition]),IF(RIGHT(_xlpm.c,2)="1g",1,0))</f>
        <v>0</v>
      </c>
      <c r="C13" t="s">
        <v>22</v>
      </c>
      <c r="D13" s="1">
        <v>0.51307434020656195</v>
      </c>
      <c r="E13" s="1">
        <v>0.54166608066320598</v>
      </c>
      <c r="F13" s="1">
        <v>0.57405957226971105</v>
      </c>
      <c r="G13" s="1">
        <v>0.35911217874864099</v>
      </c>
      <c r="H13" s="1">
        <v>0.65518495412153399</v>
      </c>
      <c r="I13" s="1">
        <v>0.603523974814547</v>
      </c>
      <c r="J13" s="1">
        <v>0.36611585151826098</v>
      </c>
      <c r="K13" s="1">
        <v>0.62571125339144096</v>
      </c>
      <c r="L13" s="1">
        <v>0.53662080515922905</v>
      </c>
      <c r="M13" s="1">
        <v>0.39827079442173602</v>
      </c>
      <c r="N13" s="1">
        <v>0.62127383282592297</v>
      </c>
      <c r="O13" s="1">
        <v>0.36967226866994701</v>
      </c>
      <c r="P13" s="1">
        <v>0.672351364348028</v>
      </c>
      <c r="Q13" s="1">
        <f t="shared" si="0"/>
        <v>0.52589517470452052</v>
      </c>
      <c r="R13" s="1"/>
    </row>
    <row r="14" spans="1:18" ht="30" customHeight="1">
      <c r="A14" t="str">
        <f>_xlfn.LET(_xlpm.c,_xlfn.SINGLE(Table134[condition]),_xlfn.TEXTBEFORE(_xlpm.c,"-"))</f>
        <v>french</v>
      </c>
      <c r="B14">
        <f>_xlfn.LET(_xlpm.c,_xlfn.SINGLE(Table134[condition]),IF(RIGHT(_xlpm.c,2)="1g",1,0))</f>
        <v>0</v>
      </c>
      <c r="C14" t="s">
        <v>23</v>
      </c>
      <c r="D14" s="1">
        <v>0.60567243111909297</v>
      </c>
      <c r="E14" s="1">
        <v>0.60940027137284702</v>
      </c>
      <c r="F14" s="1">
        <v>0.46253947490973102</v>
      </c>
      <c r="G14" s="1">
        <v>0.61605971351091404</v>
      </c>
      <c r="H14" s="1">
        <v>0.415203701293553</v>
      </c>
      <c r="I14" s="1">
        <v>0.59423752207194502</v>
      </c>
      <c r="J14" s="1">
        <v>0.53523003503031796</v>
      </c>
      <c r="K14" s="1">
        <v>0.76590539202726704</v>
      </c>
      <c r="L14" s="1">
        <v>0.44762474141161601</v>
      </c>
      <c r="M14" s="1">
        <v>0.47958437464715598</v>
      </c>
      <c r="N14" s="1">
        <v>0.47976703412949701</v>
      </c>
      <c r="O14" s="1">
        <v>0.84552833131542104</v>
      </c>
      <c r="P14" s="1">
        <v>0.44005373942998299</v>
      </c>
      <c r="Q14" s="1">
        <f t="shared" si="0"/>
        <v>0.5612928278668724</v>
      </c>
      <c r="R14" s="1"/>
    </row>
    <row r="15" spans="1:18" ht="30" customHeight="1">
      <c r="A15" t="str">
        <f>_xlfn.LET(_xlpm.c,_xlfn.SINGLE(Table134[condition]),_xlfn.TEXTBEFORE(_xlpm.c,"-"))</f>
        <v>french</v>
      </c>
      <c r="B15">
        <f>_xlfn.LET(_xlpm.c,_xlfn.SINGLE(Table134[condition]),IF(RIGHT(_xlpm.c,2)="1g",1,0))</f>
        <v>0</v>
      </c>
      <c r="C15" t="s">
        <v>24</v>
      </c>
      <c r="D15" s="1">
        <v>0.85424928260592203</v>
      </c>
      <c r="E15" s="1">
        <v>0.86618162384946296</v>
      </c>
      <c r="F15" s="1">
        <v>0.64802842250439396</v>
      </c>
      <c r="G15" s="1">
        <v>0.70806643304322203</v>
      </c>
      <c r="H15" s="1">
        <v>0.66619101999302399</v>
      </c>
      <c r="I15" s="1">
        <v>0.60980744086899497</v>
      </c>
      <c r="J15" s="1">
        <v>0.73455595439243004</v>
      </c>
      <c r="K15" s="1">
        <v>0.54861118154210797</v>
      </c>
      <c r="L15" s="1">
        <v>0.42749640142399697</v>
      </c>
      <c r="M15" s="1">
        <v>0.68619558868242803</v>
      </c>
      <c r="N15" s="1">
        <v>0.52762339039047601</v>
      </c>
      <c r="O15" s="1">
        <v>0.57916051065032603</v>
      </c>
      <c r="P15" s="1">
        <v>0.47291780491961999</v>
      </c>
      <c r="Q15" s="1">
        <f t="shared" si="0"/>
        <v>0.64069885037433894</v>
      </c>
      <c r="R15" s="1"/>
    </row>
    <row r="16" spans="1:18" ht="30" customHeight="1">
      <c r="A16" t="str">
        <f>_xlfn.LET(_xlpm.c,_xlfn.SINGLE(Table134[condition]),_xlfn.TEXTBEFORE(_xlpm.c,"-"))</f>
        <v>french</v>
      </c>
      <c r="B16">
        <f>_xlfn.LET(_xlpm.c,_xlfn.SINGLE(Table134[condition]),IF(RIGHT(_xlpm.c,2)="1g",1,0))</f>
        <v>0</v>
      </c>
      <c r="C16" t="s">
        <v>25</v>
      </c>
      <c r="D16" s="1">
        <v>0.64299765792114005</v>
      </c>
      <c r="E16" s="1">
        <v>0.46239759434567501</v>
      </c>
      <c r="F16" s="1">
        <v>0.644706147954624</v>
      </c>
      <c r="G16" s="1">
        <v>0.61447119594234301</v>
      </c>
      <c r="H16" s="1">
        <v>0.62137253894408895</v>
      </c>
      <c r="I16" s="1">
        <v>0.56803885609041505</v>
      </c>
      <c r="J16" s="1">
        <v>0.57522302202966002</v>
      </c>
      <c r="K16" s="1">
        <v>0.64872313627757405</v>
      </c>
      <c r="L16" s="1">
        <v>0.62186714966393597</v>
      </c>
      <c r="M16" s="1">
        <v>0.69499501561419197</v>
      </c>
      <c r="N16" s="1">
        <v>0.46173475705860301</v>
      </c>
      <c r="O16" s="1">
        <v>0.53939425097258997</v>
      </c>
      <c r="P16" s="1">
        <v>0.48394509409301201</v>
      </c>
      <c r="Q16" s="1">
        <f t="shared" si="0"/>
        <v>0.58306664745445036</v>
      </c>
      <c r="R16" s="1"/>
    </row>
    <row r="17" spans="1:18" ht="30" customHeight="1">
      <c r="A17" t="str">
        <f>_xlfn.LET(_xlpm.c,_xlfn.SINGLE(Table134[condition]),_xlfn.TEXTBEFORE(_xlpm.c,"-"))</f>
        <v>german</v>
      </c>
      <c r="B17">
        <f>_xlfn.LET(_xlpm.c,_xlfn.SINGLE(Table134[condition]),IF(RIGHT(_xlpm.c,2)="1g",1,0))</f>
        <v>1</v>
      </c>
      <c r="C17" t="s">
        <v>26</v>
      </c>
      <c r="D17" s="1">
        <v>1</v>
      </c>
      <c r="E17" s="1">
        <v>0.735225150703532</v>
      </c>
      <c r="F17" s="1">
        <v>0.84810670069819005</v>
      </c>
      <c r="G17" s="1">
        <v>0.89617109664848904</v>
      </c>
      <c r="H17" s="1">
        <v>0.71785431218182405</v>
      </c>
      <c r="I17" s="1">
        <v>0.61147167170766004</v>
      </c>
      <c r="J17" s="1">
        <v>0.66953229324158503</v>
      </c>
      <c r="K17" s="1">
        <v>0.66322014749441005</v>
      </c>
      <c r="L17" s="1">
        <v>0.692910306018936</v>
      </c>
      <c r="M17" s="1">
        <v>0.85662318887672295</v>
      </c>
      <c r="N17" s="1">
        <v>0.62543196422756697</v>
      </c>
      <c r="O17" s="1">
        <v>0.61659459761742397</v>
      </c>
      <c r="P17" s="1">
        <v>0.43736396911577002</v>
      </c>
      <c r="Q17" s="1">
        <f t="shared" si="0"/>
        <v>0.72080810757939306</v>
      </c>
      <c r="R17" s="1"/>
    </row>
    <row r="18" spans="1:18" ht="30" customHeight="1">
      <c r="A18" t="str">
        <f>_xlfn.LET(_xlpm.c,_xlfn.SINGLE(Table134[condition]),_xlfn.TEXTBEFORE(_xlpm.c,"-"))</f>
        <v>german</v>
      </c>
      <c r="B18">
        <f>_xlfn.LET(_xlpm.c,_xlfn.SINGLE(Table134[condition]),IF(RIGHT(_xlpm.c,2)="1g",1,0))</f>
        <v>0</v>
      </c>
      <c r="C18" t="s">
        <v>27</v>
      </c>
      <c r="D18" s="1">
        <v>0.81456065682512102</v>
      </c>
      <c r="E18" s="1">
        <v>0.64116837951257799</v>
      </c>
      <c r="F18" s="1">
        <v>0.67087151454903005</v>
      </c>
      <c r="G18" s="1">
        <v>0.583848778639113</v>
      </c>
      <c r="H18" s="1">
        <v>0.62364356294920198</v>
      </c>
      <c r="I18" s="1">
        <v>0.55608367453606</v>
      </c>
      <c r="J18" s="1">
        <v>0.60683538151002303</v>
      </c>
      <c r="K18" s="1">
        <v>0.55111119912204198</v>
      </c>
      <c r="L18" s="1">
        <v>0.73919470455631198</v>
      </c>
      <c r="M18" s="1">
        <v>0.41142760432736503</v>
      </c>
      <c r="N18" s="1">
        <v>0.69429271048074803</v>
      </c>
      <c r="O18" s="1">
        <v>0.62650026369179201</v>
      </c>
      <c r="P18" s="1">
        <v>0.69310807478644798</v>
      </c>
      <c r="Q18" s="1">
        <f t="shared" si="0"/>
        <v>0.63174203888352565</v>
      </c>
      <c r="R18" s="1"/>
    </row>
    <row r="19" spans="1:18" ht="30" customHeight="1">
      <c r="A19" t="str">
        <f>_xlfn.LET(_xlpm.c,_xlfn.SINGLE(Table134[condition]),_xlfn.TEXTBEFORE(_xlpm.c,"-"))</f>
        <v>german</v>
      </c>
      <c r="B19">
        <f>_xlfn.LET(_xlpm.c,_xlfn.SINGLE(Table134[condition]),IF(RIGHT(_xlpm.c,2)="1g",1,0))</f>
        <v>0</v>
      </c>
      <c r="C19" t="s">
        <v>28</v>
      </c>
      <c r="D19" s="1">
        <v>0.607362119714703</v>
      </c>
      <c r="E19" s="1">
        <v>0.63819649001457401</v>
      </c>
      <c r="F19" s="1">
        <v>0.65451226362265402</v>
      </c>
      <c r="G19" s="1">
        <v>0.66601534480689994</v>
      </c>
      <c r="H19" s="1">
        <v>0.64694883936800596</v>
      </c>
      <c r="I19" s="1">
        <v>0.68592312943526301</v>
      </c>
      <c r="J19" s="1">
        <v>0.632862600538042</v>
      </c>
      <c r="K19" s="1">
        <v>0.59883918524068203</v>
      </c>
      <c r="L19" s="1">
        <v>0.60466682525140103</v>
      </c>
      <c r="M19" s="1">
        <v>0.64548784698836803</v>
      </c>
      <c r="N19" s="1">
        <v>0.59869498350807904</v>
      </c>
      <c r="O19" s="1">
        <v>0.64787800457556599</v>
      </c>
      <c r="P19" s="1">
        <v>0.66182891395992405</v>
      </c>
      <c r="Q19" s="1">
        <f t="shared" si="0"/>
        <v>0.63763204207878155</v>
      </c>
      <c r="R19" s="1"/>
    </row>
    <row r="20" spans="1:18" ht="30" customHeight="1">
      <c r="A20" t="str">
        <f>_xlfn.LET(_xlpm.c,_xlfn.SINGLE(Table134[condition]),_xlfn.TEXTBEFORE(_xlpm.c,"-"))</f>
        <v>german</v>
      </c>
      <c r="B20">
        <f>_xlfn.LET(_xlpm.c,_xlfn.SINGLE(Table134[condition]),IF(RIGHT(_xlpm.c,2)="1g",1,0))</f>
        <v>0</v>
      </c>
      <c r="C20" t="s">
        <v>29</v>
      </c>
      <c r="D20" s="1">
        <v>0.73797565578199498</v>
      </c>
      <c r="E20" s="1">
        <v>0.76414779287323797</v>
      </c>
      <c r="F20" s="1">
        <v>0.60264790354212405</v>
      </c>
      <c r="G20" s="1">
        <v>0.82968560352340803</v>
      </c>
      <c r="H20" s="1">
        <v>0.70883674819595299</v>
      </c>
      <c r="I20" s="1">
        <v>0.74830051320745306</v>
      </c>
      <c r="J20" s="1">
        <v>0.71049585041799301</v>
      </c>
      <c r="K20" s="1">
        <v>0.473333138401273</v>
      </c>
      <c r="L20" s="1">
        <v>0.476969843625005</v>
      </c>
      <c r="M20" s="1">
        <v>0.680291570318447</v>
      </c>
      <c r="N20" s="1">
        <v>0.80678408210621999</v>
      </c>
      <c r="O20" s="1">
        <v>0.53591437191392299</v>
      </c>
      <c r="P20" s="1">
        <v>0.478650855299948</v>
      </c>
      <c r="Q20" s="1">
        <f>_xlfn.LET(_xlpm.d,$D20:$P20,AVERAGE(_xlpm.d))</f>
        <v>0.65800260993899851</v>
      </c>
      <c r="R20" s="1"/>
    </row>
    <row r="21" spans="1:18" ht="30" customHeight="1">
      <c r="A21" t="str">
        <f>_xlfn.LET(_xlpm.c,_xlfn.SINGLE(Table134[condition]),_xlfn.TEXTBEFORE(_xlpm.c,"-"))</f>
        <v>german</v>
      </c>
      <c r="B21">
        <f>_xlfn.LET(_xlpm.c,_xlfn.SINGLE(Table134[condition]),IF(RIGHT(_xlpm.c,2)="1g",1,0))</f>
        <v>0</v>
      </c>
      <c r="C21" t="s">
        <v>30</v>
      </c>
      <c r="D21" s="1">
        <v>0.78900447959654096</v>
      </c>
      <c r="E21" s="1">
        <v>0.62961242898330305</v>
      </c>
      <c r="F21" s="1">
        <v>0.82890469519571996</v>
      </c>
      <c r="G21" s="1">
        <v>0.68681118336215996</v>
      </c>
      <c r="H21" s="1">
        <v>0.74050726928472899</v>
      </c>
      <c r="I21" s="1">
        <v>0.75384979217802495</v>
      </c>
      <c r="J21" s="1">
        <v>0.63659809984572602</v>
      </c>
      <c r="K21" s="1">
        <v>0.57100213636275599</v>
      </c>
      <c r="L21" s="1">
        <v>0.79770652097460204</v>
      </c>
      <c r="M21" s="1">
        <v>0.56374238816669198</v>
      </c>
      <c r="N21" s="1">
        <v>0.60529292024562498</v>
      </c>
      <c r="O21" s="1">
        <v>0.33278216030954799</v>
      </c>
      <c r="P21" s="1">
        <v>0.65916650622395601</v>
      </c>
      <c r="Q21" s="1">
        <f>_xlfn.LET(_xlpm.d,$D21:$P21,AVERAGE(_xlpm.d))</f>
        <v>0.66115235236379855</v>
      </c>
      <c r="R21" s="1"/>
    </row>
    <row r="22" spans="1:18" ht="30" customHeight="1">
      <c r="A22" t="str">
        <f>_xlfn.LET(_xlpm.c,_xlfn.SINGLE(Table134[condition]),_xlfn.TEXTBEFORE(_xlpm.c,"-"))</f>
        <v>russian</v>
      </c>
      <c r="B22">
        <f>_xlfn.LET(_xlpm.c,_xlfn.SINGLE(Table134[condition]),IF(RIGHT(_xlpm.c,2)="1g",1,0))</f>
        <v>1</v>
      </c>
      <c r="C22" t="s">
        <v>31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f>_xlfn.LET(_xlpm.d,$D22:$P22,AVERAGE(_xlpm.d))</f>
        <v>1</v>
      </c>
      <c r="R22" s="1"/>
    </row>
    <row r="23" spans="1:18" ht="30" customHeight="1">
      <c r="A23" t="str">
        <f>_xlfn.LET(_xlpm.c,_xlfn.SINGLE(Table134[condition]),_xlfn.TEXTBEFORE(_xlpm.c,"-"))</f>
        <v>russian</v>
      </c>
      <c r="B23">
        <f>_xlfn.LET(_xlpm.c,_xlfn.SINGLE(Table134[condition]),IF(RIGHT(_xlpm.c,2)="1g",1,0))</f>
        <v>0</v>
      </c>
      <c r="C23" t="s">
        <v>32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f>_xlfn.LET(_xlpm.d,$D23:$P23,AVERAGE(_xlpm.d))</f>
        <v>1</v>
      </c>
      <c r="R23" s="1"/>
    </row>
    <row r="24" spans="1:18" ht="30" customHeight="1">
      <c r="A24" t="str">
        <f>_xlfn.LET(_xlpm.c,_xlfn.SINGLE(Table134[condition]),_xlfn.TEXTBEFORE(_xlpm.c,"-"))</f>
        <v>russian</v>
      </c>
      <c r="B24">
        <f>_xlfn.LET(_xlpm.c,_xlfn.SINGLE(Table134[condition]),IF(RIGHT(_xlpm.c,2)="1g",1,0))</f>
        <v>0</v>
      </c>
      <c r="C24" t="s">
        <v>33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f>_xlfn.LET(_xlpm.d,$D24:$P24,AVERAGE(_xlpm.d))</f>
        <v>1</v>
      </c>
      <c r="R24" s="1"/>
    </row>
    <row r="25" spans="1:18" ht="30" customHeight="1">
      <c r="A25" t="str">
        <f>_xlfn.LET(_xlpm.c,_xlfn.SINGLE(Table134[condition]),_xlfn.TEXTBEFORE(_xlpm.c,"-"))</f>
        <v>russian</v>
      </c>
      <c r="B25">
        <f>_xlfn.LET(_xlpm.c,_xlfn.SINGLE(Table134[condition]),IF(RIGHT(_xlpm.c,2)="1g",1,0))</f>
        <v>0</v>
      </c>
      <c r="C25" t="s">
        <v>34</v>
      </c>
      <c r="D25" s="1">
        <v>1</v>
      </c>
      <c r="E25" s="1">
        <v>0.98403805507896902</v>
      </c>
      <c r="F25" s="1">
        <v>1</v>
      </c>
      <c r="G25" s="1">
        <v>0.88410277150509897</v>
      </c>
      <c r="H25" s="1">
        <v>0.99382441416352896</v>
      </c>
      <c r="I25" s="1">
        <v>1</v>
      </c>
      <c r="J25" s="1">
        <v>1</v>
      </c>
      <c r="K25" s="1">
        <v>1</v>
      </c>
      <c r="L25" s="1">
        <v>1</v>
      </c>
      <c r="M25" s="1">
        <v>0.99418506358805703</v>
      </c>
      <c r="N25" s="1">
        <v>1</v>
      </c>
      <c r="O25" s="1">
        <v>0.98406252450134302</v>
      </c>
      <c r="P25" s="1">
        <v>0.97705845546452796</v>
      </c>
      <c r="Q25" s="1">
        <f>_xlfn.LET(_xlpm.d,$D25:$P25,AVERAGE(_xlpm.d))</f>
        <v>0.98594394494627124</v>
      </c>
      <c r="R25" s="1"/>
    </row>
    <row r="26" spans="1:18" ht="30" customHeight="1">
      <c r="A26" t="str">
        <f>_xlfn.LET(_xlpm.c,_xlfn.SINGLE(Table134[condition]),_xlfn.TEXTBEFORE(_xlpm.c,"-"))</f>
        <v>russian</v>
      </c>
      <c r="B26">
        <f>_xlfn.LET(_xlpm.c,_xlfn.SINGLE(Table134[condition]),IF(RIGHT(_xlpm.c,2)="1g",1,0))</f>
        <v>0</v>
      </c>
      <c r="C26" t="s">
        <v>35</v>
      </c>
      <c r="D26" s="1">
        <v>1</v>
      </c>
      <c r="E26" s="1">
        <v>1</v>
      </c>
      <c r="F26" s="1">
        <v>0.98360370302675804</v>
      </c>
      <c r="G26" s="1">
        <v>1</v>
      </c>
      <c r="H26" s="1">
        <v>0.986602909553283</v>
      </c>
      <c r="I26" s="1">
        <v>1</v>
      </c>
      <c r="J26" s="1">
        <v>0.960048719574634</v>
      </c>
      <c r="K26" s="1">
        <v>1</v>
      </c>
      <c r="L26" s="1">
        <v>0.85888034908173605</v>
      </c>
      <c r="M26" s="1">
        <v>0.82043687184697001</v>
      </c>
      <c r="N26" s="1">
        <v>0.96352863928042098</v>
      </c>
      <c r="O26" s="1">
        <v>0.97410382434050602</v>
      </c>
      <c r="P26" s="1">
        <v>0.93731034330972696</v>
      </c>
      <c r="Q26" s="1">
        <f>_xlfn.LET(_xlpm.d,$D26:$P26,AVERAGE(_xlpm.d))</f>
        <v>0.96034733538569506</v>
      </c>
      <c r="R26" s="1"/>
    </row>
    <row r="28" spans="1:18" ht="30" customHeight="1">
      <c r="C28" t="s">
        <v>39</v>
      </c>
    </row>
    <row r="29" spans="1:18" ht="30" customHeight="1">
      <c r="C29" t="s">
        <v>40</v>
      </c>
      <c r="D29" s="2">
        <f>_xlfn.LET(_xlpm.d,D$2:D$26,AVERAGE(_xlpm.d))</f>
        <v>0.84683162581700511</v>
      </c>
      <c r="E29" s="2">
        <f>_xlfn.LET(_xlpm.d,E$2:E$26,AVERAGE(_xlpm.d))</f>
        <v>0.79374004071324544</v>
      </c>
      <c r="F29" s="2">
        <f>_xlfn.LET(_xlpm.d,F$2:F$26,AVERAGE(_xlpm.d))</f>
        <v>0.8060461671091339</v>
      </c>
      <c r="G29" s="2">
        <f>_xlfn.LET(_xlpm.d,G$2:G$26,AVERAGE(_xlpm.d))</f>
        <v>0.79967091025479731</v>
      </c>
      <c r="H29" s="2">
        <f>_xlfn.LET(_xlpm.d,H$2:H$26,AVERAGE(_xlpm.d))</f>
        <v>0.76972505715948225</v>
      </c>
      <c r="I29" s="2">
        <f>_xlfn.LET(_xlpm.d,I$2:I$26,AVERAGE(_xlpm.d))</f>
        <v>0.78585574616907161</v>
      </c>
      <c r="J29" s="2">
        <f>_xlfn.LET(_xlpm.d,J$2:J$26,AVERAGE(_xlpm.d))</f>
        <v>0.75344695208284507</v>
      </c>
      <c r="K29" s="2">
        <f>_xlfn.LET(_xlpm.d,K$2:K$26,AVERAGE(_xlpm.d))</f>
        <v>0.75028316468517631</v>
      </c>
      <c r="L29" s="2">
        <f>_xlfn.LET(_xlpm.d,L$2:L$26,AVERAGE(_xlpm.d))</f>
        <v>0.74607871453743424</v>
      </c>
      <c r="M29" s="2">
        <f>_xlfn.LET(_xlpm.d,M$2:M$26,AVERAGE(_xlpm.d))</f>
        <v>0.7410796532654349</v>
      </c>
      <c r="N29" s="2">
        <f>_xlfn.LET(_xlpm.d,N$2:N$26,AVERAGE(_xlpm.d))</f>
        <v>0.73141565392733165</v>
      </c>
      <c r="O29" s="2">
        <f>_xlfn.LET(_xlpm.d,O$2:O$26,AVERAGE(_xlpm.d))</f>
        <v>0.7373348166701913</v>
      </c>
      <c r="P29" s="2">
        <f>_xlfn.LET(_xlpm.d,P$2:P$26,AVERAGE(_xlpm.d))</f>
        <v>0.73537111956579659</v>
      </c>
      <c r="Q29" s="2">
        <f>_xlfn.LET(_xlpm.d,Q$2:Q$26,AVERAGE(_xlpm.d))</f>
        <v>0.76899074015053415</v>
      </c>
    </row>
    <row r="30" spans="1:18" ht="30" customHeight="1">
      <c r="C30" t="s">
        <v>41</v>
      </c>
      <c r="D30" s="2" cm="1">
        <f t="array" ref="D30">_xlfn.LET(_xlpm.d,D$2:D$26,_xlpm.f,$A$2:$A$26,_xlpm.k,$C30,AVERAGE(_xlfn._xlws.FILTER(_xlpm.d,_xlpm.f=_xlpm.k)))</f>
        <v>0.99915869756471754</v>
      </c>
      <c r="E30" s="2" cm="1">
        <f t="array" ref="E30">_xlfn.LET(_xlpm.d,E$2:E$26,_xlpm.f,$A$2:$A$26,_xlpm.k,$C30,AVERAGE(_xlfn._xlws.FILTER(_xlpm.d,_xlpm.f=_xlpm.k)))</f>
        <v>0.99918953893122553</v>
      </c>
      <c r="F30" s="2" cm="1">
        <f t="array" ref="F30">_xlfn.LET(_xlpm.d,F$2:F$26,_xlpm.f,$A$2:$A$26,_xlpm.k,$C30,AVERAGE(_xlfn._xlws.FILTER(_xlpm.d,_xlpm.f=_xlpm.k)))</f>
        <v>1</v>
      </c>
      <c r="G30" s="2" cm="1">
        <f t="array" ref="G30">_xlfn.LET(_xlpm.d,G$2:G$26,_xlpm.f,$A$2:$A$26,_xlpm.k,$C30,AVERAGE(_xlfn._xlws.FILTER(_xlpm.d,_xlpm.f=_xlpm.k)))</f>
        <v>0.98422929479981214</v>
      </c>
      <c r="H30" s="2" cm="1">
        <f t="array" ref="H30">_xlfn.LET(_xlpm.d,H$2:H$26,_xlpm.f,$A$2:$A$26,_xlpm.k,$C30,AVERAGE(_xlfn._xlws.FILTER(_xlpm.d,_xlpm.f=_xlpm.k)))</f>
        <v>0.9975207542116642</v>
      </c>
      <c r="I30" s="2" cm="1">
        <f t="array" ref="I30">_xlfn.LET(_xlpm.d,I$2:I$26,_xlpm.f,$A$2:$A$26,_xlpm.k,$C30,AVERAGE(_xlfn._xlws.FILTER(_xlpm.d,_xlpm.f=_xlpm.k)))</f>
        <v>0.99552084019156184</v>
      </c>
      <c r="J30" s="2" cm="1">
        <f t="array" ref="J30">_xlfn.LET(_xlpm.d,J$2:J$26,_xlpm.f,$A$2:$A$26,_xlpm.k,$C30,AVERAGE(_xlfn._xlws.FILTER(_xlpm.d,_xlpm.f=_xlpm.k)))</f>
        <v>0.9891052251727952</v>
      </c>
      <c r="K30" s="2" cm="1">
        <f t="array" ref="K30">_xlfn.LET(_xlpm.d,K$2:K$26,_xlpm.f,$A$2:$A$26,_xlpm.k,$C30,AVERAGE(_xlfn._xlws.FILTER(_xlpm.d,_xlpm.f=_xlpm.k)))</f>
        <v>0.99189513886780412</v>
      </c>
      <c r="L30" s="2" cm="1">
        <f t="array" ref="L30">_xlfn.LET(_xlpm.d,L$2:L$26,_xlpm.f,$A$2:$A$26,_xlpm.k,$C30,AVERAGE(_xlfn._xlws.FILTER(_xlpm.d,_xlpm.f=_xlpm.k)))</f>
        <v>0.98237701027242319</v>
      </c>
      <c r="M30" s="2" cm="1">
        <f t="array" ref="M30">_xlfn.LET(_xlpm.d,M$2:M$26,_xlpm.f,$A$2:$A$26,_xlpm.k,$C30,AVERAGE(_xlfn._xlws.FILTER(_xlpm.d,_xlpm.f=_xlpm.k)))</f>
        <v>0.94488288712831903</v>
      </c>
      <c r="N30" s="2" cm="1">
        <f t="array" ref="N30">_xlfn.LET(_xlpm.d,N$2:N$26,_xlpm.f,$A$2:$A$26,_xlpm.k,$C30,AVERAGE(_xlfn._xlws.FILTER(_xlpm.d,_xlpm.f=_xlpm.k)))</f>
        <v>0.94675363866434858</v>
      </c>
      <c r="O30" s="2" cm="1">
        <f t="array" ref="O30">_xlfn.LET(_xlpm.d,O$2:O$26,_xlpm.f,$A$2:$A$26,_xlpm.k,$C30,AVERAGE(_xlfn._xlws.FILTER(_xlpm.d,_xlpm.f=_xlpm.k)))</f>
        <v>0.99901439552890348</v>
      </c>
      <c r="P30" s="2" cm="1">
        <f t="array" ref="P30">_xlfn.LET(_xlpm.d,P$2:P$26,_xlpm.f,$A$2:$A$26,_xlpm.k,$C30,AVERAGE(_xlfn._xlws.FILTER(_xlpm.d,_xlpm.f=_xlpm.k)))</f>
        <v>0.95845723243857051</v>
      </c>
      <c r="Q30" s="2" cm="1">
        <f t="array" ref="Q30">_xlfn.LET(_xlpm.d,Q$2:Q$26,_xlpm.f,$A$2:$A$26,_xlpm.k,$C30,AVERAGE(_xlfn._xlws.FILTER(_xlpm.d,_xlpm.f=_xlpm.k)))</f>
        <v>0.98370035798247257</v>
      </c>
    </row>
    <row r="31" spans="1:18" ht="30" customHeight="1">
      <c r="C31" t="s">
        <v>42</v>
      </c>
      <c r="D31" s="2" cm="1">
        <f t="array" ref="D31">_xlfn.LET(_xlpm.d,D$2:D$26,_xlpm.f,$A$2:$A$26,_xlpm.k,$C31,AVERAGE(_xlfn._xlws.FILTER(_xlpm.d,_xlpm.f=_xlpm.k)))</f>
        <v>0.72202010676609341</v>
      </c>
      <c r="E31" s="2" cm="1">
        <f t="array" ref="E31">_xlfn.LET(_xlpm.d,E$2:E$26,_xlpm.f,$A$2:$A$26,_xlpm.k,$C31,AVERAGE(_xlfn._xlws.FILTER(_xlpm.d,_xlpm.f=_xlpm.k)))</f>
        <v>0.60788473241477115</v>
      </c>
      <c r="F31" s="2" cm="1">
        <f t="array" ref="F31">_xlfn.LET(_xlpm.d,F$2:F$26,_xlpm.f,$A$2:$A$26,_xlpm.k,$C31,AVERAGE(_xlfn._xlws.FILTER(_xlpm.d,_xlpm.f=_xlpm.k)))</f>
        <v>0.68320222107437723</v>
      </c>
      <c r="G31" s="2" cm="1">
        <f t="array" ref="G31">_xlfn.LET(_xlpm.d,G$2:G$26,_xlpm.f,$A$2:$A$26,_xlpm.k,$C31,AVERAGE(_xlfn._xlws.FILTER(_xlpm.d,_xlpm.f=_xlpm.k)))</f>
        <v>0.67605736644698933</v>
      </c>
      <c r="H31" s="2" cm="1">
        <f t="array" ref="H31">_xlfn.LET(_xlpm.d,H$2:H$26,_xlpm.f,$A$2:$A$26,_xlpm.k,$C31,AVERAGE(_xlfn._xlws.FILTER(_xlpm.d,_xlpm.f=_xlpm.k)))</f>
        <v>0.53730381132741045</v>
      </c>
      <c r="I31" s="2" cm="1">
        <f t="array" ref="I31">_xlfn.LET(_xlpm.d,I$2:I$26,_xlpm.f,$A$2:$A$26,_xlpm.k,$C31,AVERAGE(_xlfn._xlws.FILTER(_xlpm.d,_xlpm.f=_xlpm.k)))</f>
        <v>0.64567992488773218</v>
      </c>
      <c r="J31" s="2" cm="1">
        <f t="array" ref="J31">_xlfn.LET(_xlpm.d,J$2:J$26,_xlpm.f,$A$2:$A$26,_xlpm.k,$C31,AVERAGE(_xlfn._xlws.FILTER(_xlpm.d,_xlpm.f=_xlpm.k)))</f>
        <v>0.55445836779191005</v>
      </c>
      <c r="K31" s="2" cm="1">
        <f t="array" ref="K31">_xlfn.LET(_xlpm.d,K$2:K$26,_xlpm.f,$A$2:$A$26,_xlpm.k,$C31,AVERAGE(_xlfn._xlws.FILTER(_xlpm.d,_xlpm.f=_xlpm.k)))</f>
        <v>0.57627248220345662</v>
      </c>
      <c r="L31" s="2" cm="1">
        <f t="array" ref="L31">_xlfn.LET(_xlpm.d,L$2:L$26,_xlpm.f,$A$2:$A$26,_xlpm.k,$C31,AVERAGE(_xlfn._xlws.FILTER(_xlpm.d,_xlpm.f=_xlpm.k)))</f>
        <v>0.57185042075716641</v>
      </c>
      <c r="M31" s="2" cm="1">
        <f t="array" ref="M31">_xlfn.LET(_xlpm.d,M$2:M$26,_xlpm.f,$A$2:$A$26,_xlpm.k,$C31,AVERAGE(_xlfn._xlws.FILTER(_xlpm.d,_xlpm.f=_xlpm.k)))</f>
        <v>0.54791488678118427</v>
      </c>
      <c r="N31" s="2" cm="1">
        <f t="array" ref="N31">_xlfn.LET(_xlpm.d,N$2:N$26,_xlpm.f,$A$2:$A$26,_xlpm.k,$C31,AVERAGE(_xlfn._xlws.FILTER(_xlpm.d,_xlpm.f=_xlpm.k)))</f>
        <v>0.49586875159878119</v>
      </c>
      <c r="O31" s="2" cm="1">
        <f t="array" ref="O31">_xlfn.LET(_xlpm.d,O$2:O$26,_xlpm.f,$A$2:$A$26,_xlpm.k,$C31,AVERAGE(_xlfn._xlws.FILTER(_xlpm.d,_xlpm.f=_xlpm.k)))</f>
        <v>0.49866889675061465</v>
      </c>
      <c r="P31" s="2" cm="1">
        <f t="array" ref="P31">_xlfn.LET(_xlpm.d,P$2:P$26,_xlpm.f,$A$2:$A$26,_xlpm.k,$C31,AVERAGE(_xlfn._xlws.FILTER(_xlpm.d,_xlpm.f=_xlpm.k)))</f>
        <v>0.54044112406760803</v>
      </c>
      <c r="Q31" s="2" cm="1">
        <f t="array" ref="Q31">_xlfn.LET(_xlpm.d,Q$2:Q$26,_xlpm.f,$A$2:$A$26,_xlpm.k,$C31,AVERAGE(_xlfn._xlws.FILTER(_xlpm.d,_xlpm.f=_xlpm.k)))</f>
        <v>0.58904793022062274</v>
      </c>
    </row>
    <row r="32" spans="1:18" ht="30" customHeight="1">
      <c r="C32" t="s">
        <v>43</v>
      </c>
      <c r="D32" s="2" cm="1">
        <f t="array" ref="D32">_xlfn.LET(_xlpm.d,D$2:D$26,_xlpm.f,$A$2:$A$26,_xlpm.k,$C32,AVERAGE(_xlfn._xlws.FILTER(_xlpm.d,_xlpm.f=_xlpm.k)))</f>
        <v>0.72319874237054349</v>
      </c>
      <c r="E32" s="2" cm="1">
        <f t="array" ref="E32">_xlfn.LET(_xlpm.d,E$2:E$26,_xlpm.f,$A$2:$A$26,_xlpm.k,$C32,AVERAGE(_xlfn._xlws.FILTER(_xlpm.d,_xlpm.f=_xlpm.k)))</f>
        <v>0.68314827278699242</v>
      </c>
      <c r="F32" s="2" cm="1">
        <f t="array" ref="F32">_xlfn.LET(_xlpm.d,F$2:F$26,_xlpm.f,$A$2:$A$26,_xlpm.k,$C32,AVERAGE(_xlfn._xlws.FILTER(_xlpm.d,_xlpm.f=_xlpm.k)))</f>
        <v>0.62929925834439737</v>
      </c>
      <c r="G32" s="2" cm="1">
        <f t="array" ref="G32">_xlfn.LET(_xlpm.d,G$2:G$26,_xlpm.f,$A$2:$A$26,_xlpm.k,$C32,AVERAGE(_xlfn._xlws.FILTER(_xlpm.d,_xlpm.f=_xlpm.k)))</f>
        <v>0.62874093433015188</v>
      </c>
      <c r="H32" s="2" cm="1">
        <f t="array" ref="H32">_xlfn.LET(_xlpm.d,H$2:H$26,_xlpm.f,$A$2:$A$26,_xlpm.k,$C32,AVERAGE(_xlfn._xlws.FILTER(_xlpm.d,_xlpm.f=_xlpm.k)))</f>
        <v>0.630157109119031</v>
      </c>
      <c r="I32" s="2" cm="1">
        <f t="array" ref="I32">_xlfn.LET(_xlpm.d,I$2:I$26,_xlpm.f,$A$2:$A$26,_xlpm.k,$C32,AVERAGE(_xlfn._xlws.FILTER(_xlpm.d,_xlpm.f=_xlpm.k)))</f>
        <v>0.61695220955317143</v>
      </c>
      <c r="J32" s="2" cm="1">
        <f t="array" ref="J32">_xlfn.LET(_xlpm.d,J$2:J$26,_xlpm.f,$A$2:$A$26,_xlpm.k,$C32,AVERAGE(_xlfn._xlws.FILTER(_xlpm.d,_xlpm.f=_xlpm.k)))</f>
        <v>0.58039657842391923</v>
      </c>
      <c r="K32" s="2" cm="1">
        <f t="array" ref="K32">_xlfn.LET(_xlpm.d,K$2:K$26,_xlpm.f,$A$2:$A$26,_xlpm.k,$C32,AVERAGE(_xlfn._xlws.FILTER(_xlpm.d,_xlpm.f=_xlpm.k)))</f>
        <v>0.61174704103038802</v>
      </c>
      <c r="L32" s="2" cm="1">
        <f t="array" ref="L32">_xlfn.LET(_xlpm.d,L$2:L$26,_xlpm.f,$A$2:$A$26,_xlpm.k,$C32,AVERAGE(_xlfn._xlws.FILTER(_xlpm.d,_xlpm.f=_xlpm.k)))</f>
        <v>0.54210043175598288</v>
      </c>
      <c r="M32" s="2" cm="1">
        <f t="array" ref="M32">_xlfn.LET(_xlpm.d,M$2:M$26,_xlpm.f,$A$2:$A$26,_xlpm.k,$C32,AVERAGE(_xlfn._xlws.FILTER(_xlpm.d,_xlpm.f=_xlpm.k)))</f>
        <v>0.61816158559514689</v>
      </c>
      <c r="N32" s="2" cm="1">
        <f t="array" ref="N32">_xlfn.LET(_xlpm.d,N$2:N$26,_xlpm.f,$A$2:$A$26,_xlpm.k,$C32,AVERAGE(_xlfn._xlws.FILTER(_xlpm.d,_xlpm.f=_xlpm.k)))</f>
        <v>0.55565081940379701</v>
      </c>
      <c r="O32" s="2" cm="1">
        <f t="array" ref="O32">_xlfn.LET(_xlpm.d,O$2:O$26,_xlpm.f,$A$2:$A$26,_xlpm.k,$C32,AVERAGE(_xlfn._xlws.FILTER(_xlpm.d,_xlpm.f=_xlpm.k)))</f>
        <v>0.64542364168141819</v>
      </c>
      <c r="P32" s="2" cm="1">
        <f t="array" ref="P32">_xlfn.LET(_xlpm.d,P$2:P$26,_xlpm.f,$A$2:$A$26,_xlpm.k,$C32,AVERAGE(_xlfn._xlws.FILTER(_xlpm.d,_xlpm.f=_xlpm.k)))</f>
        <v>0.60905981769074413</v>
      </c>
      <c r="Q32" s="2" cm="1">
        <f t="array" ref="Q32">_xlfn.LET(_xlpm.d,Q$2:Q$26,_xlpm.f,$A$2:$A$26,_xlpm.k,$C32,AVERAGE(_xlfn._xlws.FILTER(_xlpm.d,_xlpm.f=_xlpm.k)))</f>
        <v>0.62107972631428332</v>
      </c>
    </row>
    <row r="33" spans="3:17" ht="30" customHeight="1">
      <c r="C33" t="s">
        <v>44</v>
      </c>
      <c r="D33" s="2" cm="1">
        <f t="array" ref="D33">_xlfn.LET(_xlpm.d,D$2:D$26,_xlpm.f,$A$2:$A$26,_xlpm.k,$C33,AVERAGE(_xlfn._xlws.FILTER(_xlpm.d,_xlpm.f=_xlpm.k)))</f>
        <v>0.78978058238367199</v>
      </c>
      <c r="E33" s="2" cm="1">
        <f t="array" ref="E33">_xlfn.LET(_xlpm.d,E$2:E$26,_xlpm.f,$A$2:$A$26,_xlpm.k,$C33,AVERAGE(_xlfn._xlws.FILTER(_xlpm.d,_xlpm.f=_xlpm.k)))</f>
        <v>0.68167004841744494</v>
      </c>
      <c r="F33" s="2" cm="1">
        <f t="array" ref="F33">_xlfn.LET(_xlpm.d,F$2:F$26,_xlpm.f,$A$2:$A$26,_xlpm.k,$C33,AVERAGE(_xlfn._xlws.FILTER(_xlpm.d,_xlpm.f=_xlpm.k)))</f>
        <v>0.72100861552154361</v>
      </c>
      <c r="G33" s="2" cm="1">
        <f t="array" ref="G33">_xlfn.LET(_xlpm.d,G$2:G$26,_xlpm.f,$A$2:$A$26,_xlpm.k,$C33,AVERAGE(_xlfn._xlws.FILTER(_xlpm.d,_xlpm.f=_xlpm.k)))</f>
        <v>0.73250640139601408</v>
      </c>
      <c r="H33" s="2" cm="1">
        <f t="array" ref="H33">_xlfn.LET(_xlpm.d,H$2:H$26,_xlpm.f,$A$2:$A$26,_xlpm.k,$C33,AVERAGE(_xlfn._xlws.FILTER(_xlpm.d,_xlpm.f=_xlpm.k)))</f>
        <v>0.68755814639594282</v>
      </c>
      <c r="I33" s="2" cm="1">
        <f t="array" ref="I33">_xlfn.LET(_xlpm.d,I$2:I$26,_xlpm.f,$A$2:$A$26,_xlpm.k,$C33,AVERAGE(_xlfn._xlws.FILTER(_xlpm.d,_xlpm.f=_xlpm.k)))</f>
        <v>0.67112575621289228</v>
      </c>
      <c r="J33" s="2" cm="1">
        <f t="array" ref="J33">_xlfn.LET(_xlpm.d,J$2:J$26,_xlpm.f,$A$2:$A$26,_xlpm.k,$C33,AVERAGE(_xlfn._xlws.FILTER(_xlpm.d,_xlpm.f=_xlpm.k)))</f>
        <v>0.65126484511067384</v>
      </c>
      <c r="K33" s="2" cm="1">
        <f t="array" ref="K33">_xlfn.LET(_xlpm.d,K$2:K$26,_xlpm.f,$A$2:$A$26,_xlpm.k,$C33,AVERAGE(_xlfn._xlws.FILTER(_xlpm.d,_xlpm.f=_xlpm.k)))</f>
        <v>0.57150116132423268</v>
      </c>
      <c r="L33" s="2" cm="1">
        <f t="array" ref="L33">_xlfn.LET(_xlpm.d,L$2:L$26,_xlpm.f,$A$2:$A$26,_xlpm.k,$C33,AVERAGE(_xlfn._xlws.FILTER(_xlpm.d,_xlpm.f=_xlpm.k)))</f>
        <v>0.66228964008525115</v>
      </c>
      <c r="M33" s="2" cm="1">
        <f t="array" ref="M33">_xlfn.LET(_xlpm.d,M$2:M$26,_xlpm.f,$A$2:$A$26,_xlpm.k,$C33,AVERAGE(_xlfn._xlws.FILTER(_xlpm.d,_xlpm.f=_xlpm.k)))</f>
        <v>0.63151451973551898</v>
      </c>
      <c r="N33" s="2" cm="1">
        <f t="array" ref="N33">_xlfn.LET(_xlpm.d,N$2:N$26,_xlpm.f,$A$2:$A$26,_xlpm.k,$C33,AVERAGE(_xlfn._xlws.FILTER(_xlpm.d,_xlpm.f=_xlpm.k)))</f>
        <v>0.6660993321136478</v>
      </c>
      <c r="O33" s="2" cm="1">
        <f t="array" ref="O33">_xlfn.LET(_xlpm.d,O$2:O$26,_xlpm.f,$A$2:$A$26,_xlpm.k,$C33,AVERAGE(_xlfn._xlws.FILTER(_xlpm.d,_xlpm.f=_xlpm.k)))</f>
        <v>0.55193387962165052</v>
      </c>
      <c r="P33" s="2" cm="1">
        <f t="array" ref="P33">_xlfn.LET(_xlpm.d,P$2:P$26,_xlpm.f,$A$2:$A$26,_xlpm.k,$C33,AVERAGE(_xlfn._xlws.FILTER(_xlpm.d,_xlpm.f=_xlpm.k)))</f>
        <v>0.58602366387720917</v>
      </c>
      <c r="Q33" s="2" cm="1">
        <f t="array" ref="Q33">_xlfn.LET(_xlpm.d,Q$2:Q$26,_xlpm.f,$A$2:$A$26,_xlpm.k,$C33,AVERAGE(_xlfn._xlws.FILTER(_xlpm.d,_xlpm.f=_xlpm.k)))</f>
        <v>0.66186743016889937</v>
      </c>
    </row>
    <row r="34" spans="3:17" ht="30" customHeight="1">
      <c r="C34" t="s">
        <v>45</v>
      </c>
      <c r="D34" s="2" cm="1">
        <f t="array" ref="D34">_xlfn.LET(_xlpm.d,D$2:D$26,_xlpm.f,$A$2:$A$26,_xlpm.k,$C34,AVERAGE(_xlfn._xlws.FILTER(_xlpm.d,_xlpm.f=_xlpm.k)))</f>
        <v>1</v>
      </c>
      <c r="E34" s="2" cm="1">
        <f t="array" ref="E34">_xlfn.LET(_xlpm.d,E$2:E$26,_xlpm.f,$A$2:$A$26,_xlpm.k,$C34,AVERAGE(_xlfn._xlws.FILTER(_xlpm.d,_xlpm.f=_xlpm.k)))</f>
        <v>0.99680761101579374</v>
      </c>
      <c r="F34" s="2" cm="1">
        <f t="array" ref="F34">_xlfn.LET(_xlpm.d,F$2:F$26,_xlpm.f,$A$2:$A$26,_xlpm.k,$C34,AVERAGE(_xlfn._xlws.FILTER(_xlpm.d,_xlpm.f=_xlpm.k)))</f>
        <v>0.99672074060535165</v>
      </c>
      <c r="G34" s="2" cm="1">
        <f t="array" ref="G34">_xlfn.LET(_xlpm.d,G$2:G$26,_xlpm.f,$A$2:$A$26,_xlpm.k,$C34,AVERAGE(_xlfn._xlws.FILTER(_xlpm.d,_xlpm.f=_xlpm.k)))</f>
        <v>0.97682055430101966</v>
      </c>
      <c r="H34" s="2" cm="1">
        <f t="array" ref="H34">_xlfn.LET(_xlpm.d,H$2:H$26,_xlpm.f,$A$2:$A$26,_xlpm.k,$C34,AVERAGE(_xlfn._xlws.FILTER(_xlpm.d,_xlpm.f=_xlpm.k)))</f>
        <v>0.99608546474336246</v>
      </c>
      <c r="I34" s="2" cm="1">
        <f t="array" ref="I34">_xlfn.LET(_xlpm.d,I$2:I$26,_xlpm.f,$A$2:$A$26,_xlpm.k,$C34,AVERAGE(_xlfn._xlws.FILTER(_xlpm.d,_xlpm.f=_xlpm.k)))</f>
        <v>1</v>
      </c>
      <c r="J34" s="2" cm="1">
        <f t="array" ref="J34">_xlfn.LET(_xlpm.d,J$2:J$26,_xlpm.f,$A$2:$A$26,_xlpm.k,$C34,AVERAGE(_xlfn._xlws.FILTER(_xlpm.d,_xlpm.f=_xlpm.k)))</f>
        <v>0.9920097439149268</v>
      </c>
      <c r="K34" s="2" cm="1">
        <f t="array" ref="K34">_xlfn.LET(_xlpm.d,K$2:K$26,_xlpm.f,$A$2:$A$26,_xlpm.k,$C34,AVERAGE(_xlfn._xlws.FILTER(_xlpm.d,_xlpm.f=_xlpm.k)))</f>
        <v>1</v>
      </c>
      <c r="L34" s="2" cm="1">
        <f t="array" ref="L34">_xlfn.LET(_xlpm.d,L$2:L$26,_xlpm.f,$A$2:$A$26,_xlpm.k,$C34,AVERAGE(_xlfn._xlws.FILTER(_xlpm.d,_xlpm.f=_xlpm.k)))</f>
        <v>0.97177606981634723</v>
      </c>
      <c r="M34" s="2" cm="1">
        <f t="array" ref="M34">_xlfn.LET(_xlpm.d,M$2:M$26,_xlpm.f,$A$2:$A$26,_xlpm.k,$C34,AVERAGE(_xlfn._xlws.FILTER(_xlpm.d,_xlpm.f=_xlpm.k)))</f>
        <v>0.96292438708700545</v>
      </c>
      <c r="N34" s="2" cm="1">
        <f t="array" ref="N34">_xlfn.LET(_xlpm.d,N$2:N$26,_xlpm.f,$A$2:$A$26,_xlpm.k,$C34,AVERAGE(_xlfn._xlws.FILTER(_xlpm.d,_xlpm.f=_xlpm.k)))</f>
        <v>0.99270572785608413</v>
      </c>
      <c r="O34" s="2" cm="1">
        <f t="array" ref="O34">_xlfn.LET(_xlpm.d,O$2:O$26,_xlpm.f,$A$2:$A$26,_xlpm.k,$C34,AVERAGE(_xlfn._xlws.FILTER(_xlpm.d,_xlpm.f=_xlpm.k)))</f>
        <v>0.99163326976836985</v>
      </c>
      <c r="P34" s="2" cm="1">
        <f t="array" ref="P34">_xlfn.LET(_xlpm.d,P$2:P$26,_xlpm.f,$A$2:$A$26,_xlpm.k,$C34,AVERAGE(_xlfn._xlws.FILTER(_xlpm.d,_xlpm.f=_xlpm.k)))</f>
        <v>0.98287375975485103</v>
      </c>
      <c r="Q34" s="2" cm="1">
        <f t="array" ref="Q34">_xlfn.LET(_xlpm.d,Q$2:Q$26,_xlpm.f,$A$2:$A$26,_xlpm.k,$C34,AVERAGE(_xlfn._xlws.FILTER(_xlpm.d,_xlpm.f=_xlpm.k)))</f>
        <v>0.98925825606639317</v>
      </c>
    </row>
    <row r="36" spans="3:17" ht="30" customHeight="1">
      <c r="C36" t="s">
        <v>46</v>
      </c>
    </row>
    <row r="37" spans="3:17" ht="30" customHeight="1">
      <c r="C37" t="s">
        <v>40</v>
      </c>
      <c r="D37" s="2" cm="1">
        <f t="array" ref="D37">_xlfn.LET(_xlpm.d,D$2:D$26,_xlpm.g,$B$2:$B$26,_xlpm.k,$C37,AVERAGE(_xlfn._xlws.FILTER(_xlpm.d,(_xlpm.g=0))))</f>
        <v>0.80853953227125641</v>
      </c>
      <c r="E37" s="2" cm="1">
        <f t="array" ref="E37">_xlfn.LET(_xlpm.d,E$2:E$26,_xlpm.g,$B$2:$B$26,_xlpm.k,$C37,AVERAGE(_xlfn._xlws.FILTER(_xlpm.d,(_xlpm.g=0))))</f>
        <v>0.76997174386962075</v>
      </c>
      <c r="F37" s="2" cm="1">
        <f t="array" ref="F37">_xlfn.LET(_xlpm.d,F$2:F$26,_xlpm.g,$B$2:$B$26,_xlpm.k,$C37,AVERAGE(_xlfn._xlws.FILTER(_xlpm.d,(_xlpm.g=0))))</f>
        <v>0.78021696084431003</v>
      </c>
      <c r="G37" s="2" cm="1">
        <f t="array" ref="G37">_xlfn.LET(_xlpm.d,G$2:G$26,_xlpm.g,$B$2:$B$26,_xlpm.k,$C37,AVERAGE(_xlfn._xlws.FILTER(_xlpm.d,(_xlpm.g=0))))</f>
        <v>0.76889498978906112</v>
      </c>
      <c r="H37" s="2" cm="1">
        <f t="array" ref="H37">_xlfn.LET(_xlpm.d,H$2:H$26,_xlpm.g,$B$2:$B$26,_xlpm.k,$C37,AVERAGE(_xlfn._xlws.FILTER(_xlpm.d,(_xlpm.g=0))))</f>
        <v>0.7542205962760774</v>
      </c>
      <c r="I37" s="2" cm="1">
        <f t="array" ref="I37">_xlfn.LET(_xlpm.d,I$2:I$26,_xlpm.g,$B$2:$B$26,_xlpm.k,$C37,AVERAGE(_xlfn._xlws.FILTER(_xlpm.d,(_xlpm.g=0))))</f>
        <v>0.7802666460471146</v>
      </c>
      <c r="J37" s="2" cm="1">
        <f t="array" ref="J37">_xlfn.LET(_xlpm.d,J$2:J$26,_xlpm.g,$B$2:$B$26,_xlpm.k,$C37,AVERAGE(_xlfn._xlws.FILTER(_xlpm.d,(_xlpm.g=0))))</f>
        <v>0.74223085266327726</v>
      </c>
      <c r="K37" s="2" cm="1">
        <f t="array" ref="K37">_xlfn.LET(_xlpm.d,K$2:K$26,_xlpm.g,$B$2:$B$26,_xlpm.k,$C37,AVERAGE(_xlfn._xlws.FILTER(_xlpm.d,(_xlpm.g=0))))</f>
        <v>0.75187653098130791</v>
      </c>
      <c r="L37" s="2" cm="1">
        <f t="array" ref="L37">_xlfn.LET(_xlpm.d,L$2:L$26,_xlpm.g,$B$2:$B$26,_xlpm.k,$C37,AVERAGE(_xlfn._xlws.FILTER(_xlpm.d,(_xlpm.g=0))))</f>
        <v>0.7276657018982583</v>
      </c>
      <c r="M37" s="2" cm="1">
        <f t="array" ref="M37">_xlfn.LET(_xlpm.d,M$2:M$26,_xlpm.g,$B$2:$B$26,_xlpm.k,$C37,AVERAGE(_xlfn._xlws.FILTER(_xlpm.d,(_xlpm.g=0))))</f>
        <v>0.71015718617801438</v>
      </c>
      <c r="N37" s="2" cm="1">
        <f t="array" ref="N37">_xlfn.LET(_xlpm.d,N$2:N$26,_xlpm.g,$B$2:$B$26,_xlpm.k,$C37,AVERAGE(_xlfn._xlws.FILTER(_xlpm.d,(_xlpm.g=0))))</f>
        <v>0.72597214168428004</v>
      </c>
      <c r="O37" s="2" cm="1">
        <f t="array" ref="O37">_xlfn.LET(_xlpm.d,O$2:O$26,_xlpm.g,$B$2:$B$26,_xlpm.k,$C37,AVERAGE(_xlfn._xlws.FILTER(_xlpm.d,(_xlpm.g=0))))</f>
        <v>0.71087123622642912</v>
      </c>
      <c r="P37" s="2" cm="1">
        <f t="array" ref="P37">_xlfn.LET(_xlpm.d,P$2:P$26,_xlpm.g,$B$2:$B$26,_xlpm.k,$C37,AVERAGE(_xlfn._xlws.FILTER(_xlpm.d,(_xlpm.g=0))))</f>
        <v>0.72441142735811659</v>
      </c>
      <c r="Q37" s="2" cm="1">
        <f t="array" ref="Q37">_xlfn.LET(_xlpm.d,Q$2:Q$26,_xlpm.g,$B$2:$B$26,_xlpm.k,$C37,AVERAGE(_xlfn._xlws.FILTER(_xlpm.d,(_xlpm.g=0))))</f>
        <v>0.75040734969900946</v>
      </c>
    </row>
    <row r="38" spans="3:17" ht="30" customHeight="1">
      <c r="C38" t="s">
        <v>41</v>
      </c>
      <c r="D38" s="2" cm="1">
        <f t="array" ref="D38">_xlfn.LET(_xlpm.d,D$2:D$26,_xlpm.f,$A$2:$A$26,_xlpm.g,$B$2:$B$26,_xlpm.k,$C38,AVERAGE(_xlfn._xlws.FILTER(_xlpm.d,(_xlpm.f=_xlpm.k)*(_xlpm.g=0))))</f>
        <v>0.99894837195589703</v>
      </c>
      <c r="E38" s="2" cm="1">
        <f t="array" ref="E38">_xlfn.LET(_xlpm.d,E$2:E$26,_xlpm.f,$A$2:$A$26,_xlpm.g,$B$2:$B$26,_xlpm.k,$C38,AVERAGE(_xlfn._xlws.FILTER(_xlpm.d,(_xlpm.f=_xlpm.k)*(_xlpm.g=0))))</f>
        <v>0.99898692366403175</v>
      </c>
      <c r="F38" s="2" cm="1">
        <f t="array" ref="F38">_xlfn.LET(_xlpm.d,F$2:F$26,_xlpm.f,$A$2:$A$26,_xlpm.g,$B$2:$B$26,_xlpm.k,$C38,AVERAGE(_xlfn._xlws.FILTER(_xlpm.d,(_xlpm.f=_xlpm.k)*(_xlpm.g=0))))</f>
        <v>1</v>
      </c>
      <c r="G38" s="2" cm="1">
        <f t="array" ref="G38">_xlfn.LET(_xlpm.d,G$2:G$26,_xlpm.f,$A$2:$A$26,_xlpm.g,$B$2:$B$26,_xlpm.k,$C38,AVERAGE(_xlfn._xlws.FILTER(_xlpm.d,(_xlpm.f=_xlpm.k)*(_xlpm.g=0))))</f>
        <v>0.98028661849976517</v>
      </c>
      <c r="H38" s="2" cm="1">
        <f t="array" ref="H38">_xlfn.LET(_xlpm.d,H$2:H$26,_xlpm.f,$A$2:$A$26,_xlpm.g,$B$2:$B$26,_xlpm.k,$C38,AVERAGE(_xlfn._xlws.FILTER(_xlpm.d,(_xlpm.f=_xlpm.k)*(_xlpm.g=0))))</f>
        <v>0.9969009427645803</v>
      </c>
      <c r="I38" s="2" cm="1">
        <f t="array" ref="I38">_xlfn.LET(_xlpm.d,I$2:I$26,_xlpm.f,$A$2:$A$26,_xlpm.g,$B$2:$B$26,_xlpm.k,$C38,AVERAGE(_xlfn._xlws.FILTER(_xlpm.d,(_xlpm.f=_xlpm.k)*(_xlpm.g=0))))</f>
        <v>0.99440105023945224</v>
      </c>
      <c r="J38" s="2" cm="1">
        <f t="array" ref="J38">_xlfn.LET(_xlpm.d,J$2:J$26,_xlpm.f,$A$2:$A$26,_xlpm.g,$B$2:$B$26,_xlpm.k,$C38,AVERAGE(_xlfn._xlws.FILTER(_xlpm.d,(_xlpm.f=_xlpm.k)*(_xlpm.g=0))))</f>
        <v>0.98638153146599405</v>
      </c>
      <c r="K38" s="2" cm="1">
        <f t="array" ref="K38">_xlfn.LET(_xlpm.d,K$2:K$26,_xlpm.f,$A$2:$A$26,_xlpm.g,$B$2:$B$26,_xlpm.k,$C38,AVERAGE(_xlfn._xlws.FILTER(_xlpm.d,(_xlpm.f=_xlpm.k)*(_xlpm.g=0))))</f>
        <v>0.98986892358475498</v>
      </c>
      <c r="L38" s="2" cm="1">
        <f t="array" ref="L38">_xlfn.LET(_xlpm.d,L$2:L$26,_xlpm.f,$A$2:$A$26,_xlpm.g,$B$2:$B$26,_xlpm.k,$C38,AVERAGE(_xlfn._xlws.FILTER(_xlpm.d,(_xlpm.f=_xlpm.k)*(_xlpm.g=0))))</f>
        <v>0.97797126284052904</v>
      </c>
      <c r="M38" s="2" cm="1">
        <f t="array" ref="M38">_xlfn.LET(_xlpm.d,M$2:M$26,_xlpm.f,$A$2:$A$26,_xlpm.g,$B$2:$B$26,_xlpm.k,$C38,AVERAGE(_xlfn._xlws.FILTER(_xlpm.d,(_xlpm.f=_xlpm.k)*(_xlpm.g=0))))</f>
        <v>0.93110360891039878</v>
      </c>
      <c r="N38" s="2" cm="1">
        <f t="array" ref="N38">_xlfn.LET(_xlpm.d,N$2:N$26,_xlpm.f,$A$2:$A$26,_xlpm.g,$B$2:$B$26,_xlpm.k,$C38,AVERAGE(_xlfn._xlws.FILTER(_xlpm.d,(_xlpm.f=_xlpm.k)*(_xlpm.g=0))))</f>
        <v>0.93344204833043576</v>
      </c>
      <c r="O38" s="2" cm="1">
        <f t="array" ref="O38">_xlfn.LET(_xlpm.d,O$2:O$26,_xlpm.f,$A$2:$A$26,_xlpm.g,$B$2:$B$26,_xlpm.k,$C38,AVERAGE(_xlfn._xlws.FILTER(_xlpm.d,(_xlpm.f=_xlpm.k)*(_xlpm.g=0))))</f>
        <v>0.99876799441112951</v>
      </c>
      <c r="P38" s="2" cm="1">
        <f t="array" ref="P38">_xlfn.LET(_xlpm.d,P$2:P$26,_xlpm.f,$A$2:$A$26,_xlpm.g,$B$2:$B$26,_xlpm.k,$C38,AVERAGE(_xlfn._xlws.FILTER(_xlpm.d,(_xlpm.f=_xlpm.k)*(_xlpm.g=0))))</f>
        <v>0.94807154054821319</v>
      </c>
      <c r="Q38" s="2" cm="1">
        <f t="array" ref="Q38">_xlfn.LET(_xlpm.d,Q$2:Q$26,_xlpm.f,$A$2:$A$26,_xlpm.g,$B$2:$B$26,_xlpm.k,$C38,AVERAGE(_xlfn._xlws.FILTER(_xlpm.d,(_xlpm.f=_xlpm.k)*(_xlpm.g=0))))</f>
        <v>0.97962544747809088</v>
      </c>
    </row>
    <row r="39" spans="3:17" ht="30" customHeight="1">
      <c r="C39" t="s">
        <v>42</v>
      </c>
      <c r="D39" s="2" cm="1">
        <f t="array" ref="D39">_xlfn.LET(_xlpm.d,D$2:D$26,_xlpm.f,$A$2:$A$26,_xlpm.g,$B$2:$B$26,_xlpm.k,$C39,AVERAGE(_xlfn._xlws.FILTER(_xlpm.d,(_xlpm.f=_xlpm.k)*(_xlpm.g=0))))</f>
        <v>0.65252513345761676</v>
      </c>
      <c r="E39" s="2" cm="1">
        <f t="array" ref="E39">_xlfn.LET(_xlpm.d,E$2:E$26,_xlpm.f,$A$2:$A$26,_xlpm.g,$B$2:$B$26,_xlpm.k,$C39,AVERAGE(_xlfn._xlws.FILTER(_xlpm.d,(_xlpm.f=_xlpm.k)*(_xlpm.g=0))))</f>
        <v>0.56666961651060821</v>
      </c>
      <c r="F39" s="2" cm="1">
        <f t="array" ref="F39">_xlfn.LET(_xlpm.d,F$2:F$26,_xlpm.f,$A$2:$A$26,_xlpm.g,$B$2:$B$26,_xlpm.k,$C39,AVERAGE(_xlfn._xlws.FILTER(_xlpm.d,(_xlpm.f=_xlpm.k)*(_xlpm.g=0))))</f>
        <v>0.63361637982786434</v>
      </c>
      <c r="G39" s="2" cm="1">
        <f t="array" ref="G39">_xlfn.LET(_xlpm.d,G$2:G$26,_xlpm.f,$A$2:$A$26,_xlpm.g,$B$2:$B$26,_xlpm.k,$C39,AVERAGE(_xlfn._xlws.FILTER(_xlpm.d,(_xlpm.f=_xlpm.k)*(_xlpm.g=0))))</f>
        <v>0.62714502967509</v>
      </c>
      <c r="H39" s="2" cm="1">
        <f t="array" ref="H39">_xlfn.LET(_xlpm.d,H$2:H$26,_xlpm.f,$A$2:$A$26,_xlpm.g,$B$2:$B$26,_xlpm.k,$C39,AVERAGE(_xlfn._xlws.FILTER(_xlpm.d,(_xlpm.f=_xlpm.k)*(_xlpm.g=0))))</f>
        <v>0.50962304914908152</v>
      </c>
      <c r="I39" s="2" cm="1">
        <f t="array" ref="I39">_xlfn.LET(_xlpm.d,I$2:I$26,_xlpm.f,$A$2:$A$26,_xlpm.g,$B$2:$B$26,_xlpm.k,$C39,AVERAGE(_xlfn._xlws.FILTER(_xlpm.d,(_xlpm.f=_xlpm.k)*(_xlpm.g=0))))</f>
        <v>0.62699095419544426</v>
      </c>
      <c r="J39" s="2" cm="1">
        <f t="array" ref="J39">_xlfn.LET(_xlpm.d,J$2:J$26,_xlpm.f,$A$2:$A$26,_xlpm.g,$B$2:$B$26,_xlpm.k,$C39,AVERAGE(_xlfn._xlws.FILTER(_xlpm.d,(_xlpm.f=_xlpm.k)*(_xlpm.g=0))))</f>
        <v>0.53528135313612046</v>
      </c>
      <c r="K39" s="2" cm="1">
        <f t="array" ref="K39">_xlfn.LET(_xlpm.d,K$2:K$26,_xlpm.f,$A$2:$A$26,_xlpm.g,$B$2:$B$26,_xlpm.k,$C39,AVERAGE(_xlfn._xlws.FILTER(_xlpm.d,(_xlpm.f=_xlpm.k)*(_xlpm.g=0))))</f>
        <v>0.57370457573049927</v>
      </c>
      <c r="L39" s="2" cm="1">
        <f t="array" ref="L39">_xlfn.LET(_xlpm.d,L$2:L$26,_xlpm.f,$A$2:$A$26,_xlpm.g,$B$2:$B$26,_xlpm.k,$C39,AVERAGE(_xlfn._xlws.FILTER(_xlpm.d,(_xlpm.f=_xlpm.k)*(_xlpm.g=0))))</f>
        <v>0.53260041136380432</v>
      </c>
      <c r="M39" s="2" cm="1">
        <f t="array" ref="M39">_xlfn.LET(_xlpm.d,M$2:M$26,_xlpm.f,$A$2:$A$26,_xlpm.g,$B$2:$B$26,_xlpm.k,$C39,AVERAGE(_xlfn._xlws.FILTER(_xlpm.d,(_xlpm.f=_xlpm.k)*(_xlpm.g=0))))</f>
        <v>0.52602804232932077</v>
      </c>
      <c r="N39" s="2" cm="1">
        <f t="array" ref="N39">_xlfn.LET(_xlpm.d,N$2:N$26,_xlpm.f,$A$2:$A$26,_xlpm.g,$B$2:$B$26,_xlpm.k,$C39,AVERAGE(_xlfn._xlws.FILTER(_xlpm.d,(_xlpm.f=_xlpm.k)*(_xlpm.g=0))))</f>
        <v>0.50667057258456671</v>
      </c>
      <c r="O39" s="2" cm="1">
        <f t="array" ref="O39">_xlfn.LET(_xlpm.d,O$2:O$26,_xlpm.f,$A$2:$A$26,_xlpm.g,$B$2:$B$26,_xlpm.k,$C39,AVERAGE(_xlfn._xlws.FILTER(_xlpm.d,(_xlpm.f=_xlpm.k)*(_xlpm.g=0))))</f>
        <v>0.44683905898577503</v>
      </c>
      <c r="P39" s="2" cm="1">
        <f t="array" ref="P39">_xlfn.LET(_xlpm.d,P$2:P$26,_xlpm.f,$A$2:$A$26,_xlpm.g,$B$2:$B$26,_xlpm.k,$C39,AVERAGE(_xlfn._xlws.FILTER(_xlpm.d,(_xlpm.f=_xlpm.k)*(_xlpm.g=0))))</f>
        <v>0.55488780828357598</v>
      </c>
      <c r="Q39" s="2" cm="1">
        <f t="array" ref="Q39">_xlfn.LET(_xlpm.d,Q$2:Q$26,_xlpm.f,$A$2:$A$26,_xlpm.g,$B$2:$B$26,_xlpm.k,$C39,AVERAGE(_xlfn._xlws.FILTER(_xlpm.d,(_xlpm.f=_xlpm.k)*(_xlpm.g=0))))</f>
        <v>0.56096784501764363</v>
      </c>
    </row>
    <row r="40" spans="3:17" ht="30" customHeight="1">
      <c r="C40" t="s">
        <v>43</v>
      </c>
      <c r="D40" s="2" cm="1">
        <f t="array" ref="D40">_xlfn.LET(_xlpm.d,D$2:D$26,_xlpm.f,$A$2:$A$26,_xlpm.g,$B$2:$B$26,_xlpm.k,$C40,AVERAGE(_xlfn._xlws.FILTER(_xlpm.d,(_xlpm.f=_xlpm.k)*(_xlpm.g=0))))</f>
        <v>0.6539984279631792</v>
      </c>
      <c r="E40" s="2" cm="1">
        <f t="array" ref="E40">_xlfn.LET(_xlpm.d,E$2:E$26,_xlpm.f,$A$2:$A$26,_xlpm.g,$B$2:$B$26,_xlpm.k,$C40,AVERAGE(_xlfn._xlws.FILTER(_xlpm.d,(_xlpm.f=_xlpm.k)*(_xlpm.g=0))))</f>
        <v>0.6199113925577977</v>
      </c>
      <c r="F40" s="2" cm="1">
        <f t="array" ref="F40">_xlfn.LET(_xlpm.d,F$2:F$26,_xlpm.f,$A$2:$A$26,_xlpm.g,$B$2:$B$26,_xlpm.k,$C40,AVERAGE(_xlfn._xlws.FILTER(_xlpm.d,(_xlpm.f=_xlpm.k)*(_xlpm.g=0))))</f>
        <v>0.58233340440961501</v>
      </c>
      <c r="G40" s="2" cm="1">
        <f t="array" ref="G40">_xlfn.LET(_xlpm.d,G$2:G$26,_xlpm.f,$A$2:$A$26,_xlpm.g,$B$2:$B$26,_xlpm.k,$C40,AVERAGE(_xlfn._xlws.FILTER(_xlpm.d,(_xlpm.f=_xlpm.k)*(_xlpm.g=0))))</f>
        <v>0.57442738031128004</v>
      </c>
      <c r="H40" s="2" cm="1">
        <f t="array" ref="H40">_xlfn.LET(_xlpm.d,H$2:H$26,_xlpm.f,$A$2:$A$26,_xlpm.g,$B$2:$B$26,_xlpm.k,$C40,AVERAGE(_xlfn._xlws.FILTER(_xlpm.d,(_xlpm.f=_xlpm.k)*(_xlpm.g=0))))</f>
        <v>0.58948805358805001</v>
      </c>
      <c r="I40" s="2" cm="1">
        <f t="array" ref="I40">_xlfn.LET(_xlpm.d,I$2:I$26,_xlpm.f,$A$2:$A$26,_xlpm.g,$B$2:$B$26,_xlpm.k,$C40,AVERAGE(_xlfn._xlws.FILTER(_xlpm.d,(_xlpm.f=_xlpm.k)*(_xlpm.g=0))))</f>
        <v>0.59390194846147548</v>
      </c>
      <c r="J40" s="2" cm="1">
        <f t="array" ref="J40">_xlfn.LET(_xlpm.d,J$2:J$26,_xlpm.f,$A$2:$A$26,_xlpm.g,$B$2:$B$26,_xlpm.k,$C40,AVERAGE(_xlfn._xlws.FILTER(_xlpm.d,(_xlpm.f=_xlpm.k)*(_xlpm.g=0))))</f>
        <v>0.55278121574266725</v>
      </c>
      <c r="K40" s="2" cm="1">
        <f t="array" ref="K40">_xlfn.LET(_xlpm.d,K$2:K$26,_xlpm.f,$A$2:$A$26,_xlpm.g,$B$2:$B$26,_xlpm.k,$C40,AVERAGE(_xlfn._xlws.FILTER(_xlpm.d,(_xlpm.f=_xlpm.k)*(_xlpm.g=0))))</f>
        <v>0.64723774080959751</v>
      </c>
      <c r="L40" s="2" cm="1">
        <f t="array" ref="L40">_xlfn.LET(_xlpm.d,L$2:L$26,_xlpm.f,$A$2:$A$26,_xlpm.g,$B$2:$B$26,_xlpm.k,$C40,AVERAGE(_xlfn._xlws.FILTER(_xlpm.d,(_xlpm.f=_xlpm.k)*(_xlpm.g=0))))</f>
        <v>0.50840227441469454</v>
      </c>
      <c r="M40" s="2" cm="1">
        <f t="array" ref="M40">_xlfn.LET(_xlpm.d,M$2:M$26,_xlpm.f,$A$2:$A$26,_xlpm.g,$B$2:$B$26,_xlpm.k,$C40,AVERAGE(_xlfn._xlws.FILTER(_xlpm.d,(_xlpm.f=_xlpm.k)*(_xlpm.g=0))))</f>
        <v>0.56476144334137801</v>
      </c>
      <c r="N40" s="2" cm="1">
        <f t="array" ref="N40">_xlfn.LET(_xlpm.d,N$2:N$26,_xlpm.f,$A$2:$A$26,_xlpm.g,$B$2:$B$26,_xlpm.k,$C40,AVERAGE(_xlfn._xlws.FILTER(_xlpm.d,(_xlpm.f=_xlpm.k)*(_xlpm.g=0))))</f>
        <v>0.52259975360112465</v>
      </c>
      <c r="O40" s="2" cm="1">
        <f t="array" ref="O40">_xlfn.LET(_xlpm.d,O$2:O$26,_xlpm.f,$A$2:$A$26,_xlpm.g,$B$2:$B$26,_xlpm.k,$C40,AVERAGE(_xlfn._xlws.FILTER(_xlpm.d,(_xlpm.f=_xlpm.k)*(_xlpm.g=0))))</f>
        <v>0.58343884040207106</v>
      </c>
      <c r="P40" s="2" cm="1">
        <f t="array" ref="P40">_xlfn.LET(_xlpm.d,P$2:P$26,_xlpm.f,$A$2:$A$26,_xlpm.g,$B$2:$B$26,_xlpm.k,$C40,AVERAGE(_xlfn._xlws.FILTER(_xlpm.d,(_xlpm.f=_xlpm.k)*(_xlpm.g=0))))</f>
        <v>0.51731700069766073</v>
      </c>
      <c r="Q40" s="2" cm="1">
        <f t="array" ref="Q40">_xlfn.LET(_xlpm.d,Q$2:Q$26,_xlpm.f,$A$2:$A$26,_xlpm.g,$B$2:$B$26,_xlpm.k,$C40,AVERAGE(_xlfn._xlws.FILTER(_xlpm.d,(_xlpm.f=_xlpm.k)*(_xlpm.g=0))))</f>
        <v>0.57773837510004555</v>
      </c>
    </row>
    <row r="41" spans="3:17" ht="30" customHeight="1">
      <c r="C41" t="s">
        <v>44</v>
      </c>
      <c r="D41" s="2" cm="1">
        <f t="array" ref="D41">_xlfn.LET(_xlpm.d,D$2:D$26,_xlpm.f,$A$2:$A$26,_xlpm.g,$B$2:$B$26,_xlpm.k,$C41,AVERAGE(_xlfn._xlws.FILTER(_xlpm.d,(_xlpm.f=_xlpm.k)*(_xlpm.g=0))))</f>
        <v>0.73722572797958996</v>
      </c>
      <c r="E41" s="2" cm="1">
        <f t="array" ref="E41">_xlfn.LET(_xlpm.d,E$2:E$26,_xlpm.f,$A$2:$A$26,_xlpm.g,$B$2:$B$26,_xlpm.k,$C41,AVERAGE(_xlfn._xlws.FILTER(_xlpm.d,(_xlpm.f=_xlpm.k)*(_xlpm.g=0))))</f>
        <v>0.6682812728459232</v>
      </c>
      <c r="F41" s="2" cm="1">
        <f t="array" ref="F41">_xlfn.LET(_xlpm.d,F$2:F$26,_xlpm.f,$A$2:$A$26,_xlpm.g,$B$2:$B$26,_xlpm.k,$C41,AVERAGE(_xlfn._xlws.FILTER(_xlpm.d,(_xlpm.f=_xlpm.k)*(_xlpm.g=0))))</f>
        <v>0.68923409422738202</v>
      </c>
      <c r="G41" s="2" cm="1">
        <f t="array" ref="G41">_xlfn.LET(_xlpm.d,G$2:G$26,_xlpm.f,$A$2:$A$26,_xlpm.g,$B$2:$B$26,_xlpm.k,$C41,AVERAGE(_xlfn._xlws.FILTER(_xlpm.d,(_xlpm.f=_xlpm.k)*(_xlpm.g=0))))</f>
        <v>0.69159022758289534</v>
      </c>
      <c r="H41" s="2" cm="1">
        <f t="array" ref="H41">_xlfn.LET(_xlpm.d,H$2:H$26,_xlpm.f,$A$2:$A$26,_xlpm.g,$B$2:$B$26,_xlpm.k,$C41,AVERAGE(_xlfn._xlws.FILTER(_xlpm.d,(_xlpm.f=_xlpm.k)*(_xlpm.g=0))))</f>
        <v>0.67998410494947248</v>
      </c>
      <c r="I41" s="2" cm="1">
        <f t="array" ref="I41">_xlfn.LET(_xlpm.d,I$2:I$26,_xlpm.f,$A$2:$A$26,_xlpm.g,$B$2:$B$26,_xlpm.k,$C41,AVERAGE(_xlfn._xlws.FILTER(_xlpm.d,(_xlpm.f=_xlpm.k)*(_xlpm.g=0))))</f>
        <v>0.68603927733920034</v>
      </c>
      <c r="J41" s="2" cm="1">
        <f t="array" ref="J41">_xlfn.LET(_xlpm.d,J$2:J$26,_xlpm.f,$A$2:$A$26,_xlpm.g,$B$2:$B$26,_xlpm.k,$C41,AVERAGE(_xlfn._xlws.FILTER(_xlpm.d,(_xlpm.f=_xlpm.k)*(_xlpm.g=0))))</f>
        <v>0.64669798307794601</v>
      </c>
      <c r="K41" s="2" cm="1">
        <f t="array" ref="K41">_xlfn.LET(_xlpm.d,K$2:K$26,_xlpm.f,$A$2:$A$26,_xlpm.g,$B$2:$B$26,_xlpm.k,$C41,AVERAGE(_xlfn._xlws.FILTER(_xlpm.d,(_xlpm.f=_xlpm.k)*(_xlpm.g=0))))</f>
        <v>0.54857141478168825</v>
      </c>
      <c r="L41" s="2" cm="1">
        <f t="array" ref="L41">_xlfn.LET(_xlpm.d,L$2:L$26,_xlpm.f,$A$2:$A$26,_xlpm.g,$B$2:$B$26,_xlpm.k,$C41,AVERAGE(_xlfn._xlws.FILTER(_xlpm.d,(_xlpm.f=_xlpm.k)*(_xlpm.g=0))))</f>
        <v>0.65463447360183002</v>
      </c>
      <c r="M41" s="2" cm="1">
        <f t="array" ref="M41">_xlfn.LET(_xlpm.d,M$2:M$26,_xlpm.f,$A$2:$A$26,_xlpm.g,$B$2:$B$26,_xlpm.k,$C41,AVERAGE(_xlfn._xlws.FILTER(_xlpm.d,(_xlpm.f=_xlpm.k)*(_xlpm.g=0))))</f>
        <v>0.57523735245021801</v>
      </c>
      <c r="N41" s="2" cm="1">
        <f t="array" ref="N41">_xlfn.LET(_xlpm.d,N$2:N$26,_xlpm.f,$A$2:$A$26,_xlpm.g,$B$2:$B$26,_xlpm.k,$C41,AVERAGE(_xlfn._xlws.FILTER(_xlpm.d,(_xlpm.f=_xlpm.k)*(_xlpm.g=0))))</f>
        <v>0.67626617408516798</v>
      </c>
      <c r="O41" s="2" cm="1">
        <f t="array" ref="O41">_xlfn.LET(_xlpm.d,O$2:O$26,_xlpm.f,$A$2:$A$26,_xlpm.g,$B$2:$B$26,_xlpm.k,$C41,AVERAGE(_xlfn._xlws.FILTER(_xlpm.d,(_xlpm.f=_xlpm.k)*(_xlpm.g=0))))</f>
        <v>0.53576870012270728</v>
      </c>
      <c r="P41" s="2" cm="1">
        <f t="array" ref="P41">_xlfn.LET(_xlpm.d,P$2:P$26,_xlpm.f,$A$2:$A$26,_xlpm.g,$B$2:$B$26,_xlpm.k,$C41,AVERAGE(_xlfn._xlws.FILTER(_xlpm.d,(_xlpm.f=_xlpm.k)*(_xlpm.g=0))))</f>
        <v>0.62318858756756901</v>
      </c>
      <c r="Q41" s="2" cm="1">
        <f t="array" ref="Q41">_xlfn.LET(_xlpm.d,Q$2:Q$26,_xlpm.f,$A$2:$A$26,_xlpm.g,$B$2:$B$26,_xlpm.k,$C41,AVERAGE(_xlfn._xlws.FILTER(_xlpm.d,(_xlpm.f=_xlpm.k)*(_xlpm.g=0))))</f>
        <v>0.64713226081627606</v>
      </c>
    </row>
    <row r="42" spans="3:17" ht="30" customHeight="1">
      <c r="C42" t="s">
        <v>45</v>
      </c>
      <c r="D42" s="2" cm="1">
        <f t="array" ref="D42">_xlfn.LET(_xlpm.d,D$2:D$26,_xlpm.f,$A$2:$A$26,_xlpm.g,$B$2:$B$26,_xlpm.k,$C42,AVERAGE(_xlfn._xlws.FILTER(_xlpm.d,(_xlpm.f=_xlpm.k)*(_xlpm.g=0))))</f>
        <v>1</v>
      </c>
      <c r="E42" s="2" cm="1">
        <f t="array" ref="E42">_xlfn.LET(_xlpm.d,E$2:E$26,_xlpm.f,$A$2:$A$26,_xlpm.g,$B$2:$B$26,_xlpm.k,$C42,AVERAGE(_xlfn._xlws.FILTER(_xlpm.d,(_xlpm.f=_xlpm.k)*(_xlpm.g=0))))</f>
        <v>0.99600951376974223</v>
      </c>
      <c r="F42" s="2" cm="1">
        <f t="array" ref="F42">_xlfn.LET(_xlpm.d,F$2:F$26,_xlpm.f,$A$2:$A$26,_xlpm.g,$B$2:$B$26,_xlpm.k,$C42,AVERAGE(_xlfn._xlws.FILTER(_xlpm.d,(_xlpm.f=_xlpm.k)*(_xlpm.g=0))))</f>
        <v>0.99590092575668954</v>
      </c>
      <c r="G42" s="2" cm="1">
        <f t="array" ref="G42">_xlfn.LET(_xlpm.d,G$2:G$26,_xlpm.f,$A$2:$A$26,_xlpm.g,$B$2:$B$26,_xlpm.k,$C42,AVERAGE(_xlfn._xlws.FILTER(_xlpm.d,(_xlpm.f=_xlpm.k)*(_xlpm.g=0))))</f>
        <v>0.97102569287627472</v>
      </c>
      <c r="H42" s="2" cm="1">
        <f t="array" ref="H42">_xlfn.LET(_xlpm.d,H$2:H$26,_xlpm.f,$A$2:$A$26,_xlpm.g,$B$2:$B$26,_xlpm.k,$C42,AVERAGE(_xlfn._xlws.FILTER(_xlpm.d,(_xlpm.f=_xlpm.k)*(_xlpm.g=0))))</f>
        <v>0.99510683092920293</v>
      </c>
      <c r="I42" s="2" cm="1">
        <f t="array" ref="I42">_xlfn.LET(_xlpm.d,I$2:I$26,_xlpm.f,$A$2:$A$26,_xlpm.g,$B$2:$B$26,_xlpm.k,$C42,AVERAGE(_xlfn._xlws.FILTER(_xlpm.d,(_xlpm.f=_xlpm.k)*(_xlpm.g=0))))</f>
        <v>1</v>
      </c>
      <c r="J42" s="2" cm="1">
        <f t="array" ref="J42">_xlfn.LET(_xlpm.d,J$2:J$26,_xlpm.f,$A$2:$A$26,_xlpm.g,$B$2:$B$26,_xlpm.k,$C42,AVERAGE(_xlfn._xlws.FILTER(_xlpm.d,(_xlpm.f=_xlpm.k)*(_xlpm.g=0))))</f>
        <v>0.99001217989365853</v>
      </c>
      <c r="K42" s="2" cm="1">
        <f t="array" ref="K42">_xlfn.LET(_xlpm.d,K$2:K$26,_xlpm.f,$A$2:$A$26,_xlpm.g,$B$2:$B$26,_xlpm.k,$C42,AVERAGE(_xlfn._xlws.FILTER(_xlpm.d,(_xlpm.f=_xlpm.k)*(_xlpm.g=0))))</f>
        <v>1</v>
      </c>
      <c r="L42" s="2" cm="1">
        <f t="array" ref="L42">_xlfn.LET(_xlpm.d,L$2:L$26,_xlpm.f,$A$2:$A$26,_xlpm.g,$B$2:$B$26,_xlpm.k,$C42,AVERAGE(_xlfn._xlws.FILTER(_xlpm.d,(_xlpm.f=_xlpm.k)*(_xlpm.g=0))))</f>
        <v>0.96472008727043401</v>
      </c>
      <c r="M42" s="2" cm="1">
        <f t="array" ref="M42">_xlfn.LET(_xlpm.d,M$2:M$26,_xlpm.f,$A$2:$A$26,_xlpm.g,$B$2:$B$26,_xlpm.k,$C42,AVERAGE(_xlfn._xlws.FILTER(_xlpm.d,(_xlpm.f=_xlpm.k)*(_xlpm.g=0))))</f>
        <v>0.95365548385875676</v>
      </c>
      <c r="N42" s="2" cm="1">
        <f t="array" ref="N42">_xlfn.LET(_xlpm.d,N$2:N$26,_xlpm.f,$A$2:$A$26,_xlpm.g,$B$2:$B$26,_xlpm.k,$C42,AVERAGE(_xlfn._xlws.FILTER(_xlpm.d,(_xlpm.f=_xlpm.k)*(_xlpm.g=0))))</f>
        <v>0.99088215982010519</v>
      </c>
      <c r="O42" s="2" cm="1">
        <f t="array" ref="O42">_xlfn.LET(_xlpm.d,O$2:O$26,_xlpm.f,$A$2:$A$26,_xlpm.g,$B$2:$B$26,_xlpm.k,$C42,AVERAGE(_xlfn._xlws.FILTER(_xlpm.d,(_xlpm.f=_xlpm.k)*(_xlpm.g=0))))</f>
        <v>0.98954158721046226</v>
      </c>
      <c r="P42" s="2" cm="1">
        <f t="array" ref="P42">_xlfn.LET(_xlpm.d,P$2:P$26,_xlpm.f,$A$2:$A$26,_xlpm.g,$B$2:$B$26,_xlpm.k,$C42,AVERAGE(_xlfn._xlws.FILTER(_xlpm.d,(_xlpm.f=_xlpm.k)*(_xlpm.g=0))))</f>
        <v>0.9785921996935637</v>
      </c>
      <c r="Q42" s="2" cm="1">
        <f t="array" ref="Q42">_xlfn.LET(_xlpm.d,Q$2:Q$26,_xlpm.f,$A$2:$A$26,_xlpm.g,$B$2:$B$26,_xlpm.k,$C42,AVERAGE(_xlfn._xlws.FILTER(_xlpm.d,(_xlpm.f=_xlpm.k)*(_xlpm.g=0))))</f>
        <v>0.98657282008299152</v>
      </c>
    </row>
  </sheetData>
  <conditionalFormatting sqref="D2:Q26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29:Q34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7:Q37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8:Q42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19F3-A1F3-1D43-8E6F-CE5C22F386FC}">
  <dimension ref="A1:R52"/>
  <sheetViews>
    <sheetView workbookViewId="0">
      <pane xSplit="9080" ySplit="3520" topLeftCell="A22" activePane="bottomRight"/>
      <selection sqref="A1:XFD1048576"/>
      <selection pane="topRight" activeCell="P2" sqref="P2:P36"/>
      <selection pane="bottomLeft" activeCell="A25" sqref="A16:XFD25"/>
      <selection pane="bottomRight" activeCell="L44" sqref="L44"/>
    </sheetView>
  </sheetViews>
  <sheetFormatPr baseColWidth="10" defaultRowHeight="30" customHeight="1"/>
  <cols>
    <col min="1" max="1" width="10.375" customWidth="1"/>
    <col min="2" max="2" width="7.125" customWidth="1"/>
    <col min="3" max="3" width="12.5" customWidth="1"/>
    <col min="4" max="17" width="6.875" customWidth="1"/>
  </cols>
  <sheetData>
    <row r="1" spans="1:18" ht="30" customHeight="1">
      <c r="A1" t="s">
        <v>37</v>
      </c>
      <c r="B1" t="s">
        <v>38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48</v>
      </c>
      <c r="M1" t="s">
        <v>9</v>
      </c>
      <c r="N1" t="s">
        <v>49</v>
      </c>
      <c r="O1" t="s">
        <v>50</v>
      </c>
      <c r="P1" t="s">
        <v>10</v>
      </c>
      <c r="Q1" t="s">
        <v>47</v>
      </c>
      <c r="R1" t="s">
        <v>36</v>
      </c>
    </row>
    <row r="2" spans="1:18" ht="30" customHeight="1">
      <c r="A2" t="str">
        <f>_xlfn.LET(_xlpm.c,_xlfn.SINGLE(Table13[condition]),_xlfn.TEXTBEFORE(_xlpm.c,"-"))</f>
        <v>arabic</v>
      </c>
      <c r="B2">
        <f>_xlfn.LET(_xlpm.c,_xlfn.SINGLE(Table13[condition]),IF(RIGHT(_xlpm.c,2)="1g",1,0))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>_xlfn.LET(_xlpm.d,$D2:$P2,AVERAGE(_xlpm.d))</f>
        <v>1</v>
      </c>
      <c r="R2" s="1"/>
    </row>
    <row r="3" spans="1:18" ht="30" customHeight="1">
      <c r="A3" t="str">
        <f>_xlfn.LET(_xlpm.c,_xlfn.SINGLE(Table13[condition]),_xlfn.TEXTBEFORE(_xlpm.c,"-"))</f>
        <v>arabic</v>
      </c>
      <c r="B3">
        <f>_xlfn.LET(_xlpm.c,_xlfn.SINGLE(Table13[condition]),IF(RIGHT(_xlpm.c,2)="1g",1,0))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>_xlfn.LET(_xlpm.d,$D3:$P3,AVERAGE(_xlpm.d))</f>
        <v>1</v>
      </c>
      <c r="R3" s="1"/>
    </row>
    <row r="4" spans="1:18" ht="30" customHeight="1">
      <c r="A4" t="str">
        <f>_xlfn.LET(_xlpm.c,_xlfn.SINGLE(Table13[condition]),_xlfn.TEXTBEFORE(_xlpm.c,"-"))</f>
        <v>arabic</v>
      </c>
      <c r="B4">
        <f>_xlfn.LET(_xlpm.c,_xlfn.SINGLE(Table13[condition]),IF(RIGHT(_xlpm.c,2)="1g",1,0))</f>
        <v>0</v>
      </c>
      <c r="C4" t="s">
        <v>13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f>_xlfn.LET(_xlpm.d,$D4:$P4,AVERAGE(_xlpm.d))</f>
        <v>1</v>
      </c>
      <c r="R4" s="1"/>
    </row>
    <row r="5" spans="1:18" ht="30" customHeight="1">
      <c r="A5" t="str">
        <f>_xlfn.LET(_xlpm.c,_xlfn.SINGLE(Table13[condition]),_xlfn.TEXTBEFORE(_xlpm.c,"-"))</f>
        <v>arabic</v>
      </c>
      <c r="B5">
        <f>_xlfn.LET(_xlpm.c,_xlfn.SINGLE(Table13[condition]),IF(RIGHT(_xlpm.c,2)="1g",1,0))</f>
        <v>0</v>
      </c>
      <c r="C5" t="s">
        <v>14</v>
      </c>
      <c r="D5" s="1">
        <v>1</v>
      </c>
      <c r="E5" s="1">
        <v>1</v>
      </c>
      <c r="F5" s="1">
        <v>1</v>
      </c>
      <c r="G5" s="1">
        <v>0.96533476580987299</v>
      </c>
      <c r="H5" s="1">
        <v>1</v>
      </c>
      <c r="I5" s="1">
        <v>0.98952870601599496</v>
      </c>
      <c r="J5" s="1">
        <v>0.97878459434825205</v>
      </c>
      <c r="K5" s="1">
        <v>1</v>
      </c>
      <c r="L5" s="1">
        <v>0.95803988996929801</v>
      </c>
      <c r="M5" s="1">
        <v>0.82890469519571996</v>
      </c>
      <c r="N5" s="1">
        <v>0.883310085010519</v>
      </c>
      <c r="O5" s="1">
        <v>0.99507197764451805</v>
      </c>
      <c r="P5" s="1">
        <v>0.99091772609528594</v>
      </c>
      <c r="Q5" s="1">
        <f>_xlfn.LET(_xlpm.d,$D5:$P5,AVERAGE(_xlpm.d))</f>
        <v>0.96845326462226622</v>
      </c>
      <c r="R5" s="1"/>
    </row>
    <row r="6" spans="1:18" ht="30" customHeight="1">
      <c r="A6" t="str">
        <f>_xlfn.LET(_xlpm.c,_xlfn.SINGLE(Table13[condition]),_xlfn.TEXTBEFORE(_xlpm.c,"-"))</f>
        <v>arabic</v>
      </c>
      <c r="B6">
        <f>_xlfn.LET(_xlpm.c,_xlfn.SINGLE(Table13[condition]),IF(RIGHT(_xlpm.c,2)="1g",1,0))</f>
        <v>0</v>
      </c>
      <c r="C6" t="s">
        <v>15</v>
      </c>
      <c r="D6" s="1">
        <v>0.99579348782358801</v>
      </c>
      <c r="E6" s="1">
        <v>0.99594769465612698</v>
      </c>
      <c r="F6" s="1">
        <v>1</v>
      </c>
      <c r="G6" s="1">
        <v>0.95581170818918804</v>
      </c>
      <c r="H6" s="1">
        <v>0.98760377105832098</v>
      </c>
      <c r="I6" s="1">
        <v>0.98807549494181401</v>
      </c>
      <c r="J6" s="1">
        <v>0.96674153151572395</v>
      </c>
      <c r="K6" s="1">
        <v>0.95947569433902002</v>
      </c>
      <c r="L6" s="1">
        <v>0.95384516139281805</v>
      </c>
      <c r="M6" s="1">
        <v>0.89550974044587495</v>
      </c>
      <c r="N6" s="1">
        <v>0.85045810831122404</v>
      </c>
      <c r="O6" s="1">
        <v>1</v>
      </c>
      <c r="P6" s="1">
        <v>0.80136843609756703</v>
      </c>
      <c r="Q6" s="1">
        <f>_xlfn.LET(_xlpm.d,$D6:$P6,AVERAGE(_xlpm.d))</f>
        <v>0.95004852529009731</v>
      </c>
      <c r="R6" s="1"/>
    </row>
    <row r="7" spans="1:18" ht="30" customHeight="1">
      <c r="A7" t="str">
        <f>_xlfn.LET(_xlpm.c,_xlfn.SINGLE(Table13[condition]),_xlfn.TEXTBEFORE(_xlpm.c,"-"))</f>
        <v>arabic</v>
      </c>
      <c r="B7">
        <f>_xlfn.LET(_xlpm.c,_xlfn.SINGLE(Table13[condition]),IF(RIGHT(_xlpm.c,2)="1g",1,0))</f>
        <v>0</v>
      </c>
      <c r="C7" t="s">
        <v>51</v>
      </c>
      <c r="D7" s="1">
        <v>1</v>
      </c>
      <c r="E7" s="1">
        <v>1</v>
      </c>
      <c r="F7" s="1">
        <v>0.99733191607531302</v>
      </c>
      <c r="G7" s="1">
        <v>0.97255954044224002</v>
      </c>
      <c r="H7" s="1">
        <v>1</v>
      </c>
      <c r="I7" s="1">
        <v>0.97048134480010695</v>
      </c>
      <c r="J7" s="1">
        <v>0.98407865894419799</v>
      </c>
      <c r="K7" s="1">
        <v>0.877112668290709</v>
      </c>
      <c r="L7" s="1">
        <v>0.94867922315315201</v>
      </c>
      <c r="M7" s="1">
        <v>0.94279435362844599</v>
      </c>
      <c r="N7" s="1">
        <v>1</v>
      </c>
      <c r="O7" s="1">
        <v>0.85526893975715201</v>
      </c>
      <c r="P7" s="1">
        <v>0.88399208456962797</v>
      </c>
      <c r="Q7" s="1">
        <f>_xlfn.LET(_xlpm.d,$D7:$P7,AVERAGE(_xlpm.d))</f>
        <v>0.9563306715123806</v>
      </c>
      <c r="R7" s="1"/>
    </row>
    <row r="8" spans="1:18" ht="30" customHeight="1">
      <c r="A8" t="str">
        <f>_xlfn.LET(_xlpm.c,_xlfn.SINGLE(Table13[condition]),_xlfn.TEXTBEFORE(_xlpm.c,"-"))</f>
        <v>arabic</v>
      </c>
      <c r="B8">
        <f>_xlfn.LET(_xlpm.c,_xlfn.SINGLE(Table13[condition]),IF(RIGHT(_xlpm.c,2)="1g",1,0))</f>
        <v>0</v>
      </c>
      <c r="C8" t="s">
        <v>52</v>
      </c>
      <c r="D8" s="1">
        <v>0.93999110174262601</v>
      </c>
      <c r="E8" s="1">
        <v>0.99633424027371997</v>
      </c>
      <c r="F8" s="1">
        <v>1</v>
      </c>
      <c r="G8" s="1">
        <v>0.96503826854917096</v>
      </c>
      <c r="H8" s="1">
        <v>0.99731090143447798</v>
      </c>
      <c r="I8" s="1">
        <v>0.90189018824135203</v>
      </c>
      <c r="J8" s="1">
        <v>0.74053327280521697</v>
      </c>
      <c r="K8" s="1">
        <v>0.85654075223300896</v>
      </c>
      <c r="L8" s="1">
        <v>0.86596030618424102</v>
      </c>
      <c r="M8" s="1">
        <v>0.85263526087165997</v>
      </c>
      <c r="N8" s="1">
        <v>0.83811072066285197</v>
      </c>
      <c r="O8" s="1">
        <v>0.84132121943219096</v>
      </c>
      <c r="P8" s="1">
        <v>0.87886331502450099</v>
      </c>
      <c r="Q8" s="1">
        <f>_xlfn.LET(_xlpm.d,$D8:$P8,AVERAGE(_xlpm.d))</f>
        <v>0.89804073441961674</v>
      </c>
      <c r="R8" s="1"/>
    </row>
    <row r="9" spans="1:18" ht="30" customHeight="1">
      <c r="A9" t="str">
        <f>_xlfn.LET(_xlpm.c,_xlfn.SINGLE(Table13[condition]),_xlfn.TEXTBEFORE(_xlpm.c,"-"))</f>
        <v>english</v>
      </c>
      <c r="B9">
        <f>_xlfn.LET(_xlpm.c,_xlfn.SINGLE(Table13[condition]),IF(RIGHT(_xlpm.c,2)="1g",1,0))</f>
        <v>1</v>
      </c>
      <c r="C9" t="s">
        <v>16</v>
      </c>
      <c r="D9" s="1">
        <v>1</v>
      </c>
      <c r="E9" s="1">
        <v>0.772745196031423</v>
      </c>
      <c r="F9" s="1">
        <v>0.88154558606042899</v>
      </c>
      <c r="G9" s="1">
        <v>0.87170671353458695</v>
      </c>
      <c r="H9" s="1">
        <v>0.64802686004072596</v>
      </c>
      <c r="I9" s="1">
        <v>0.72043580765688398</v>
      </c>
      <c r="J9" s="1">
        <v>0.63116642641506804</v>
      </c>
      <c r="K9" s="1">
        <v>0.58654410809528601</v>
      </c>
      <c r="L9" s="1">
        <v>0.72885045833061501</v>
      </c>
      <c r="M9" s="1">
        <v>0.63546226458863897</v>
      </c>
      <c r="N9" s="1">
        <v>0.45266146765563903</v>
      </c>
      <c r="O9" s="1">
        <v>0.70598824780997305</v>
      </c>
      <c r="P9" s="1">
        <v>0.48265438720373599</v>
      </c>
      <c r="Q9" s="1">
        <f>_xlfn.LET(_xlpm.d,$D9:$P9,AVERAGE(_xlpm.d))</f>
        <v>0.70136827103253863</v>
      </c>
      <c r="R9" s="1"/>
    </row>
    <row r="10" spans="1:18" ht="30" customHeight="1">
      <c r="A10" t="str">
        <f>_xlfn.LET(_xlpm.c,_xlfn.SINGLE(Table13[condition]),_xlfn.TEXTBEFORE(_xlpm.c,"-"))</f>
        <v>english</v>
      </c>
      <c r="B10">
        <f>_xlfn.LET(_xlpm.c,_xlfn.SINGLE(Table13[condition]),IF(RIGHT(_xlpm.c,2)="1g",1,0))</f>
        <v>0</v>
      </c>
      <c r="C10" t="s">
        <v>17</v>
      </c>
      <c r="D10" s="1">
        <v>0.52184300366376202</v>
      </c>
      <c r="E10" s="1">
        <v>0.44621398977788401</v>
      </c>
      <c r="F10" s="1">
        <v>0.54286865845232601</v>
      </c>
      <c r="G10" s="1">
        <v>0.64596569414698202</v>
      </c>
      <c r="H10" s="1">
        <v>0.40873994896152399</v>
      </c>
      <c r="I10" s="1">
        <v>0.50655705168004095</v>
      </c>
      <c r="J10" s="1">
        <v>0.39350197762057298</v>
      </c>
      <c r="K10" s="1">
        <v>0.465453042959935</v>
      </c>
      <c r="L10" s="1">
        <v>0.55392173450287796</v>
      </c>
      <c r="M10" s="1">
        <v>0.53369701167828298</v>
      </c>
      <c r="N10" s="1">
        <v>0.39238886113951799</v>
      </c>
      <c r="O10" s="1">
        <v>0.35317239059986499</v>
      </c>
      <c r="P10" s="1">
        <v>0.46847344001430402</v>
      </c>
      <c r="Q10" s="1">
        <f>_xlfn.LET(_xlpm.d,$D10:$P10,AVERAGE(_xlpm.d))</f>
        <v>0.47944590809214421</v>
      </c>
      <c r="R10" s="1"/>
    </row>
    <row r="11" spans="1:18" ht="30" customHeight="1">
      <c r="A11" t="str">
        <f>_xlfn.LET(_xlpm.c,_xlfn.SINGLE(Table13[condition]),_xlfn.TEXTBEFORE(_xlpm.c,"-"))</f>
        <v>english</v>
      </c>
      <c r="B11">
        <f>_xlfn.LET(_xlpm.c,_xlfn.SINGLE(Table13[condition]),IF(RIGHT(_xlpm.c,2)="1g",1,0))</f>
        <v>0</v>
      </c>
      <c r="C11" t="s">
        <v>18</v>
      </c>
      <c r="D11" s="1">
        <v>0.63252232450323698</v>
      </c>
      <c r="E11" s="1">
        <v>0.58909805820911298</v>
      </c>
      <c r="F11" s="1">
        <v>0.56493000249887804</v>
      </c>
      <c r="G11" s="1">
        <v>0.55454773911989097</v>
      </c>
      <c r="H11" s="1">
        <v>0.56805948969841502</v>
      </c>
      <c r="I11" s="1">
        <v>0.63695390330210599</v>
      </c>
      <c r="J11" s="1">
        <v>0.479940715504305</v>
      </c>
      <c r="K11" s="1">
        <v>0.61669728762290499</v>
      </c>
      <c r="L11" s="1">
        <v>0.47261917262196501</v>
      </c>
      <c r="M11" s="1">
        <v>0.275265774243308</v>
      </c>
      <c r="N11" s="1">
        <v>0.61091441825717296</v>
      </c>
      <c r="O11" s="1">
        <v>0.34826806960281298</v>
      </c>
      <c r="P11" s="1">
        <v>0.55542319129816298</v>
      </c>
      <c r="Q11" s="1">
        <f>_xlfn.LET(_xlpm.d,$D11:$P11,AVERAGE(_xlpm.d))</f>
        <v>0.53117231896017481</v>
      </c>
      <c r="R11" s="1"/>
    </row>
    <row r="12" spans="1:18" ht="30" customHeight="1">
      <c r="A12" t="str">
        <f>_xlfn.LET(_xlpm.c,_xlfn.SINGLE(Table13[condition]),_xlfn.TEXTBEFORE(_xlpm.c,"-"))</f>
        <v>english</v>
      </c>
      <c r="B12">
        <f>_xlfn.LET(_xlpm.c,_xlfn.SINGLE(Table13[condition]),IF(RIGHT(_xlpm.c,2)="1g",1,0))</f>
        <v>0</v>
      </c>
      <c r="C12" t="s">
        <v>19</v>
      </c>
      <c r="D12" s="1">
        <v>0.71222749583973399</v>
      </c>
      <c r="E12" s="1">
        <v>0.63376147142191896</v>
      </c>
      <c r="F12" s="1">
        <v>0.93623343716204799</v>
      </c>
      <c r="G12" s="1">
        <v>0.70418929504141903</v>
      </c>
      <c r="H12" s="1">
        <v>0.60868411224403396</v>
      </c>
      <c r="I12" s="1">
        <v>0.80548391417170495</v>
      </c>
      <c r="J12" s="1">
        <v>0.61356308696753104</v>
      </c>
      <c r="K12" s="1">
        <v>0.65832418425629902</v>
      </c>
      <c r="L12" s="1">
        <v>0.50518484768468497</v>
      </c>
      <c r="M12" s="1">
        <v>0.65755483826496197</v>
      </c>
      <c r="N12" s="1">
        <v>0.61300093762318897</v>
      </c>
      <c r="O12" s="1">
        <v>0.718076812518329</v>
      </c>
      <c r="P12" s="1">
        <v>0.53213995158604599</v>
      </c>
      <c r="Q12" s="1">
        <f>_xlfn.LET(_xlpm.d,$D12:$P12,AVERAGE(_xlpm.d))</f>
        <v>0.6691095680601461</v>
      </c>
      <c r="R12" s="1"/>
    </row>
    <row r="13" spans="1:18" ht="30" customHeight="1">
      <c r="A13" t="str">
        <f>_xlfn.LET(_xlpm.c,_xlfn.SINGLE(Table13[condition]),_xlfn.TEXTBEFORE(_xlpm.c,"-"))</f>
        <v>english</v>
      </c>
      <c r="B13">
        <f>_xlfn.LET(_xlpm.c,_xlfn.SINGLE(Table13[condition]),IF(RIGHT(_xlpm.c,2)="1g",1,0))</f>
        <v>0</v>
      </c>
      <c r="C13" t="s">
        <v>20</v>
      </c>
      <c r="D13" s="1">
        <v>0.74350770982373404</v>
      </c>
      <c r="E13" s="1">
        <v>0.59760494663351704</v>
      </c>
      <c r="F13" s="1">
        <v>0.49043342119820499</v>
      </c>
      <c r="G13" s="1">
        <v>0.603877390392068</v>
      </c>
      <c r="H13" s="1">
        <v>0.453008645692353</v>
      </c>
      <c r="I13" s="1">
        <v>0.55896894762792504</v>
      </c>
      <c r="J13" s="1">
        <v>0.65411963245207305</v>
      </c>
      <c r="K13" s="1">
        <v>0.554343788082858</v>
      </c>
      <c r="L13" s="1">
        <v>0.59867589064568905</v>
      </c>
      <c r="M13" s="1">
        <v>0.63759454513072999</v>
      </c>
      <c r="N13" s="1">
        <v>0.41037807331838699</v>
      </c>
      <c r="O13" s="1">
        <v>0.36783896322209297</v>
      </c>
      <c r="P13" s="1">
        <v>0.66351465023579104</v>
      </c>
      <c r="Q13" s="1">
        <f>_xlfn.LET(_xlpm.d,$D13:$P13,AVERAGE(_xlpm.d))</f>
        <v>0.56414358495810935</v>
      </c>
      <c r="R13" s="1"/>
    </row>
    <row r="14" spans="1:18" ht="30" customHeight="1">
      <c r="A14" t="str">
        <f>_xlfn.LET(_xlpm.c,_xlfn.SINGLE(Table13[condition]),_xlfn.TEXTBEFORE(_xlpm.c,"-"))</f>
        <v>english</v>
      </c>
      <c r="B14">
        <f>_xlfn.LET(_xlpm.c,_xlfn.SINGLE(Table13[condition]),IF(RIGHT(_xlpm.c,2)="1g",1,0))</f>
        <v>0</v>
      </c>
      <c r="C14" t="s">
        <v>53</v>
      </c>
      <c r="D14" s="1">
        <v>0.78710028631690399</v>
      </c>
      <c r="E14" s="1">
        <v>0.70170722994207102</v>
      </c>
      <c r="F14" s="1">
        <v>0.70635089278305196</v>
      </c>
      <c r="G14" s="1">
        <v>0.46019662188462901</v>
      </c>
      <c r="H14" s="1">
        <v>0.69753799765649505</v>
      </c>
      <c r="I14" s="1">
        <v>0.481368048532194</v>
      </c>
      <c r="J14" s="1">
        <v>0.66651301690194098</v>
      </c>
      <c r="K14" s="1">
        <v>0.61721486372063294</v>
      </c>
      <c r="L14" s="1">
        <v>0.60542630565703304</v>
      </c>
      <c r="M14" s="1">
        <v>0.49322803265986598</v>
      </c>
      <c r="N14" s="1">
        <v>0.54852951195355804</v>
      </c>
      <c r="O14" s="1">
        <v>0.58664666539110999</v>
      </c>
      <c r="P14" s="1">
        <v>0.51649540686079098</v>
      </c>
      <c r="Q14" s="1">
        <f>_xlfn.LET(_xlpm.d,$D14:$P14,AVERAGE(_xlpm.d))</f>
        <v>0.60525499078925216</v>
      </c>
      <c r="R14" s="1"/>
    </row>
    <row r="15" spans="1:18" ht="30" customHeight="1">
      <c r="A15" t="str">
        <f>_xlfn.LET(_xlpm.c,_xlfn.SINGLE(Table13[condition]),_xlfn.TEXTBEFORE(_xlpm.c,"-"))</f>
        <v>english</v>
      </c>
      <c r="B15">
        <f>_xlfn.LET(_xlpm.c,_xlfn.SINGLE(Table13[condition]),IF(RIGHT(_xlpm.c,2)="1g",1,0))</f>
        <v>0</v>
      </c>
      <c r="C15" t="s">
        <v>54</v>
      </c>
      <c r="D15" s="1">
        <v>0.64453511356061</v>
      </c>
      <c r="E15" s="1">
        <v>0.65847956921772899</v>
      </c>
      <c r="F15" s="1">
        <v>0.62262128689216301</v>
      </c>
      <c r="G15" s="1">
        <v>0.67579541547922595</v>
      </c>
      <c r="H15" s="1">
        <v>0.35072753776455801</v>
      </c>
      <c r="I15" s="1">
        <v>0.589733907241897</v>
      </c>
      <c r="J15" s="1">
        <v>0.44605161262991799</v>
      </c>
      <c r="K15" s="1">
        <v>0.37517271720831802</v>
      </c>
      <c r="L15" s="1">
        <v>0.59915507809066904</v>
      </c>
      <c r="M15" s="1">
        <v>0.60930268795905596</v>
      </c>
      <c r="N15" s="1">
        <v>0.435470901745456</v>
      </c>
      <c r="O15" s="1">
        <v>0.391124761415099</v>
      </c>
      <c r="P15" s="1">
        <v>0.33795686328341401</v>
      </c>
      <c r="Q15" s="1">
        <f>_xlfn.LET(_xlpm.d,$D15:$P15,AVERAGE(_xlpm.d))</f>
        <v>0.51816365019139332</v>
      </c>
      <c r="R15" s="1"/>
    </row>
    <row r="16" spans="1:18" ht="30" customHeight="1">
      <c r="A16" t="str">
        <f>_xlfn.LET(_xlpm.c,_xlfn.SINGLE(Table13[condition]),_xlfn.TEXTBEFORE(_xlpm.c,"-"))</f>
        <v>french</v>
      </c>
      <c r="B16">
        <f>_xlfn.LET(_xlpm.c,_xlfn.SINGLE(Table13[condition]),IF(RIGHT(_xlpm.c,2)="1g",1,0))</f>
        <v>1</v>
      </c>
      <c r="C16" t="s">
        <v>21</v>
      </c>
      <c r="D16" s="1">
        <v>1</v>
      </c>
      <c r="E16" s="1">
        <v>0.93609579370377105</v>
      </c>
      <c r="F16" s="1">
        <v>0.81716267408352705</v>
      </c>
      <c r="G16" s="1">
        <v>0.845995150405639</v>
      </c>
      <c r="H16" s="1">
        <v>0.79283333124295496</v>
      </c>
      <c r="I16" s="1">
        <v>0.70915325391995498</v>
      </c>
      <c r="J16" s="1">
        <v>0.69085802914892702</v>
      </c>
      <c r="K16" s="1">
        <v>0.46978424191355</v>
      </c>
      <c r="L16" s="1">
        <v>0.67689306112113701</v>
      </c>
      <c r="M16" s="1">
        <v>0.83176215461022196</v>
      </c>
      <c r="N16" s="1">
        <v>0.68785508261448602</v>
      </c>
      <c r="O16" s="1">
        <v>0.89336284679880695</v>
      </c>
      <c r="P16" s="1">
        <v>0.97603108566307795</v>
      </c>
      <c r="Q16" s="1">
        <f t="shared" ref="Q16:Q25" si="0">_xlfn.LET(_xlpm.d,$D16:$P16,AVERAGE(_xlpm.d))</f>
        <v>0.79444513117123483</v>
      </c>
      <c r="R16" s="1"/>
    </row>
    <row r="17" spans="1:18" ht="30" customHeight="1">
      <c r="A17" t="str">
        <f>_xlfn.LET(_xlpm.c,_xlfn.SINGLE(Table13[condition]),_xlfn.TEXTBEFORE(_xlpm.c,"-"))</f>
        <v>french</v>
      </c>
      <c r="B17">
        <f>_xlfn.LET(_xlpm.c,_xlfn.SINGLE(Table13[condition]),IF(RIGHT(_xlpm.c,2)="1g",1,0))</f>
        <v>0</v>
      </c>
      <c r="C17" t="s">
        <v>22</v>
      </c>
      <c r="D17" s="1">
        <v>0.51307434020656195</v>
      </c>
      <c r="E17" s="1">
        <v>0.54166608066320598</v>
      </c>
      <c r="F17" s="1">
        <v>0.57405957226971105</v>
      </c>
      <c r="G17" s="1">
        <v>0.35911217874864099</v>
      </c>
      <c r="H17" s="1">
        <v>0.65518495412153399</v>
      </c>
      <c r="I17" s="1">
        <v>0.603523974814547</v>
      </c>
      <c r="J17" s="1">
        <v>0.36611585151826098</v>
      </c>
      <c r="K17" s="1">
        <v>0.62571125339144096</v>
      </c>
      <c r="L17" s="1">
        <v>0.53662080515922905</v>
      </c>
      <c r="M17" s="1">
        <v>0.39827079442173602</v>
      </c>
      <c r="N17" s="1">
        <v>0.62127383282592297</v>
      </c>
      <c r="O17" s="1">
        <v>0.36967226866994701</v>
      </c>
      <c r="P17" s="1">
        <v>0.672351364348028</v>
      </c>
      <c r="Q17" s="1">
        <f t="shared" si="0"/>
        <v>0.52589517470452052</v>
      </c>
      <c r="R17" s="1"/>
    </row>
    <row r="18" spans="1:18" ht="30" customHeight="1">
      <c r="A18" t="str">
        <f>_xlfn.LET(_xlpm.c,_xlfn.SINGLE(Table13[condition]),_xlfn.TEXTBEFORE(_xlpm.c,"-"))</f>
        <v>french</v>
      </c>
      <c r="B18">
        <f>_xlfn.LET(_xlpm.c,_xlfn.SINGLE(Table13[condition]),IF(RIGHT(_xlpm.c,2)="1g",1,0))</f>
        <v>0</v>
      </c>
      <c r="C18" t="s">
        <v>23</v>
      </c>
      <c r="D18" s="1">
        <v>0.60567243111909297</v>
      </c>
      <c r="E18" s="1">
        <v>0.60940027137284702</v>
      </c>
      <c r="F18" s="1">
        <v>0.46253947490973102</v>
      </c>
      <c r="G18" s="1">
        <v>0.61605971351091404</v>
      </c>
      <c r="H18" s="1">
        <v>0.415203701293553</v>
      </c>
      <c r="I18" s="1">
        <v>0.59423752207194502</v>
      </c>
      <c r="J18" s="1">
        <v>0.53523003503031796</v>
      </c>
      <c r="K18" s="1">
        <v>0.76590539202726704</v>
      </c>
      <c r="L18" s="1">
        <v>0.44762474141161601</v>
      </c>
      <c r="M18" s="1">
        <v>0.47958437464715598</v>
      </c>
      <c r="N18" s="1">
        <v>0.47976703412949701</v>
      </c>
      <c r="O18" s="1">
        <v>0.84552833131542104</v>
      </c>
      <c r="P18" s="1">
        <v>0.44005373942998299</v>
      </c>
      <c r="Q18" s="1">
        <f t="shared" si="0"/>
        <v>0.5612928278668724</v>
      </c>
      <c r="R18" s="1"/>
    </row>
    <row r="19" spans="1:18" ht="30" customHeight="1">
      <c r="A19" t="str">
        <f>_xlfn.LET(_xlpm.c,_xlfn.SINGLE(Table13[condition]),_xlfn.TEXTBEFORE(_xlpm.c,"-"))</f>
        <v>french</v>
      </c>
      <c r="B19">
        <f>_xlfn.LET(_xlpm.c,_xlfn.SINGLE(Table13[condition]),IF(RIGHT(_xlpm.c,2)="1g",1,0))</f>
        <v>0</v>
      </c>
      <c r="C19" t="s">
        <v>24</v>
      </c>
      <c r="D19" s="1">
        <v>0.85424928260592203</v>
      </c>
      <c r="E19" s="1">
        <v>0.86618162384946296</v>
      </c>
      <c r="F19" s="1">
        <v>0.64802842250439396</v>
      </c>
      <c r="G19" s="1">
        <v>0.70806643304322203</v>
      </c>
      <c r="H19" s="1">
        <v>0.66619101999302399</v>
      </c>
      <c r="I19" s="1">
        <v>0.60980744086899497</v>
      </c>
      <c r="J19" s="1">
        <v>0.73455595439243004</v>
      </c>
      <c r="K19" s="1">
        <v>0.54861118154210797</v>
      </c>
      <c r="L19" s="1">
        <v>0.42749640142399697</v>
      </c>
      <c r="M19" s="1">
        <v>0.68619558868242803</v>
      </c>
      <c r="N19" s="1">
        <v>0.52762339039047601</v>
      </c>
      <c r="O19" s="1">
        <v>0.57916051065032603</v>
      </c>
      <c r="P19" s="1">
        <v>0.47291780491961999</v>
      </c>
      <c r="Q19" s="1">
        <f t="shared" si="0"/>
        <v>0.64069885037433894</v>
      </c>
      <c r="R19" s="1"/>
    </row>
    <row r="20" spans="1:18" ht="30" customHeight="1">
      <c r="A20" t="str">
        <f>_xlfn.LET(_xlpm.c,_xlfn.SINGLE(Table13[condition]),_xlfn.TEXTBEFORE(_xlpm.c,"-"))</f>
        <v>french</v>
      </c>
      <c r="B20">
        <f>_xlfn.LET(_xlpm.c,_xlfn.SINGLE(Table13[condition]),IF(RIGHT(_xlpm.c,2)="1g",1,0))</f>
        <v>0</v>
      </c>
      <c r="C20" t="s">
        <v>25</v>
      </c>
      <c r="D20" s="1">
        <v>0.64299765792114005</v>
      </c>
      <c r="E20" s="1">
        <v>0.46239759434567501</v>
      </c>
      <c r="F20" s="1">
        <v>0.644706147954624</v>
      </c>
      <c r="G20" s="1">
        <v>0.61447119594234301</v>
      </c>
      <c r="H20" s="1">
        <v>0.62137253894408895</v>
      </c>
      <c r="I20" s="1">
        <v>0.56803885609041505</v>
      </c>
      <c r="J20" s="1">
        <v>0.57522302202966002</v>
      </c>
      <c r="K20" s="1">
        <v>0.64872313627757405</v>
      </c>
      <c r="L20" s="1">
        <v>0.62186714966393597</v>
      </c>
      <c r="M20" s="1">
        <v>0.69499501561419197</v>
      </c>
      <c r="N20" s="1">
        <v>0.46173475705860301</v>
      </c>
      <c r="O20" s="1">
        <v>0.53939425097258997</v>
      </c>
      <c r="P20" s="1">
        <v>0.48394509409301201</v>
      </c>
      <c r="Q20" s="1">
        <f t="shared" si="0"/>
        <v>0.58306664745445036</v>
      </c>
      <c r="R20" s="1"/>
    </row>
    <row r="21" spans="1:18" ht="30" customHeight="1">
      <c r="A21" t="str">
        <f>_xlfn.LET(_xlpm.c,_xlfn.SINGLE(Table13[condition]),_xlfn.TEXTBEFORE(_xlpm.c,"-"))</f>
        <v>french</v>
      </c>
      <c r="B21">
        <f>_xlfn.LET(_xlpm.c,_xlfn.SINGLE(Table13[condition]),IF(RIGHT(_xlpm.c,2)="1g",1,0))</f>
        <v>0</v>
      </c>
      <c r="C21" t="s">
        <v>55</v>
      </c>
      <c r="D21" s="1">
        <v>0.83513479661523105</v>
      </c>
      <c r="E21" s="1">
        <v>0.64395944604106503</v>
      </c>
      <c r="F21" s="1">
        <v>0.75122393985019298</v>
      </c>
      <c r="G21" s="1">
        <v>0.74613961091466197</v>
      </c>
      <c r="H21" s="1">
        <v>0.69028638783780405</v>
      </c>
      <c r="I21" s="1">
        <v>0.57976863838699499</v>
      </c>
      <c r="J21" s="1">
        <v>0.55634339370456898</v>
      </c>
      <c r="K21" s="1">
        <v>0.56657961630060605</v>
      </c>
      <c r="L21" s="1">
        <v>0.62237271899683899</v>
      </c>
      <c r="M21" s="1">
        <v>0.64834357899793904</v>
      </c>
      <c r="N21" s="1">
        <v>0.69407426244723003</v>
      </c>
      <c r="O21" s="1">
        <v>0.40241642643498399</v>
      </c>
      <c r="P21" s="1">
        <v>0.494085904187958</v>
      </c>
      <c r="Q21" s="1">
        <f t="shared" si="0"/>
        <v>0.6331329785166212</v>
      </c>
      <c r="R21" s="1"/>
    </row>
    <row r="22" spans="1:18" ht="30" customHeight="1">
      <c r="A22" t="str">
        <f>_xlfn.LET(_xlpm.c,_xlfn.SINGLE(Table13[condition]),_xlfn.TEXTBEFORE(_xlpm.c,"-"))</f>
        <v>french</v>
      </c>
      <c r="B22">
        <f>_xlfn.LET(_xlpm.c,_xlfn.SINGLE(Table13[condition]),IF(RIGHT(_xlpm.c,2)="1g",1,0))</f>
        <v>0</v>
      </c>
      <c r="C22" t="s">
        <v>56</v>
      </c>
      <c r="D22" s="1">
        <v>0.76146976339823702</v>
      </c>
      <c r="E22" s="1">
        <v>0.69989792483637903</v>
      </c>
      <c r="F22" s="1">
        <v>0.78388021727337698</v>
      </c>
      <c r="G22" s="1">
        <v>0.520340009767985</v>
      </c>
      <c r="H22" s="1">
        <v>0.48244883318749998</v>
      </c>
      <c r="I22" s="1">
        <v>0.69992634684796295</v>
      </c>
      <c r="J22" s="1">
        <v>0.64720290210062303</v>
      </c>
      <c r="K22" s="1">
        <v>0.60756100584171002</v>
      </c>
      <c r="L22" s="1">
        <v>0.50523044096450398</v>
      </c>
      <c r="M22" s="1">
        <v>0.33729046999201401</v>
      </c>
      <c r="N22" s="1">
        <v>0.57233650157576599</v>
      </c>
      <c r="O22" s="1">
        <v>0.54819931248831899</v>
      </c>
      <c r="P22" s="1">
        <v>0.40379225752738401</v>
      </c>
      <c r="Q22" s="1">
        <f t="shared" si="0"/>
        <v>0.58227507583090465</v>
      </c>
      <c r="R22" s="1"/>
    </row>
    <row r="23" spans="1:18" ht="30" customHeight="1">
      <c r="A23" t="str">
        <f>_xlfn.LET(_xlpm.c,_xlfn.SINGLE(Table13[condition]),_xlfn.TEXTBEFORE(_xlpm.c,"-"))</f>
        <v>german</v>
      </c>
      <c r="B23">
        <f>_xlfn.LET(_xlpm.c,_xlfn.SINGLE(Table13[condition]),IF(RIGHT(_xlpm.c,2)="1g",1,0))</f>
        <v>1</v>
      </c>
      <c r="C23" t="s">
        <v>26</v>
      </c>
      <c r="D23" s="1">
        <v>1</v>
      </c>
      <c r="E23" s="1">
        <v>0.735225150703532</v>
      </c>
      <c r="F23" s="1">
        <v>0.84810670069819005</v>
      </c>
      <c r="G23" s="1">
        <v>0.89617109664848904</v>
      </c>
      <c r="H23" s="1">
        <v>0.71785431218182405</v>
      </c>
      <c r="I23" s="1">
        <v>0.61147167170766004</v>
      </c>
      <c r="J23" s="1">
        <v>0.66953229324158503</v>
      </c>
      <c r="K23" s="1">
        <v>0.66322014749441005</v>
      </c>
      <c r="L23" s="1">
        <v>0.692910306018936</v>
      </c>
      <c r="M23" s="1">
        <v>0.85662318887672295</v>
      </c>
      <c r="N23" s="1">
        <v>0.62543196422756697</v>
      </c>
      <c r="O23" s="1">
        <v>0.61659459761742397</v>
      </c>
      <c r="P23" s="1">
        <v>0.43736396911577002</v>
      </c>
      <c r="Q23" s="1">
        <f t="shared" si="0"/>
        <v>0.72080810757939306</v>
      </c>
      <c r="R23" s="1"/>
    </row>
    <row r="24" spans="1:18" ht="30" customHeight="1">
      <c r="A24" t="str">
        <f>_xlfn.LET(_xlpm.c,_xlfn.SINGLE(Table13[condition]),_xlfn.TEXTBEFORE(_xlpm.c,"-"))</f>
        <v>german</v>
      </c>
      <c r="B24">
        <f>_xlfn.LET(_xlpm.c,_xlfn.SINGLE(Table13[condition]),IF(RIGHT(_xlpm.c,2)="1g",1,0))</f>
        <v>0</v>
      </c>
      <c r="C24" t="s">
        <v>27</v>
      </c>
      <c r="D24" s="1">
        <v>0.81456065682512102</v>
      </c>
      <c r="E24" s="1">
        <v>0.64116837951257799</v>
      </c>
      <c r="F24" s="1">
        <v>0.67087151454903005</v>
      </c>
      <c r="G24" s="1">
        <v>0.583848778639113</v>
      </c>
      <c r="H24" s="1">
        <v>0.62364356294920198</v>
      </c>
      <c r="I24" s="1">
        <v>0.55608367453606</v>
      </c>
      <c r="J24" s="1">
        <v>0.60683538151002303</v>
      </c>
      <c r="K24" s="1">
        <v>0.55111119912204198</v>
      </c>
      <c r="L24" s="1">
        <v>0.73919470455631198</v>
      </c>
      <c r="M24" s="1">
        <v>0.41142760432736503</v>
      </c>
      <c r="N24" s="1">
        <v>0.69429271048074803</v>
      </c>
      <c r="O24" s="1">
        <v>0.62650026369179201</v>
      </c>
      <c r="P24" s="1">
        <v>0.69310807478644798</v>
      </c>
      <c r="Q24" s="1">
        <f t="shared" si="0"/>
        <v>0.63174203888352565</v>
      </c>
      <c r="R24" s="1"/>
    </row>
    <row r="25" spans="1:18" ht="30" customHeight="1">
      <c r="A25" t="str">
        <f>_xlfn.LET(_xlpm.c,_xlfn.SINGLE(Table13[condition]),_xlfn.TEXTBEFORE(_xlpm.c,"-"))</f>
        <v>german</v>
      </c>
      <c r="B25">
        <f>_xlfn.LET(_xlpm.c,_xlfn.SINGLE(Table13[condition]),IF(RIGHT(_xlpm.c,2)="1g",1,0))</f>
        <v>0</v>
      </c>
      <c r="C25" t="s">
        <v>28</v>
      </c>
      <c r="D25" s="1">
        <v>0.607362119714703</v>
      </c>
      <c r="E25" s="1">
        <v>0.63819649001457401</v>
      </c>
      <c r="F25" s="1">
        <v>0.65451226362265402</v>
      </c>
      <c r="G25" s="1">
        <v>0.66601534480689994</v>
      </c>
      <c r="H25" s="1">
        <v>0.64694883936800596</v>
      </c>
      <c r="I25" s="1">
        <v>0.68592312943526301</v>
      </c>
      <c r="J25" s="1">
        <v>0.632862600538042</v>
      </c>
      <c r="K25" s="1">
        <v>0.59883918524068203</v>
      </c>
      <c r="L25" s="1">
        <v>0.60466682525140103</v>
      </c>
      <c r="M25" s="1">
        <v>0.64548784698836803</v>
      </c>
      <c r="N25" s="1">
        <v>0.59869498350807904</v>
      </c>
      <c r="O25" s="1">
        <v>0.64787800457556599</v>
      </c>
      <c r="P25" s="1">
        <v>0.66182891395992405</v>
      </c>
      <c r="Q25" s="1">
        <f t="shared" si="0"/>
        <v>0.63763204207878155</v>
      </c>
      <c r="R25" s="1"/>
    </row>
    <row r="26" spans="1:18" ht="30" customHeight="1">
      <c r="A26" t="str">
        <f>_xlfn.LET(_xlpm.c,_xlfn.SINGLE(Table13[condition]),_xlfn.TEXTBEFORE(_xlpm.c,"-"))</f>
        <v>german</v>
      </c>
      <c r="B26">
        <f>_xlfn.LET(_xlpm.c,_xlfn.SINGLE(Table13[condition]),IF(RIGHT(_xlpm.c,2)="1g",1,0))</f>
        <v>0</v>
      </c>
      <c r="C26" t="s">
        <v>29</v>
      </c>
      <c r="D26" s="1">
        <v>0.73797565578199498</v>
      </c>
      <c r="E26" s="1">
        <v>0.76414779287323797</v>
      </c>
      <c r="F26" s="1">
        <v>0.60264790354212405</v>
      </c>
      <c r="G26" s="1">
        <v>0.82968560352340803</v>
      </c>
      <c r="H26" s="1">
        <v>0.70883674819595299</v>
      </c>
      <c r="I26" s="1">
        <v>0.74830051320745306</v>
      </c>
      <c r="J26" s="1">
        <v>0.71049585041799301</v>
      </c>
      <c r="K26" s="1">
        <v>0.473333138401273</v>
      </c>
      <c r="L26" s="1">
        <v>0.476969843625005</v>
      </c>
      <c r="M26" s="1">
        <v>0.680291570318447</v>
      </c>
      <c r="N26" s="1">
        <v>0.80678408210621999</v>
      </c>
      <c r="O26" s="1">
        <v>0.53591437191392299</v>
      </c>
      <c r="P26" s="1">
        <v>0.478650855299948</v>
      </c>
      <c r="Q26" s="1">
        <f>_xlfn.LET(_xlpm.d,$D26:$P26,AVERAGE(_xlpm.d))</f>
        <v>0.65800260993899851</v>
      </c>
      <c r="R26" s="1"/>
    </row>
    <row r="27" spans="1:18" ht="30" customHeight="1">
      <c r="A27" t="str">
        <f>_xlfn.LET(_xlpm.c,_xlfn.SINGLE(Table13[condition]),_xlfn.TEXTBEFORE(_xlpm.c,"-"))</f>
        <v>german</v>
      </c>
      <c r="B27">
        <f>_xlfn.LET(_xlpm.c,_xlfn.SINGLE(Table13[condition]),IF(RIGHT(_xlpm.c,2)="1g",1,0))</f>
        <v>0</v>
      </c>
      <c r="C27" t="s">
        <v>30</v>
      </c>
      <c r="D27" s="1">
        <v>0.78900447959654096</v>
      </c>
      <c r="E27" s="1">
        <v>0.62961242898330305</v>
      </c>
      <c r="F27" s="1">
        <v>0.82890469519571996</v>
      </c>
      <c r="G27" s="1">
        <v>0.68681118336215996</v>
      </c>
      <c r="H27" s="1">
        <v>0.74050726928472899</v>
      </c>
      <c r="I27" s="1">
        <v>0.75384979217802495</v>
      </c>
      <c r="J27" s="1">
        <v>0.63659809984572602</v>
      </c>
      <c r="K27" s="1">
        <v>0.57100213636275599</v>
      </c>
      <c r="L27" s="1">
        <v>0.79770652097460204</v>
      </c>
      <c r="M27" s="1">
        <v>0.56374238816669198</v>
      </c>
      <c r="N27" s="1">
        <v>0.60529292024562498</v>
      </c>
      <c r="O27" s="1">
        <v>0.33278216030954799</v>
      </c>
      <c r="P27" s="1">
        <v>0.65916650622395601</v>
      </c>
      <c r="Q27" s="1">
        <f>_xlfn.LET(_xlpm.d,$D27:$P27,AVERAGE(_xlpm.d))</f>
        <v>0.66115235236379855</v>
      </c>
      <c r="R27" s="1"/>
    </row>
    <row r="28" spans="1:18" ht="30" customHeight="1">
      <c r="A28" t="str">
        <f>_xlfn.LET(_xlpm.c,_xlfn.SINGLE(Table13[condition]),_xlfn.TEXTBEFORE(_xlpm.c,"-"))</f>
        <v>german</v>
      </c>
      <c r="B28">
        <f>_xlfn.LET(_xlpm.c,_xlfn.SINGLE(Table13[condition]),IF(RIGHT(_xlpm.c,2)="1g",1,0))</f>
        <v>0</v>
      </c>
      <c r="C28" t="s">
        <v>57</v>
      </c>
      <c r="D28" s="1">
        <v>0.82160251236132398</v>
      </c>
      <c r="E28" s="1">
        <v>0.76461820232494104</v>
      </c>
      <c r="F28" s="1">
        <v>0.83450867600345202</v>
      </c>
      <c r="G28" s="1">
        <v>0.76031075338646903</v>
      </c>
      <c r="H28" s="1">
        <v>0.71912177032897495</v>
      </c>
      <c r="I28" s="1">
        <v>0.68141578556218296</v>
      </c>
      <c r="J28" s="1">
        <v>0.69101030296169796</v>
      </c>
      <c r="K28" s="1">
        <v>0.70068797782137104</v>
      </c>
      <c r="L28" s="1">
        <v>0.65414567768099796</v>
      </c>
      <c r="M28" s="1">
        <v>0.609298264477111</v>
      </c>
      <c r="N28" s="1">
        <v>0.70699004504725205</v>
      </c>
      <c r="O28" s="1">
        <v>0.59676515901826699</v>
      </c>
      <c r="P28" s="1">
        <v>0.52016407944079102</v>
      </c>
      <c r="Q28" s="1">
        <f>_xlfn.LET(_xlpm.d,$D28:$P28,AVERAGE(_xlpm.d))</f>
        <v>0.69697224664729474</v>
      </c>
      <c r="R28" s="1"/>
    </row>
    <row r="29" spans="1:18" ht="30" customHeight="1">
      <c r="A29" t="str">
        <f>_xlfn.LET(_xlpm.c,_xlfn.SINGLE(Table13[condition]),_xlfn.TEXTBEFORE(_xlpm.c,"-"))</f>
        <v>german</v>
      </c>
      <c r="B29">
        <f>_xlfn.LET(_xlpm.c,_xlfn.SINGLE(Table13[condition]),IF(RIGHT(_xlpm.c,2)="1g",1,0))</f>
        <v>0</v>
      </c>
      <c r="C29" t="s">
        <v>58</v>
      </c>
      <c r="D29" s="1">
        <v>0.794331136579016</v>
      </c>
      <c r="E29" s="1">
        <v>0.73297180356259595</v>
      </c>
      <c r="F29" s="1">
        <v>0.73808002801591199</v>
      </c>
      <c r="G29" s="1">
        <v>0.50298869710625604</v>
      </c>
      <c r="H29" s="1">
        <v>0.78295550421409199</v>
      </c>
      <c r="I29" s="1">
        <v>0.64364685447901004</v>
      </c>
      <c r="J29" s="1">
        <v>0.436676342081389</v>
      </c>
      <c r="K29" s="1">
        <v>0.50768804477811202</v>
      </c>
      <c r="L29" s="1">
        <v>0.329252469868062</v>
      </c>
      <c r="M29" s="1">
        <v>0.60090162771857403</v>
      </c>
      <c r="N29" s="1">
        <v>0.44038069511892203</v>
      </c>
      <c r="O29" s="1">
        <v>0.67121568674294896</v>
      </c>
      <c r="P29" s="1">
        <v>0.59551064415099397</v>
      </c>
      <c r="Q29" s="1">
        <f>_xlfn.LET(_xlpm.d,$D29:$P29,AVERAGE(_xlpm.d))</f>
        <v>0.59819996418583721</v>
      </c>
      <c r="R29" s="1"/>
    </row>
    <row r="30" spans="1:18" ht="30" customHeight="1">
      <c r="A30" t="str">
        <f>_xlfn.LET(_xlpm.c,_xlfn.SINGLE(Table13[condition]),_xlfn.TEXTBEFORE(_xlpm.c,"-"))</f>
        <v>russian</v>
      </c>
      <c r="B30">
        <f>_xlfn.LET(_xlpm.c,_xlfn.SINGLE(Table13[condition]),IF(RIGHT(_xlpm.c,2)="1g",1,0))</f>
        <v>1</v>
      </c>
      <c r="C30" t="s">
        <v>31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f>_xlfn.LET(_xlpm.d,$D30:$P30,AVERAGE(_xlpm.d))</f>
        <v>1</v>
      </c>
      <c r="R30" s="1"/>
    </row>
    <row r="31" spans="1:18" ht="30" customHeight="1">
      <c r="A31" t="str">
        <f>_xlfn.LET(_xlpm.c,_xlfn.SINGLE(Table13[condition]),_xlfn.TEXTBEFORE(_xlpm.c,"-"))</f>
        <v>russian</v>
      </c>
      <c r="B31">
        <f>_xlfn.LET(_xlpm.c,_xlfn.SINGLE(Table13[condition]),IF(RIGHT(_xlpm.c,2)="1g",1,0))</f>
        <v>0</v>
      </c>
      <c r="C31" t="s">
        <v>32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f>_xlfn.LET(_xlpm.d,$D31:$P31,AVERAGE(_xlpm.d))</f>
        <v>1</v>
      </c>
      <c r="R31" s="1"/>
    </row>
    <row r="32" spans="1:18" ht="30" customHeight="1">
      <c r="A32" t="str">
        <f>_xlfn.LET(_xlpm.c,_xlfn.SINGLE(Table13[condition]),_xlfn.TEXTBEFORE(_xlpm.c,"-"))</f>
        <v>russian</v>
      </c>
      <c r="B32">
        <f>_xlfn.LET(_xlpm.c,_xlfn.SINGLE(Table13[condition]),IF(RIGHT(_xlpm.c,2)="1g",1,0))</f>
        <v>0</v>
      </c>
      <c r="C32" t="s">
        <v>33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f>_xlfn.LET(_xlpm.d,$D32:$P32,AVERAGE(_xlpm.d))</f>
        <v>1</v>
      </c>
      <c r="R32" s="1"/>
    </row>
    <row r="33" spans="1:18" ht="30" customHeight="1">
      <c r="A33" t="str">
        <f>_xlfn.LET(_xlpm.c,_xlfn.SINGLE(Table13[condition]),_xlfn.TEXTBEFORE(_xlpm.c,"-"))</f>
        <v>russian</v>
      </c>
      <c r="B33">
        <f>_xlfn.LET(_xlpm.c,_xlfn.SINGLE(Table13[condition]),IF(RIGHT(_xlpm.c,2)="1g",1,0))</f>
        <v>0</v>
      </c>
      <c r="C33" t="s">
        <v>34</v>
      </c>
      <c r="D33" s="1">
        <v>1</v>
      </c>
      <c r="E33" s="1">
        <v>0.98403805507896902</v>
      </c>
      <c r="F33" s="1">
        <v>1</v>
      </c>
      <c r="G33" s="1">
        <v>0.88410277150509897</v>
      </c>
      <c r="H33" s="1">
        <v>0.99382441416352896</v>
      </c>
      <c r="I33" s="1">
        <v>1</v>
      </c>
      <c r="J33" s="1">
        <v>1</v>
      </c>
      <c r="K33" s="1">
        <v>1</v>
      </c>
      <c r="L33" s="1">
        <v>1</v>
      </c>
      <c r="M33" s="1">
        <v>0.99418506358805703</v>
      </c>
      <c r="N33" s="1">
        <v>1</v>
      </c>
      <c r="O33" s="1">
        <v>0.98406252450134302</v>
      </c>
      <c r="P33" s="1">
        <v>0.97705845546452796</v>
      </c>
      <c r="Q33" s="1">
        <f>_xlfn.LET(_xlpm.d,$D33:$P33,AVERAGE(_xlpm.d))</f>
        <v>0.98594394494627124</v>
      </c>
      <c r="R33" s="1"/>
    </row>
    <row r="34" spans="1:18" ht="30" customHeight="1">
      <c r="A34" t="str">
        <f>_xlfn.LET(_xlpm.c,_xlfn.SINGLE(Table13[condition]),_xlfn.TEXTBEFORE(_xlpm.c,"-"))</f>
        <v>russian</v>
      </c>
      <c r="B34">
        <f>_xlfn.LET(_xlpm.c,_xlfn.SINGLE(Table13[condition]),IF(RIGHT(_xlpm.c,2)="1g",1,0))</f>
        <v>0</v>
      </c>
      <c r="C34" t="s">
        <v>35</v>
      </c>
      <c r="D34" s="1">
        <v>1</v>
      </c>
      <c r="E34" s="1">
        <v>1</v>
      </c>
      <c r="F34" s="1">
        <v>0.98360370302675804</v>
      </c>
      <c r="G34" s="1">
        <v>1</v>
      </c>
      <c r="H34" s="1">
        <v>0.986602909553283</v>
      </c>
      <c r="I34" s="1">
        <v>1</v>
      </c>
      <c r="J34" s="1">
        <v>0.960048719574634</v>
      </c>
      <c r="K34" s="1">
        <v>1</v>
      </c>
      <c r="L34" s="1">
        <v>0.85888034908173605</v>
      </c>
      <c r="M34" s="1">
        <v>0.82043687184697001</v>
      </c>
      <c r="N34" s="1">
        <v>0.96352863928042098</v>
      </c>
      <c r="O34" s="1">
        <v>0.97410382434050602</v>
      </c>
      <c r="P34" s="1">
        <v>0.93731034330972696</v>
      </c>
      <c r="Q34" s="1">
        <f>_xlfn.LET(_xlpm.d,$D34:$P34,AVERAGE(_xlpm.d))</f>
        <v>0.96034733538569506</v>
      </c>
      <c r="R34" s="1"/>
    </row>
    <row r="35" spans="1:18" ht="30" customHeight="1">
      <c r="A35" t="str">
        <f>_xlfn.LET(_xlpm.c,_xlfn.SINGLE(Table13[condition]),_xlfn.TEXTBEFORE(_xlpm.c,"-"))</f>
        <v>russian</v>
      </c>
      <c r="B35">
        <f>_xlfn.LET(_xlpm.c,_xlfn.SINGLE(Table13[condition]),IF(RIGHT(_xlpm.c,2)="1g",1,0))</f>
        <v>0</v>
      </c>
      <c r="C35" t="s">
        <v>59</v>
      </c>
      <c r="D35" s="1">
        <v>0.93702316470115299</v>
      </c>
      <c r="E35" s="1">
        <v>1</v>
      </c>
      <c r="F35" s="1">
        <v>1</v>
      </c>
      <c r="G35" s="1">
        <v>0.97819048395431096</v>
      </c>
      <c r="H35" s="1">
        <v>0.99105643574121205</v>
      </c>
      <c r="I35" s="1">
        <v>0.96879839911418697</v>
      </c>
      <c r="J35" s="1">
        <v>0.98664765433069002</v>
      </c>
      <c r="K35" s="1">
        <v>0.960048719574634</v>
      </c>
      <c r="L35" s="1">
        <v>0.99489729497305501</v>
      </c>
      <c r="M35" s="1">
        <v>1</v>
      </c>
      <c r="N35" s="1">
        <v>1</v>
      </c>
      <c r="O35" s="1">
        <v>0.78183692598055798</v>
      </c>
      <c r="P35" s="1">
        <v>0.98666666666666603</v>
      </c>
      <c r="Q35" s="1">
        <f>_xlfn.LET(_xlpm.d,$D35:$P35,AVERAGE(_xlpm.d))</f>
        <v>0.96808967269511281</v>
      </c>
      <c r="R35" s="1"/>
    </row>
    <row r="36" spans="1:18" ht="30" customHeight="1">
      <c r="A36" t="str">
        <f>_xlfn.LET(_xlpm.c,_xlfn.SINGLE(Table13[condition]),_xlfn.TEXTBEFORE(_xlpm.c,"-"))</f>
        <v>russian</v>
      </c>
      <c r="B36">
        <f>_xlfn.LET(_xlpm.c,_xlfn.SINGLE(Table13[condition]),IF(RIGHT(_xlpm.c,2)="1g",1,0))</f>
        <v>0</v>
      </c>
      <c r="C36" t="s">
        <v>60</v>
      </c>
      <c r="D36" s="1">
        <v>0.99523105784552202</v>
      </c>
      <c r="E36" s="1">
        <v>0.99087885770954398</v>
      </c>
      <c r="F36" s="1">
        <v>0.96392083736640699</v>
      </c>
      <c r="G36" s="1">
        <v>0.96732073908807603</v>
      </c>
      <c r="H36" s="1">
        <v>1</v>
      </c>
      <c r="I36" s="1">
        <v>0.96382532965365797</v>
      </c>
      <c r="J36" s="1">
        <v>0.99086929864614304</v>
      </c>
      <c r="K36" s="1">
        <v>1</v>
      </c>
      <c r="L36" s="1">
        <v>0.91348297915190702</v>
      </c>
      <c r="M36" s="1">
        <v>0.95566753880483102</v>
      </c>
      <c r="N36" s="1">
        <v>0.82250247535638099</v>
      </c>
      <c r="O36" s="1">
        <v>0.98345917977774</v>
      </c>
      <c r="P36" s="1">
        <v>0.99415151338158603</v>
      </c>
      <c r="Q36" s="1">
        <f>_xlfn.LET(_xlpm.d,$D36:$P36,AVERAGE(_xlpm.d))</f>
        <v>0.96471613898321507</v>
      </c>
      <c r="R36" s="1"/>
    </row>
    <row r="38" spans="1:18" ht="30" customHeight="1">
      <c r="C38" t="s">
        <v>39</v>
      </c>
    </row>
    <row r="39" spans="1:18" ht="30" customHeight="1">
      <c r="C39" t="s">
        <v>40</v>
      </c>
      <c r="D39" s="2">
        <f>_xlfn.LET(_xlpm.d,D$2:D$36,AVERAGE(_xlpm.d))</f>
        <v>0.84820598795845015</v>
      </c>
      <c r="E39" s="2">
        <f t="shared" ref="E39:Q39" si="1">_xlfn.LET(_xlpm.d,E$2:E$36,AVERAGE(_xlpm.d))</f>
        <v>0.80092423690683368</v>
      </c>
      <c r="F39" s="2">
        <f t="shared" si="1"/>
        <v>0.81568777062823472</v>
      </c>
      <c r="G39" s="2">
        <f t="shared" si="1"/>
        <v>0.78687579705551314</v>
      </c>
      <c r="H39" s="2">
        <f t="shared" si="1"/>
        <v>0.77013062277577615</v>
      </c>
      <c r="I39" s="2">
        <f t="shared" si="1"/>
        <v>0.77506424277389518</v>
      </c>
      <c r="J39" s="2">
        <f t="shared" si="1"/>
        <v>0.74234572163364321</v>
      </c>
      <c r="K39" s="2">
        <f t="shared" si="1"/>
        <v>0.73787672808281457</v>
      </c>
      <c r="L39" s="2">
        <f t="shared" si="1"/>
        <v>0.73401629594732343</v>
      </c>
      <c r="M39" s="2">
        <f t="shared" si="1"/>
        <v>0.73075580419272468</v>
      </c>
      <c r="N39" s="2">
        <f t="shared" si="1"/>
        <v>0.72410818463116311</v>
      </c>
      <c r="O39" s="2">
        <f t="shared" si="1"/>
        <v>0.71690356266266142</v>
      </c>
      <c r="P39" s="2">
        <f t="shared" si="1"/>
        <v>0.71417019212110355</v>
      </c>
      <c r="Q39" s="2">
        <f t="shared" si="1"/>
        <v>0.76131270364385661</v>
      </c>
    </row>
    <row r="40" spans="1:18" ht="30" customHeight="1">
      <c r="C40" t="s">
        <v>41</v>
      </c>
      <c r="D40" s="2" cm="1">
        <f t="array" ref="D40">_xlfn.LET(_xlpm.d,D$2:D$36,_xlpm.f,$A$2:$A$36,_xlpm.k,$C40,AVERAGE(_xlfn._xlws.FILTER(_xlpm.d,_xlpm.f=_xlpm.k)))</f>
        <v>0.99082636993803053</v>
      </c>
      <c r="E40" s="2" cm="1">
        <f t="array" ref="E40">_xlfn.LET(_xlpm.d,E$2:E$36,_xlpm.f,$A$2:$A$36,_xlpm.k,$C40,AVERAGE(_xlfn._xlws.FILTER(_xlpm.d,_xlpm.f=_xlpm.k)))</f>
        <v>0.99889741927569253</v>
      </c>
      <c r="F40" s="2" cm="1">
        <f t="array" ref="F40">_xlfn.LET(_xlpm.d,F$2:F$36,_xlpm.f,$A$2:$A$36,_xlpm.k,$C40,AVERAGE(_xlfn._xlws.FILTER(_xlpm.d,_xlpm.f=_xlpm.k)))</f>
        <v>0.99961884515361621</v>
      </c>
      <c r="G40" s="2" cm="1">
        <f t="array" ref="G40">_xlfn.LET(_xlpm.d,G$2:G$36,_xlpm.f,$A$2:$A$36,_xlpm.k,$C40,AVERAGE(_xlfn._xlws.FILTER(_xlpm.d,_xlpm.f=_xlpm.k)))</f>
        <v>0.97982061185578162</v>
      </c>
      <c r="H40" s="2" cm="1">
        <f t="array" ref="H40">_xlfn.LET(_xlpm.d,H$2:H$36,_xlpm.f,$A$2:$A$36,_xlpm.k,$C40,AVERAGE(_xlfn._xlws.FILTER(_xlpm.d,_xlpm.f=_xlpm.k)))</f>
        <v>0.99784495321325706</v>
      </c>
      <c r="I40" s="2" cm="1">
        <f t="array" ref="I40">_xlfn.LET(_xlpm.d,I$2:I$36,_xlpm.f,$A$2:$A$36,_xlpm.k,$C40,AVERAGE(_xlfn._xlws.FILTER(_xlpm.d,_xlpm.f=_xlpm.k)))</f>
        <v>0.97856796199989549</v>
      </c>
      <c r="J40" s="2" cm="1">
        <f t="array" ref="J40">_xlfn.LET(_xlpm.d,J$2:J$36,_xlpm.f,$A$2:$A$36,_xlpm.k,$C40,AVERAGE(_xlfn._xlws.FILTER(_xlpm.d,_xlpm.f=_xlpm.k)))</f>
        <v>0.9528768653733416</v>
      </c>
      <c r="K40" s="2" cm="1">
        <f t="array" ref="K40">_xlfn.LET(_xlpm.d,K$2:K$36,_xlpm.f,$A$2:$A$36,_xlpm.k,$C40,AVERAGE(_xlfn._xlws.FILTER(_xlpm.d,_xlpm.f=_xlpm.k)))</f>
        <v>0.95616130212324835</v>
      </c>
      <c r="L40" s="2" cm="1">
        <f t="array" ref="L40">_xlfn.LET(_xlpm.d,L$2:L$36,_xlpm.f,$A$2:$A$36,_xlpm.k,$C40,AVERAGE(_xlfn._xlws.FILTER(_xlpm.d,_xlpm.f=_xlpm.k)))</f>
        <v>0.96093208295707278</v>
      </c>
      <c r="M40" s="2" cm="1">
        <f t="array" ref="M40">_xlfn.LET(_xlpm.d,M$2:M$36,_xlpm.f,$A$2:$A$36,_xlpm.k,$C40,AVERAGE(_xlfn._xlws.FILTER(_xlpm.d,_xlpm.f=_xlpm.k)))</f>
        <v>0.93140629287738574</v>
      </c>
      <c r="N40" s="2" cm="1">
        <f t="array" ref="N40">_xlfn.LET(_xlpm.d,N$2:N$36,_xlpm.f,$A$2:$A$36,_xlpm.k,$C40,AVERAGE(_xlfn._xlws.FILTER(_xlpm.d,_xlpm.f=_xlpm.k)))</f>
        <v>0.9388398448549421</v>
      </c>
      <c r="O40" s="2" cm="1">
        <f t="array" ref="O40">_xlfn.LET(_xlpm.d,O$2:O$36,_xlpm.f,$A$2:$A$36,_xlpm.k,$C40,AVERAGE(_xlfn._xlws.FILTER(_xlpm.d,_xlpm.f=_xlpm.k)))</f>
        <v>0.9559517338334087</v>
      </c>
      <c r="P40" s="2" cm="1">
        <f t="array" ref="P40">_xlfn.LET(_xlpm.d,P$2:P$36,_xlpm.f,$A$2:$A$36,_xlpm.k,$C40,AVERAGE(_xlfn._xlws.FILTER(_xlpm.d,_xlpm.f=_xlpm.k)))</f>
        <v>0.93644879454099728</v>
      </c>
      <c r="Q40" s="2" cm="1">
        <f t="array" ref="Q40">_xlfn.LET(_xlpm.d,Q$2:Q$36,_xlpm.f,$A$2:$A$36,_xlpm.k,$C40,AVERAGE(_xlfn._xlws.FILTER(_xlpm.d,_xlpm.f=_xlpm.k)))</f>
        <v>0.96755331369205144</v>
      </c>
    </row>
    <row r="41" spans="1:18" ht="30" customHeight="1">
      <c r="C41" t="s">
        <v>42</v>
      </c>
      <c r="D41" s="2" cm="1">
        <f t="array" ref="D41">_xlfn.LET(_xlpm.d,D$2:D$36,_xlpm.f,$A$2:$A$36,_xlpm.k,$C41,AVERAGE(_xlfn._xlws.FILTER(_xlpm.d,_xlpm.f=_xlpm.k)))</f>
        <v>0.72024799052971156</v>
      </c>
      <c r="E41" s="2" cm="1">
        <f t="array" ref="E41">_xlfn.LET(_xlpm.d,E$2:E$36,_xlpm.f,$A$2:$A$36,_xlpm.k,$C41,AVERAGE(_xlfn._xlws.FILTER(_xlpm.d,_xlpm.f=_xlpm.k)))</f>
        <v>0.62851578017623655</v>
      </c>
      <c r="F41" s="2" cm="1">
        <f t="array" ref="F41">_xlfn.LET(_xlpm.d,F$2:F$36,_xlpm.f,$A$2:$A$36,_xlpm.k,$C41,AVERAGE(_xlfn._xlws.FILTER(_xlpm.d,_xlpm.f=_xlpm.k)))</f>
        <v>0.67785475500672876</v>
      </c>
      <c r="G41" s="2" cm="1">
        <f t="array" ref="G41">_xlfn.LET(_xlpm.d,G$2:G$36,_xlpm.f,$A$2:$A$36,_xlpm.k,$C41,AVERAGE(_xlfn._xlws.FILTER(_xlpm.d,_xlpm.f=_xlpm.k)))</f>
        <v>0.64518269565697162</v>
      </c>
      <c r="H41" s="2" cm="1">
        <f t="array" ref="H41">_xlfn.LET(_xlpm.d,H$2:H$36,_xlpm.f,$A$2:$A$36,_xlpm.k,$C41,AVERAGE(_xlfn._xlws.FILTER(_xlpm.d,_xlpm.f=_xlpm.k)))</f>
        <v>0.5335406560083007</v>
      </c>
      <c r="I41" s="2" cm="1">
        <f t="array" ref="I41">_xlfn.LET(_xlpm.d,I$2:I$36,_xlpm.f,$A$2:$A$36,_xlpm.k,$C41,AVERAGE(_xlfn._xlws.FILTER(_xlpm.d,_xlpm.f=_xlpm.k)))</f>
        <v>0.61421451145896455</v>
      </c>
      <c r="J41" s="2" cm="1">
        <f t="array" ref="J41">_xlfn.LET(_xlpm.d,J$2:J$36,_xlpm.f,$A$2:$A$36,_xlpm.k,$C41,AVERAGE(_xlfn._xlws.FILTER(_xlpm.d,_xlpm.f=_xlpm.k)))</f>
        <v>0.55497949549877279</v>
      </c>
      <c r="K41" s="2" cm="1">
        <f t="array" ref="K41">_xlfn.LET(_xlpm.d,K$2:K$36,_xlpm.f,$A$2:$A$36,_xlpm.k,$C41,AVERAGE(_xlfn._xlws.FILTER(_xlpm.d,_xlpm.f=_xlpm.k)))</f>
        <v>0.55339285599231913</v>
      </c>
      <c r="L41" s="2" cm="1">
        <f t="array" ref="L41">_xlfn.LET(_xlpm.d,L$2:L$36,_xlpm.f,$A$2:$A$36,_xlpm.k,$C41,AVERAGE(_xlfn._xlws.FILTER(_xlpm.d,_xlpm.f=_xlpm.k)))</f>
        <v>0.58054764107621915</v>
      </c>
      <c r="M41" s="2" cm="1">
        <f t="array" ref="M41">_xlfn.LET(_xlpm.d,M$2:M$36,_xlpm.f,$A$2:$A$36,_xlpm.k,$C41,AVERAGE(_xlfn._xlws.FILTER(_xlpm.d,_xlpm.f=_xlpm.k)))</f>
        <v>0.54887216493212054</v>
      </c>
      <c r="N41" s="2" cm="1">
        <f t="array" ref="N41">_xlfn.LET(_xlpm.d,N$2:N$36,_xlpm.f,$A$2:$A$36,_xlpm.k,$C41,AVERAGE(_xlfn._xlws.FILTER(_xlpm.d,_xlpm.f=_xlpm.k)))</f>
        <v>0.49476345309898856</v>
      </c>
      <c r="O41" s="2" cm="1">
        <f t="array" ref="O41">_xlfn.LET(_xlpm.d,O$2:O$36,_xlpm.f,$A$2:$A$36,_xlpm.k,$C41,AVERAGE(_xlfn._xlws.FILTER(_xlpm.d,_xlpm.f=_xlpm.k)))</f>
        <v>0.49587370150846882</v>
      </c>
      <c r="P41" s="2" cm="1">
        <f t="array" ref="P41">_xlfn.LET(_xlpm.d,P$2:P$36,_xlpm.f,$A$2:$A$36,_xlpm.k,$C41,AVERAGE(_xlfn._xlws.FILTER(_xlpm.d,_xlpm.f=_xlpm.k)))</f>
        <v>0.5080939843546064</v>
      </c>
      <c r="Q41" s="2" cm="1">
        <f t="array" ref="Q41">_xlfn.LET(_xlpm.d,Q$2:Q$36,_xlpm.f,$A$2:$A$36,_xlpm.k,$C41,AVERAGE(_xlfn._xlws.FILTER(_xlpm.d,_xlpm.f=_xlpm.k)))</f>
        <v>0.58123689886910845</v>
      </c>
    </row>
    <row r="42" spans="1:18" ht="30" customHeight="1">
      <c r="C42" t="s">
        <v>43</v>
      </c>
      <c r="D42" s="2" cm="1">
        <f t="array" ref="D42">_xlfn.LET(_xlpm.d,D$2:D$36,_xlpm.f,$A$2:$A$36,_xlpm.k,$C42,AVERAGE(_xlfn._xlws.FILTER(_xlpm.d,_xlpm.f=_xlpm.k)))</f>
        <v>0.74465689598088358</v>
      </c>
      <c r="E42" s="2" cm="1">
        <f t="array" ref="E42">_xlfn.LET(_xlpm.d,E$2:E$36,_xlpm.f,$A$2:$A$36,_xlpm.k,$C42,AVERAGE(_xlfn._xlws.FILTER(_xlpm.d,_xlpm.f=_xlpm.k)))</f>
        <v>0.67994267640177231</v>
      </c>
      <c r="F42" s="2" cm="1">
        <f t="array" ref="F42">_xlfn.LET(_xlpm.d,F$2:F$36,_xlpm.f,$A$2:$A$36,_xlpm.k,$C42,AVERAGE(_xlfn._xlws.FILTER(_xlpm.d,_xlpm.f=_xlpm.k)))</f>
        <v>0.66880006412079385</v>
      </c>
      <c r="G42" s="2" cm="1">
        <f t="array" ref="G42">_xlfn.LET(_xlpm.d,G$2:G$36,_xlpm.f,$A$2:$A$36,_xlpm.k,$C42,AVERAGE(_xlfn._xlws.FILTER(_xlpm.d,_xlpm.f=_xlpm.k)))</f>
        <v>0.63002632747620091</v>
      </c>
      <c r="H42" s="2" cm="1">
        <f t="array" ref="H42">_xlfn.LET(_xlpm.d,H$2:H$36,_xlpm.f,$A$2:$A$36,_xlpm.k,$C42,AVERAGE(_xlfn._xlws.FILTER(_xlpm.d,_xlpm.f=_xlpm.k)))</f>
        <v>0.61764582380292266</v>
      </c>
      <c r="I42" s="2" cm="1">
        <f t="array" ref="I42">_xlfn.LET(_xlpm.d,I$2:I$36,_xlpm.f,$A$2:$A$36,_xlpm.k,$C42,AVERAGE(_xlfn._xlws.FILTER(_xlpm.d,_xlpm.f=_xlpm.k)))</f>
        <v>0.62349371900011641</v>
      </c>
      <c r="J42" s="2" cm="1">
        <f t="array" ref="J42">_xlfn.LET(_xlpm.d,J$2:J$36,_xlpm.f,$A$2:$A$36,_xlpm.k,$C42,AVERAGE(_xlfn._xlws.FILTER(_xlpm.d,_xlpm.f=_xlpm.k)))</f>
        <v>0.58650416970354124</v>
      </c>
      <c r="K42" s="2" cm="1">
        <f t="array" ref="K42">_xlfn.LET(_xlpm.d,K$2:K$36,_xlpm.f,$A$2:$A$36,_xlpm.k,$C42,AVERAGE(_xlfn._xlws.FILTER(_xlpm.d,_xlpm.f=_xlpm.k)))</f>
        <v>0.60469654675632234</v>
      </c>
      <c r="L42" s="2" cm="1">
        <f t="array" ref="L42">_xlfn.LET(_xlpm.d,L$2:L$36,_xlpm.f,$A$2:$A$36,_xlpm.k,$C42,AVERAGE(_xlfn._xlws.FILTER(_xlpm.d,_xlpm.f=_xlpm.k)))</f>
        <v>0.54830075982017967</v>
      </c>
      <c r="M42" s="2" cm="1">
        <f t="array" ref="M42">_xlfn.LET(_xlpm.d,M$2:M$36,_xlpm.f,$A$2:$A$36,_xlpm.k,$C42,AVERAGE(_xlfn._xlws.FILTER(_xlpm.d,_xlpm.f=_xlpm.k)))</f>
        <v>0.582348853852241</v>
      </c>
      <c r="N42" s="2" cm="1">
        <f t="array" ref="N42">_xlfn.LET(_xlpm.d,N$2:N$36,_xlpm.f,$A$2:$A$36,_xlpm.k,$C42,AVERAGE(_xlfn._xlws.FILTER(_xlpm.d,_xlpm.f=_xlpm.k)))</f>
        <v>0.57780926586314008</v>
      </c>
      <c r="O42" s="2" cm="1">
        <f t="array" ref="O42">_xlfn.LET(_xlpm.d,O$2:O$36,_xlpm.f,$A$2:$A$36,_xlpm.k,$C42,AVERAGE(_xlfn._xlws.FILTER(_xlpm.d,_xlpm.f=_xlpm.k)))</f>
        <v>0.59681913533291342</v>
      </c>
      <c r="P42" s="2" cm="1">
        <f t="array" ref="P42">_xlfn.LET(_xlpm.d,P$2:P$36,_xlpm.f,$A$2:$A$36,_xlpm.k,$C42,AVERAGE(_xlfn._xlws.FILTER(_xlpm.d,_xlpm.f=_xlpm.k)))</f>
        <v>0.56331103573843755</v>
      </c>
      <c r="Q42" s="2" cm="1">
        <f t="array" ref="Q42">_xlfn.LET(_xlpm.d,Q$2:Q$36,_xlpm.f,$A$2:$A$36,_xlpm.k,$C42,AVERAGE(_xlfn._xlws.FILTER(_xlpm.d,_xlpm.f=_xlpm.k)))</f>
        <v>0.61725809798842035</v>
      </c>
    </row>
    <row r="43" spans="1:18" ht="30" customHeight="1">
      <c r="C43" t="s">
        <v>44</v>
      </c>
      <c r="D43" s="2" cm="1">
        <f t="array" ref="D43">_xlfn.LET(_xlpm.d,D$2:D$36,_xlpm.f,$A$2:$A$36,_xlpm.k,$C43,AVERAGE(_xlfn._xlws.FILTER(_xlpm.d,_xlpm.f=_xlpm.k)))</f>
        <v>0.79497665155124275</v>
      </c>
      <c r="E43" s="2" cm="1">
        <f t="array" ref="E43">_xlfn.LET(_xlpm.d,E$2:E$36,_xlpm.f,$A$2:$A$36,_xlpm.k,$C43,AVERAGE(_xlfn._xlws.FILTER(_xlpm.d,_xlpm.f=_xlpm.k)))</f>
        <v>0.70084860685353745</v>
      </c>
      <c r="F43" s="2" cm="1">
        <f t="array" ref="F43">_xlfn.LET(_xlpm.d,F$2:F$36,_xlpm.f,$A$2:$A$36,_xlpm.k,$C43,AVERAGE(_xlfn._xlws.FILTER(_xlpm.d,_xlpm.f=_xlpm.k)))</f>
        <v>0.73966168308958313</v>
      </c>
      <c r="G43" s="2" cm="1">
        <f t="array" ref="G43">_xlfn.LET(_xlpm.d,G$2:G$36,_xlpm.f,$A$2:$A$36,_xlpm.k,$C43,AVERAGE(_xlfn._xlws.FILTER(_xlpm.d,_xlpm.f=_xlpm.k)))</f>
        <v>0.7036902082103994</v>
      </c>
      <c r="H43" s="2" cm="1">
        <f t="array" ref="H43">_xlfn.LET(_xlpm.d,H$2:H$36,_xlpm.f,$A$2:$A$36,_xlpm.k,$C43,AVERAGE(_xlfn._xlws.FILTER(_xlpm.d,_xlpm.f=_xlpm.k)))</f>
        <v>0.70569542950325448</v>
      </c>
      <c r="I43" s="2" cm="1">
        <f t="array" ref="I43">_xlfn.LET(_xlpm.d,I$2:I$36,_xlpm.f,$A$2:$A$36,_xlpm.k,$C43,AVERAGE(_xlfn._xlws.FILTER(_xlpm.d,_xlpm.f=_xlpm.k)))</f>
        <v>0.66867020301509339</v>
      </c>
      <c r="J43" s="2" cm="1">
        <f t="array" ref="J43">_xlfn.LET(_xlpm.d,J$2:J$36,_xlpm.f,$A$2:$A$36,_xlpm.k,$C43,AVERAGE(_xlfn._xlws.FILTER(_xlpm.d,_xlpm.f=_xlpm.k)))</f>
        <v>0.62628726722806516</v>
      </c>
      <c r="K43" s="2" cm="1">
        <f t="array" ref="K43">_xlfn.LET(_xlpm.d,K$2:K$36,_xlpm.f,$A$2:$A$36,_xlpm.k,$C43,AVERAGE(_xlfn._xlws.FILTER(_xlpm.d,_xlpm.f=_xlpm.k)))</f>
        <v>0.5808402613172351</v>
      </c>
      <c r="L43" s="2" cm="1">
        <f t="array" ref="L43">_xlfn.LET(_xlpm.d,L$2:L$36,_xlpm.f,$A$2:$A$36,_xlpm.k,$C43,AVERAGE(_xlfn._xlws.FILTER(_xlpm.d,_xlpm.f=_xlpm.k)))</f>
        <v>0.61354947828218798</v>
      </c>
      <c r="M43" s="2" cm="1">
        <f t="array" ref="M43">_xlfn.LET(_xlpm.d,M$2:M$36,_xlpm.f,$A$2:$A$36,_xlpm.k,$C43,AVERAGE(_xlfn._xlws.FILTER(_xlpm.d,_xlpm.f=_xlpm.k)))</f>
        <v>0.62396749869618284</v>
      </c>
      <c r="N43" s="2" cm="1">
        <f t="array" ref="N43">_xlfn.LET(_xlpm.d,N$2:N$36,_xlpm.f,$A$2:$A$36,_xlpm.k,$C43,AVERAGE(_xlfn._xlws.FILTER(_xlpm.d,_xlpm.f=_xlpm.k)))</f>
        <v>0.63969534296205899</v>
      </c>
      <c r="O43" s="2" cm="1">
        <f t="array" ref="O43">_xlfn.LET(_xlpm.d,O$2:O$36,_xlpm.f,$A$2:$A$36,_xlpm.k,$C43,AVERAGE(_xlfn._xlws.FILTER(_xlpm.d,_xlpm.f=_xlpm.k)))</f>
        <v>0.57537860626706705</v>
      </c>
      <c r="P43" s="2" cm="1">
        <f t="array" ref="P43">_xlfn.LET(_xlpm.d,P$2:P$36,_xlpm.f,$A$2:$A$36,_xlpm.k,$C43,AVERAGE(_xlfn._xlws.FILTER(_xlpm.d,_xlpm.f=_xlpm.k)))</f>
        <v>0.57797043471111864</v>
      </c>
      <c r="Q43" s="2" cm="1">
        <f t="array" ref="Q43">_xlfn.LET(_xlpm.d,Q$2:Q$36,_xlpm.f,$A$2:$A$36,_xlpm.k,$C43,AVERAGE(_xlfn._xlws.FILTER(_xlpm.d,_xlpm.f=_xlpm.k)))</f>
        <v>0.65778705166823281</v>
      </c>
    </row>
    <row r="44" spans="1:18" ht="30" customHeight="1">
      <c r="C44" t="s">
        <v>45</v>
      </c>
      <c r="D44" s="2" cm="1">
        <f t="array" ref="D44">_xlfn.LET(_xlpm.d,D$2:D$36,_xlpm.f,$A$2:$A$36,_xlpm.k,$C44,AVERAGE(_xlfn._xlws.FILTER(_xlpm.d,_xlpm.f=_xlpm.k)))</f>
        <v>0.9903220317923821</v>
      </c>
      <c r="E44" s="2" cm="1">
        <f t="array" ref="E44">_xlfn.LET(_xlpm.d,E$2:E$36,_xlpm.f,$A$2:$A$36,_xlpm.k,$C44,AVERAGE(_xlfn._xlws.FILTER(_xlpm.d,_xlpm.f=_xlpm.k)))</f>
        <v>0.99641670182693043</v>
      </c>
      <c r="F44" s="2" cm="1">
        <f t="array" ref="F44">_xlfn.LET(_xlpm.d,F$2:F$36,_xlpm.f,$A$2:$A$36,_xlpm.k,$C44,AVERAGE(_xlfn._xlws.FILTER(_xlpm.d,_xlpm.f=_xlpm.k)))</f>
        <v>0.99250350577045221</v>
      </c>
      <c r="G44" s="2" cm="1">
        <f t="array" ref="G44">_xlfn.LET(_xlpm.d,G$2:G$36,_xlpm.f,$A$2:$A$36,_xlpm.k,$C44,AVERAGE(_xlfn._xlws.FILTER(_xlpm.d,_xlpm.f=_xlpm.k)))</f>
        <v>0.97565914207821225</v>
      </c>
      <c r="H44" s="2" cm="1">
        <f t="array" ref="H44">_xlfn.LET(_xlpm.d,H$2:H$36,_xlpm.f,$A$2:$A$36,_xlpm.k,$C44,AVERAGE(_xlfn._xlws.FILTER(_xlpm.d,_xlpm.f=_xlpm.k)))</f>
        <v>0.99592625135114632</v>
      </c>
      <c r="I44" s="2" cm="1">
        <f t="array" ref="I44">_xlfn.LET(_xlpm.d,I$2:I$36,_xlpm.f,$A$2:$A$36,_xlpm.k,$C44,AVERAGE(_xlfn._xlws.FILTER(_xlpm.d,_xlpm.f=_xlpm.k)))</f>
        <v>0.99037481839540642</v>
      </c>
      <c r="J44" s="2" cm="1">
        <f t="array" ref="J44">_xlfn.LET(_xlpm.d,J$2:J$36,_xlpm.f,$A$2:$A$36,_xlpm.k,$C44,AVERAGE(_xlfn._xlws.FILTER(_xlpm.d,_xlpm.f=_xlpm.k)))</f>
        <v>0.99108081036449536</v>
      </c>
      <c r="K44" s="2" cm="1">
        <f t="array" ref="K44">_xlfn.LET(_xlpm.d,K$2:K$36,_xlpm.f,$A$2:$A$36,_xlpm.k,$C44,AVERAGE(_xlfn._xlws.FILTER(_xlpm.d,_xlpm.f=_xlpm.k)))</f>
        <v>0.99429267422494771</v>
      </c>
      <c r="L44" s="2" cm="1">
        <f t="array" ref="L44">_xlfn.LET(_xlpm.d,L$2:L$36,_xlpm.f,$A$2:$A$36,_xlpm.k,$C44,AVERAGE(_xlfn._xlws.FILTER(_xlpm.d,_xlpm.f=_xlpm.k)))</f>
        <v>0.9667515176009569</v>
      </c>
      <c r="M44" s="2" cm="1">
        <f t="array" ref="M44">_xlfn.LET(_xlpm.d,M$2:M$36,_xlpm.f,$A$2:$A$36,_xlpm.k,$C44,AVERAGE(_xlfn._xlws.FILTER(_xlpm.d,_xlpm.f=_xlpm.k)))</f>
        <v>0.96718421060569404</v>
      </c>
      <c r="N44" s="2" cm="1">
        <f t="array" ref="N44">_xlfn.LET(_xlpm.d,N$2:N$36,_xlpm.f,$A$2:$A$36,_xlpm.k,$C44,AVERAGE(_xlfn._xlws.FILTER(_xlpm.d,_xlpm.f=_xlpm.k)))</f>
        <v>0.969433016376686</v>
      </c>
      <c r="O44" s="2" cm="1">
        <f t="array" ref="O44">_xlfn.LET(_xlpm.d,O$2:O$36,_xlpm.f,$A$2:$A$36,_xlpm.k,$C44,AVERAGE(_xlfn._xlws.FILTER(_xlpm.d,_xlpm.f=_xlpm.k)))</f>
        <v>0.96049463637144961</v>
      </c>
      <c r="P44" s="2" cm="1">
        <f t="array" ref="P44">_xlfn.LET(_xlpm.d,P$2:P$36,_xlpm.f,$A$2:$A$36,_xlpm.k,$C44,AVERAGE(_xlfn._xlws.FILTER(_xlpm.d,_xlpm.f=_xlpm.k)))</f>
        <v>0.98502671126035823</v>
      </c>
      <c r="Q44" s="2" cm="1">
        <f t="array" ref="Q44">_xlfn.LET(_xlpm.d,Q$2:Q$36,_xlpm.f,$A$2:$A$36,_xlpm.k,$C44,AVERAGE(_xlfn._xlws.FILTER(_xlpm.d,_xlpm.f=_xlpm.k)))</f>
        <v>0.98272815600147057</v>
      </c>
    </row>
    <row r="46" spans="1:18" ht="30" customHeight="1">
      <c r="C46" t="s">
        <v>46</v>
      </c>
    </row>
    <row r="47" spans="1:18" ht="30" customHeight="1">
      <c r="C47" t="s">
        <v>40</v>
      </c>
      <c r="D47" s="2" cm="1">
        <f t="array" ref="D47">_xlfn.LET(_xlpm.d,D$2:D$36,_xlpm.g,$B$2:$B$36,_xlpm.k,$C47,AVERAGE(_xlfn._xlws.FILTER(_xlpm.d,(_xlpm.g=0))))</f>
        <v>0.82290698595152501</v>
      </c>
      <c r="E47" s="2" cm="1">
        <f t="array" ref="E47">_xlfn.LET(_xlpm.d,E$2:E$36,_xlpm.g,$B$2:$B$36,_xlpm.k,$C47,AVERAGE(_xlfn._xlws.FILTER(_xlpm.d,(_xlpm.g=0))))</f>
        <v>0.78627607171001512</v>
      </c>
      <c r="F47" s="2" cm="1">
        <f t="array" ref="F47">_xlfn.LET(_xlpm.d,F$2:F$36,_xlpm.g,$B$2:$B$36,_xlpm.k,$C47,AVERAGE(_xlfn._xlws.FILTER(_xlpm.d,(_xlpm.g=0))))</f>
        <v>0.80007523370486899</v>
      </c>
      <c r="G47" s="2" cm="1">
        <f t="array" ref="G47">_xlfn.LET(_xlpm.d,G$2:G$36,_xlpm.g,$B$2:$B$36,_xlpm.k,$C47,AVERAGE(_xlfn._xlws.FILTER(_xlpm.d,(_xlpm.g=0))))</f>
        <v>0.76422599787847489</v>
      </c>
      <c r="H47" s="2" cm="1">
        <f t="array" ref="H47">_xlfn.LET(_xlpm.d,H$2:H$36,_xlpm.g,$B$2:$B$36,_xlpm.k,$C47,AVERAGE(_xlfn._xlws.FILTER(_xlpm.d,(_xlpm.g=0))))</f>
        <v>0.75986190978955526</v>
      </c>
      <c r="I47" s="2" cm="1">
        <f t="array" ref="I47">_xlfn.LET(_xlpm.d,I$2:I$36,_xlpm.g,$B$2:$B$36,_xlpm.k,$C47,AVERAGE(_xlfn._xlws.FILTER(_xlpm.d,(_xlpm.g=0))))</f>
        <v>0.76953959212672784</v>
      </c>
      <c r="J47" s="2" cm="1">
        <f t="array" ref="J47">_xlfn.LET(_xlpm.d,J$2:J$36,_xlpm.g,$B$2:$B$36,_xlpm.k,$C47,AVERAGE(_xlfn._xlws.FILTER(_xlpm.d,(_xlpm.g=0))))</f>
        <v>0.73301811694573094</v>
      </c>
      <c r="K47" s="2" cm="1">
        <f t="array" ref="K47">_xlfn.LET(_xlpm.d,K$2:K$36,_xlpm.g,$B$2:$B$36,_xlpm.k,$C47,AVERAGE(_xlfn._xlws.FILTER(_xlpm.d,(_xlpm.g=0))))</f>
        <v>0.73687123284650879</v>
      </c>
      <c r="L47" s="2" cm="1">
        <f t="array" ref="L47">_xlfn.LET(_xlpm.d,L$2:L$36,_xlpm.g,$B$2:$B$36,_xlpm.k,$C47,AVERAGE(_xlfn._xlws.FILTER(_xlpm.d,(_xlpm.g=0))))</f>
        <v>0.71973055108952089</v>
      </c>
      <c r="M47" s="2" cm="1">
        <f t="array" ref="M47">_xlfn.LET(_xlpm.d,M$2:M$36,_xlpm.g,$B$2:$B$36,_xlpm.k,$C47,AVERAGE(_xlfn._xlws.FILTER(_xlpm.d,(_xlpm.g=0))))</f>
        <v>0.70842018462232603</v>
      </c>
      <c r="N47" s="2" cm="1">
        <f t="array" ref="N47">_xlfn.LET(_xlpm.d,N$2:N$36,_xlpm.g,$B$2:$B$36,_xlpm.k,$C47,AVERAGE(_xlfn._xlws.FILTER(_xlpm.d,(_xlpm.g=0))))</f>
        <v>0.71926126491976727</v>
      </c>
      <c r="O47" s="2" cm="1">
        <f t="array" ref="O47">_xlfn.LET(_xlpm.d,O$2:O$36,_xlpm.g,$B$2:$B$36,_xlpm.k,$C47,AVERAGE(_xlfn._xlws.FILTER(_xlpm.d,(_xlpm.g=0))))</f>
        <v>0.69585596669889827</v>
      </c>
      <c r="P47" s="2" cm="1">
        <f t="array" ref="P47">_xlfn.LET(_xlpm.d,P$2:P$36,_xlpm.g,$B$2:$B$36,_xlpm.k,$C47,AVERAGE(_xlfn._xlws.FILTER(_xlpm.d,(_xlpm.g=0))))</f>
        <v>0.70333024274186817</v>
      </c>
      <c r="Q47" s="2" cm="1">
        <f t="array" ref="Q47">_xlfn.LET(_xlpm.d,Q$2:Q$36,_xlpm.g,$B$2:$B$36,_xlpm.k,$C47,AVERAGE(_xlfn._xlws.FILTER(_xlpm.d,(_xlpm.g=0))))</f>
        <v>0.74764410392506042</v>
      </c>
    </row>
    <row r="48" spans="1:18" ht="30" customHeight="1">
      <c r="C48" t="s">
        <v>41</v>
      </c>
      <c r="D48" s="2" cm="1">
        <f t="array" ref="D48">_xlfn.LET(_xlpm.d,D$2:D$36,_xlpm.f,$A$2:$A$36,_xlpm.g,$B$2:$B$36,_xlpm.k,$C48,AVERAGE(_xlfn._xlws.FILTER(_xlpm.d,(_xlpm.f=_xlpm.k)*(_xlpm.g=0))))</f>
        <v>0.98929743159436911</v>
      </c>
      <c r="E48" s="2" cm="1">
        <f t="array" ref="E48">_xlfn.LET(_xlpm.d,E$2:E$36,_xlpm.f,$A$2:$A$36,_xlpm.g,$B$2:$B$36,_xlpm.k,$C48,AVERAGE(_xlfn._xlws.FILTER(_xlpm.d,(_xlpm.f=_xlpm.k)*(_xlpm.g=0))))</f>
        <v>0.99871365582164129</v>
      </c>
      <c r="F48" s="2" cm="1">
        <f t="array" ref="F48">_xlfn.LET(_xlpm.d,F$2:F$36,_xlpm.f,$A$2:$A$36,_xlpm.g,$B$2:$B$36,_xlpm.k,$C48,AVERAGE(_xlfn._xlws.FILTER(_xlpm.d,(_xlpm.f=_xlpm.k)*(_xlpm.g=0))))</f>
        <v>0.9995553193458856</v>
      </c>
      <c r="G48" s="2" cm="1">
        <f t="array" ref="G48">_xlfn.LET(_xlpm.d,G$2:G$36,_xlpm.f,$A$2:$A$36,_xlpm.g,$B$2:$B$36,_xlpm.k,$C48,AVERAGE(_xlfn._xlws.FILTER(_xlpm.d,(_xlpm.f=_xlpm.k)*(_xlpm.g=0))))</f>
        <v>0.97645738049841191</v>
      </c>
      <c r="H48" s="2" cm="1">
        <f t="array" ref="H48">_xlfn.LET(_xlpm.d,H$2:H$36,_xlpm.f,$A$2:$A$36,_xlpm.g,$B$2:$B$36,_xlpm.k,$C48,AVERAGE(_xlfn._xlws.FILTER(_xlpm.d,(_xlpm.f=_xlpm.k)*(_xlpm.g=0))))</f>
        <v>0.99748577874879985</v>
      </c>
      <c r="I48" s="2" cm="1">
        <f t="array" ref="I48">_xlfn.LET(_xlpm.d,I$2:I$36,_xlpm.f,$A$2:$A$36,_xlpm.g,$B$2:$B$36,_xlpm.k,$C48,AVERAGE(_xlfn._xlws.FILTER(_xlpm.d,(_xlpm.f=_xlpm.k)*(_xlpm.g=0))))</f>
        <v>0.97499595566654473</v>
      </c>
      <c r="J48" s="2" cm="1">
        <f t="array" ref="J48">_xlfn.LET(_xlpm.d,J$2:J$36,_xlpm.f,$A$2:$A$36,_xlpm.g,$B$2:$B$36,_xlpm.k,$C48,AVERAGE(_xlfn._xlws.FILTER(_xlpm.d,(_xlpm.f=_xlpm.k)*(_xlpm.g=0))))</f>
        <v>0.94502300960223184</v>
      </c>
      <c r="K48" s="2" cm="1">
        <f t="array" ref="K48">_xlfn.LET(_xlpm.d,K$2:K$36,_xlpm.f,$A$2:$A$36,_xlpm.g,$B$2:$B$36,_xlpm.k,$C48,AVERAGE(_xlfn._xlws.FILTER(_xlpm.d,(_xlpm.f=_xlpm.k)*(_xlpm.g=0))))</f>
        <v>0.94885485247712298</v>
      </c>
      <c r="L48" s="2" cm="1">
        <f t="array" ref="L48">_xlfn.LET(_xlpm.d,L$2:L$36,_xlpm.f,$A$2:$A$36,_xlpm.g,$B$2:$B$36,_xlpm.k,$C48,AVERAGE(_xlfn._xlws.FILTER(_xlpm.d,(_xlpm.f=_xlpm.k)*(_xlpm.g=0))))</f>
        <v>0.95442076344991822</v>
      </c>
      <c r="M48" s="2" cm="1">
        <f t="array" ref="M48">_xlfn.LET(_xlpm.d,M$2:M$36,_xlpm.f,$A$2:$A$36,_xlpm.g,$B$2:$B$36,_xlpm.k,$C48,AVERAGE(_xlfn._xlws.FILTER(_xlpm.d,(_xlpm.f=_xlpm.k)*(_xlpm.g=0))))</f>
        <v>0.91997400835695009</v>
      </c>
      <c r="N48" s="2" cm="1">
        <f t="array" ref="N48">_xlfn.LET(_xlpm.d,N$2:N$36,_xlpm.f,$A$2:$A$36,_xlpm.g,$B$2:$B$36,_xlpm.k,$C48,AVERAGE(_xlfn._xlws.FILTER(_xlpm.d,(_xlpm.f=_xlpm.k)*(_xlpm.g=0))))</f>
        <v>0.92864648566409913</v>
      </c>
      <c r="O48" s="2" cm="1">
        <f t="array" ref="O48">_xlfn.LET(_xlpm.d,O$2:O$36,_xlpm.f,$A$2:$A$36,_xlpm.g,$B$2:$B$36,_xlpm.k,$C48,AVERAGE(_xlfn._xlws.FILTER(_xlpm.d,(_xlpm.f=_xlpm.k)*(_xlpm.g=0))))</f>
        <v>0.94861035613897693</v>
      </c>
      <c r="P48" s="2" cm="1">
        <f t="array" ref="P48">_xlfn.LET(_xlpm.d,P$2:P$36,_xlpm.f,$A$2:$A$36,_xlpm.g,$B$2:$B$36,_xlpm.k,$C48,AVERAGE(_xlfn._xlws.FILTER(_xlpm.d,(_xlpm.f=_xlpm.k)*(_xlpm.g=0))))</f>
        <v>0.92585692696449684</v>
      </c>
      <c r="Q48" s="2" cm="1">
        <f t="array" ref="Q48">_xlfn.LET(_xlpm.d,Q$2:Q$36,_xlpm.f,$A$2:$A$36,_xlpm.g,$B$2:$B$36,_xlpm.k,$C48,AVERAGE(_xlfn._xlws.FILTER(_xlpm.d,(_xlpm.f=_xlpm.k)*(_xlpm.g=0))))</f>
        <v>0.96214553264072677</v>
      </c>
    </row>
    <row r="49" spans="3:17" ht="30" customHeight="1">
      <c r="C49" t="s">
        <v>42</v>
      </c>
      <c r="D49" s="2" cm="1">
        <f t="array" ref="D49">_xlfn.LET(_xlpm.d,D$2:D$36,_xlpm.f,$A$2:$A$36,_xlpm.g,$B$2:$B$36,_xlpm.k,$C49,AVERAGE(_xlfn._xlws.FILTER(_xlpm.d,(_xlpm.f=_xlpm.k)*(_xlpm.g=0))))</f>
        <v>0.67362265561799683</v>
      </c>
      <c r="E49" s="2" cm="1">
        <f t="array" ref="E49">_xlfn.LET(_xlpm.d,E$2:E$36,_xlpm.f,$A$2:$A$36,_xlpm.g,$B$2:$B$36,_xlpm.k,$C49,AVERAGE(_xlfn._xlws.FILTER(_xlpm.d,(_xlpm.f=_xlpm.k)*(_xlpm.g=0))))</f>
        <v>0.60447754420037214</v>
      </c>
      <c r="F49" s="2" cm="1">
        <f t="array" ref="F49">_xlfn.LET(_xlpm.d,F$2:F$36,_xlpm.f,$A$2:$A$36,_xlpm.g,$B$2:$B$36,_xlpm.k,$C49,AVERAGE(_xlfn._xlws.FILTER(_xlpm.d,(_xlpm.f=_xlpm.k)*(_xlpm.g=0))))</f>
        <v>0.64390628316444543</v>
      </c>
      <c r="G49" s="2" cm="1">
        <f t="array" ref="G49">_xlfn.LET(_xlpm.d,G$2:G$36,_xlpm.f,$A$2:$A$36,_xlpm.g,$B$2:$B$36,_xlpm.k,$C49,AVERAGE(_xlfn._xlws.FILTER(_xlpm.d,(_xlpm.f=_xlpm.k)*(_xlpm.g=0))))</f>
        <v>0.60742869267736921</v>
      </c>
      <c r="H49" s="2" cm="1">
        <f t="array" ref="H49">_xlfn.LET(_xlpm.d,H$2:H$36,_xlpm.f,$A$2:$A$36,_xlpm.g,$B$2:$B$36,_xlpm.k,$C49,AVERAGE(_xlfn._xlws.FILTER(_xlpm.d,(_xlpm.f=_xlpm.k)*(_xlpm.g=0))))</f>
        <v>0.51445962200289663</v>
      </c>
      <c r="I49" s="2" cm="1">
        <f t="array" ref="I49">_xlfn.LET(_xlpm.d,I$2:I$36,_xlpm.f,$A$2:$A$36,_xlpm.g,$B$2:$B$36,_xlpm.k,$C49,AVERAGE(_xlfn._xlws.FILTER(_xlpm.d,(_xlpm.f=_xlpm.k)*(_xlpm.g=0))))</f>
        <v>0.59651096209264465</v>
      </c>
      <c r="J49" s="2" cm="1">
        <f t="array" ref="J49">_xlfn.LET(_xlpm.d,J$2:J$36,_xlpm.f,$A$2:$A$36,_xlpm.g,$B$2:$B$36,_xlpm.k,$C49,AVERAGE(_xlfn._xlws.FILTER(_xlpm.d,(_xlpm.f=_xlpm.k)*(_xlpm.g=0))))</f>
        <v>0.54228167367939017</v>
      </c>
      <c r="K49" s="2" cm="1">
        <f t="array" ref="K49">_xlfn.LET(_xlpm.d,K$2:K$36,_xlpm.f,$A$2:$A$36,_xlpm.g,$B$2:$B$36,_xlpm.k,$C49,AVERAGE(_xlfn._xlws.FILTER(_xlpm.d,(_xlpm.f=_xlpm.k)*(_xlpm.g=0))))</f>
        <v>0.54786764730849136</v>
      </c>
      <c r="L49" s="2" cm="1">
        <f t="array" ref="L49">_xlfn.LET(_xlpm.d,L$2:L$36,_xlpm.f,$A$2:$A$36,_xlpm.g,$B$2:$B$36,_xlpm.k,$C49,AVERAGE(_xlfn._xlws.FILTER(_xlpm.d,(_xlpm.f=_xlpm.k)*(_xlpm.g=0))))</f>
        <v>0.55583050486715324</v>
      </c>
      <c r="M49" s="2" cm="1">
        <f t="array" ref="M49">_xlfn.LET(_xlpm.d,M$2:M$36,_xlpm.f,$A$2:$A$36,_xlpm.g,$B$2:$B$36,_xlpm.k,$C49,AVERAGE(_xlfn._xlws.FILTER(_xlpm.d,(_xlpm.f=_xlpm.k)*(_xlpm.g=0))))</f>
        <v>0.53444048165603419</v>
      </c>
      <c r="N49" s="2" cm="1">
        <f t="array" ref="N49">_xlfn.LET(_xlpm.d,N$2:N$36,_xlpm.f,$A$2:$A$36,_xlpm.g,$B$2:$B$36,_xlpm.k,$C49,AVERAGE(_xlfn._xlws.FILTER(_xlpm.d,(_xlpm.f=_xlpm.k)*(_xlpm.g=0))))</f>
        <v>0.50178045067288013</v>
      </c>
      <c r="O49" s="2" cm="1">
        <f t="array" ref="O49">_xlfn.LET(_xlpm.d,O$2:O$36,_xlpm.f,$A$2:$A$36,_xlpm.g,$B$2:$B$36,_xlpm.k,$C49,AVERAGE(_xlfn._xlws.FILTER(_xlpm.d,(_xlpm.f=_xlpm.k)*(_xlpm.g=0))))</f>
        <v>0.46085461045821813</v>
      </c>
      <c r="P49" s="2" cm="1">
        <f t="array" ref="P49">_xlfn.LET(_xlpm.d,P$2:P$36,_xlpm.f,$A$2:$A$36,_xlpm.g,$B$2:$B$36,_xlpm.k,$C49,AVERAGE(_xlfn._xlws.FILTER(_xlpm.d,(_xlpm.f=_xlpm.k)*(_xlpm.g=0))))</f>
        <v>0.51233391721308486</v>
      </c>
      <c r="Q49" s="2" cm="1">
        <f t="array" ref="Q49">_xlfn.LET(_xlpm.d,Q$2:Q$36,_xlpm.f,$A$2:$A$36,_xlpm.g,$B$2:$B$36,_xlpm.k,$C49,AVERAGE(_xlfn._xlws.FILTER(_xlpm.d,(_xlpm.f=_xlpm.k)*(_xlpm.g=0))))</f>
        <v>0.5612150035085367</v>
      </c>
    </row>
    <row r="50" spans="3:17" ht="30" customHeight="1">
      <c r="C50" t="s">
        <v>43</v>
      </c>
      <c r="D50" s="2" cm="1">
        <f t="array" ref="D50">_xlfn.LET(_xlpm.d,D$2:D$36,_xlpm.f,$A$2:$A$36,_xlpm.g,$B$2:$B$36,_xlpm.k,$C50,AVERAGE(_xlfn._xlws.FILTER(_xlpm.d,(_xlpm.f=_xlpm.k)*(_xlpm.g=0))))</f>
        <v>0.70209971197769738</v>
      </c>
      <c r="E50" s="2" cm="1">
        <f t="array" ref="E50">_xlfn.LET(_xlpm.d,E$2:E$36,_xlpm.f,$A$2:$A$36,_xlpm.g,$B$2:$B$36,_xlpm.k,$C50,AVERAGE(_xlfn._xlws.FILTER(_xlpm.d,(_xlpm.f=_xlpm.k)*(_xlpm.g=0))))</f>
        <v>0.63725049018477253</v>
      </c>
      <c r="F50" s="2" cm="1">
        <f t="array" ref="F50">_xlfn.LET(_xlpm.d,F$2:F$36,_xlpm.f,$A$2:$A$36,_xlpm.g,$B$2:$B$36,_xlpm.k,$C50,AVERAGE(_xlfn._xlws.FILTER(_xlpm.d,(_xlpm.f=_xlpm.k)*(_xlpm.g=0))))</f>
        <v>0.64407296246033841</v>
      </c>
      <c r="G50" s="2" cm="1">
        <f t="array" ref="G50">_xlfn.LET(_xlpm.d,G$2:G$36,_xlpm.f,$A$2:$A$36,_xlpm.g,$B$2:$B$36,_xlpm.k,$C50,AVERAGE(_xlfn._xlws.FILTER(_xlpm.d,(_xlpm.f=_xlpm.k)*(_xlpm.g=0))))</f>
        <v>0.59403152365462786</v>
      </c>
      <c r="H50" s="2" cm="1">
        <f t="array" ref="H50">_xlfn.LET(_xlpm.d,H$2:H$36,_xlpm.f,$A$2:$A$36,_xlpm.g,$B$2:$B$36,_xlpm.k,$C50,AVERAGE(_xlfn._xlws.FILTER(_xlpm.d,(_xlpm.f=_xlpm.k)*(_xlpm.g=0))))</f>
        <v>0.58844790589625073</v>
      </c>
      <c r="I50" s="2" cm="1">
        <f t="array" ref="I50">_xlfn.LET(_xlpm.d,I$2:I$36,_xlpm.f,$A$2:$A$36,_xlpm.g,$B$2:$B$36,_xlpm.k,$C50,AVERAGE(_xlfn._xlws.FILTER(_xlpm.d,(_xlpm.f=_xlpm.k)*(_xlpm.g=0))))</f>
        <v>0.60921712984680998</v>
      </c>
      <c r="J50" s="2" cm="1">
        <f t="array" ref="J50">_xlfn.LET(_xlpm.d,J$2:J$36,_xlpm.f,$A$2:$A$36,_xlpm.g,$B$2:$B$36,_xlpm.k,$C50,AVERAGE(_xlfn._xlws.FILTER(_xlpm.d,(_xlpm.f=_xlpm.k)*(_xlpm.g=0))))</f>
        <v>0.56911185979597689</v>
      </c>
      <c r="K50" s="2" cm="1">
        <f t="array" ref="K50">_xlfn.LET(_xlpm.d,K$2:K$36,_xlpm.f,$A$2:$A$36,_xlpm.g,$B$2:$B$36,_xlpm.k,$C50,AVERAGE(_xlfn._xlws.FILTER(_xlpm.d,(_xlpm.f=_xlpm.k)*(_xlpm.g=0))))</f>
        <v>0.62718193089678431</v>
      </c>
      <c r="L50" s="2" cm="1">
        <f t="array" ref="L50">_xlfn.LET(_xlpm.d,L$2:L$36,_xlpm.f,$A$2:$A$36,_xlpm.g,$B$2:$B$36,_xlpm.k,$C50,AVERAGE(_xlfn._xlws.FILTER(_xlpm.d,(_xlpm.f=_xlpm.k)*(_xlpm.g=0))))</f>
        <v>0.52686870960335352</v>
      </c>
      <c r="M50" s="2" cm="1">
        <f t="array" ref="M50">_xlfn.LET(_xlpm.d,M$2:M$36,_xlpm.f,$A$2:$A$36,_xlpm.g,$B$2:$B$36,_xlpm.k,$C50,AVERAGE(_xlfn._xlws.FILTER(_xlpm.d,(_xlpm.f=_xlpm.k)*(_xlpm.g=0))))</f>
        <v>0.54077997039257752</v>
      </c>
      <c r="N50" s="2" cm="1">
        <f t="array" ref="N50">_xlfn.LET(_xlpm.d,N$2:N$36,_xlpm.f,$A$2:$A$36,_xlpm.g,$B$2:$B$36,_xlpm.k,$C50,AVERAGE(_xlfn._xlws.FILTER(_xlpm.d,(_xlpm.f=_xlpm.k)*(_xlpm.g=0))))</f>
        <v>0.5594682964045824</v>
      </c>
      <c r="O50" s="2" cm="1">
        <f t="array" ref="O50">_xlfn.LET(_xlpm.d,O$2:O$36,_xlpm.f,$A$2:$A$36,_xlpm.g,$B$2:$B$36,_xlpm.k,$C50,AVERAGE(_xlfn._xlws.FILTER(_xlpm.d,(_xlpm.f=_xlpm.k)*(_xlpm.g=0))))</f>
        <v>0.54739518342193116</v>
      </c>
      <c r="P50" s="2" cm="1">
        <f t="array" ref="P50">_xlfn.LET(_xlpm.d,P$2:P$36,_xlpm.f,$A$2:$A$36,_xlpm.g,$B$2:$B$36,_xlpm.k,$C50,AVERAGE(_xlfn._xlws.FILTER(_xlpm.d,(_xlpm.f=_xlpm.k)*(_xlpm.g=0))))</f>
        <v>0.49452436075099748</v>
      </c>
      <c r="Q50" s="2" cm="1">
        <f t="array" ref="Q50">_xlfn.LET(_xlpm.d,Q$2:Q$36,_xlpm.f,$A$2:$A$36,_xlpm.g,$B$2:$B$36,_xlpm.k,$C50,AVERAGE(_xlfn._xlws.FILTER(_xlpm.d,(_xlpm.f=_xlpm.k)*(_xlpm.g=0))))</f>
        <v>0.58772692579128472</v>
      </c>
    </row>
    <row r="51" spans="3:17" ht="30" customHeight="1">
      <c r="C51" t="s">
        <v>44</v>
      </c>
      <c r="D51" s="2" cm="1">
        <f t="array" ref="D51">_xlfn.LET(_xlpm.d,D$2:D$36,_xlpm.f,$A$2:$A$36,_xlpm.g,$B$2:$B$36,_xlpm.k,$C51,AVERAGE(_xlfn._xlws.FILTER(_xlpm.d,(_xlpm.f=_xlpm.k)*(_xlpm.g=0))))</f>
        <v>0.7608060934764499</v>
      </c>
      <c r="E51" s="2" cm="1">
        <f t="array" ref="E51">_xlfn.LET(_xlpm.d,E$2:E$36,_xlpm.f,$A$2:$A$36,_xlpm.g,$B$2:$B$36,_xlpm.k,$C51,AVERAGE(_xlfn._xlws.FILTER(_xlpm.d,(_xlpm.f=_xlpm.k)*(_xlpm.g=0))))</f>
        <v>0.69511918287853824</v>
      </c>
      <c r="F51" s="2" cm="1">
        <f t="array" ref="F51">_xlfn.LET(_xlpm.d,F$2:F$36,_xlpm.f,$A$2:$A$36,_xlpm.g,$B$2:$B$36,_xlpm.k,$C51,AVERAGE(_xlfn._xlws.FILTER(_xlpm.d,(_xlpm.f=_xlpm.k)*(_xlpm.g=0))))</f>
        <v>0.72158751348814876</v>
      </c>
      <c r="G51" s="2" cm="1">
        <f t="array" ref="G51">_xlfn.LET(_xlpm.d,G$2:G$36,_xlpm.f,$A$2:$A$36,_xlpm.g,$B$2:$B$36,_xlpm.k,$C51,AVERAGE(_xlfn._xlws.FILTER(_xlpm.d,(_xlpm.f=_xlpm.k)*(_xlpm.g=0))))</f>
        <v>0.67161006013738456</v>
      </c>
      <c r="H51" s="2" cm="1">
        <f t="array" ref="H51">_xlfn.LET(_xlpm.d,H$2:H$36,_xlpm.f,$A$2:$A$36,_xlpm.g,$B$2:$B$36,_xlpm.k,$C51,AVERAGE(_xlfn._xlws.FILTER(_xlpm.d,(_xlpm.f=_xlpm.k)*(_xlpm.g=0))))</f>
        <v>0.70366894905682609</v>
      </c>
      <c r="I51" s="2" cm="1">
        <f t="array" ref="I51">_xlfn.LET(_xlpm.d,I$2:I$36,_xlpm.f,$A$2:$A$36,_xlpm.g,$B$2:$B$36,_xlpm.k,$C51,AVERAGE(_xlfn._xlws.FILTER(_xlpm.d,(_xlpm.f=_xlpm.k)*(_xlpm.g=0))))</f>
        <v>0.6782032915663323</v>
      </c>
      <c r="J51" s="2" cm="1">
        <f t="array" ref="J51">_xlfn.LET(_xlpm.d,J$2:J$36,_xlpm.f,$A$2:$A$36,_xlpm.g,$B$2:$B$36,_xlpm.k,$C51,AVERAGE(_xlfn._xlws.FILTER(_xlpm.d,(_xlpm.f=_xlpm.k)*(_xlpm.g=0))))</f>
        <v>0.61907976289247846</v>
      </c>
      <c r="K51" s="2" cm="1">
        <f t="array" ref="K51">_xlfn.LET(_xlpm.d,K$2:K$36,_xlpm.f,$A$2:$A$36,_xlpm.g,$B$2:$B$36,_xlpm.k,$C51,AVERAGE(_xlfn._xlws.FILTER(_xlpm.d,(_xlpm.f=_xlpm.k)*(_xlpm.g=0))))</f>
        <v>0.56711028028770594</v>
      </c>
      <c r="L51" s="2" cm="1">
        <f t="array" ref="L51">_xlfn.LET(_xlpm.d,L$2:L$36,_xlpm.f,$A$2:$A$36,_xlpm.g,$B$2:$B$36,_xlpm.k,$C51,AVERAGE(_xlfn._xlws.FILTER(_xlpm.d,(_xlpm.f=_xlpm.k)*(_xlpm.g=0))))</f>
        <v>0.60032267365939662</v>
      </c>
      <c r="M51" s="2" cm="1">
        <f t="array" ref="M51">_xlfn.LET(_xlpm.d,M$2:M$36,_xlpm.f,$A$2:$A$36,_xlpm.g,$B$2:$B$36,_xlpm.k,$C51,AVERAGE(_xlfn._xlws.FILTER(_xlpm.d,(_xlpm.f=_xlpm.k)*(_xlpm.g=0))))</f>
        <v>0.58519155033275949</v>
      </c>
      <c r="N51" s="2" cm="1">
        <f t="array" ref="N51">_xlfn.LET(_xlpm.d,N$2:N$36,_xlpm.f,$A$2:$A$36,_xlpm.g,$B$2:$B$36,_xlpm.k,$C51,AVERAGE(_xlfn._xlws.FILTER(_xlpm.d,(_xlpm.f=_xlpm.k)*(_xlpm.g=0))))</f>
        <v>0.64207257275114105</v>
      </c>
      <c r="O51" s="2" cm="1">
        <f t="array" ref="O51">_xlfn.LET(_xlpm.d,O$2:O$36,_xlpm.f,$A$2:$A$36,_xlpm.g,$B$2:$B$36,_xlpm.k,$C51,AVERAGE(_xlfn._xlws.FILTER(_xlpm.d,(_xlpm.f=_xlpm.k)*(_xlpm.g=0))))</f>
        <v>0.56850927437534082</v>
      </c>
      <c r="P51" s="2" cm="1">
        <f t="array" ref="P51">_xlfn.LET(_xlpm.d,P$2:P$36,_xlpm.f,$A$2:$A$36,_xlpm.g,$B$2:$B$36,_xlpm.k,$C51,AVERAGE(_xlfn._xlws.FILTER(_xlpm.d,(_xlpm.f=_xlpm.k)*(_xlpm.g=0))))</f>
        <v>0.6014048456436768</v>
      </c>
      <c r="Q51" s="2" cm="1">
        <f t="array" ref="Q51">_xlfn.LET(_xlpm.d,Q$2:Q$36,_xlpm.f,$A$2:$A$36,_xlpm.g,$B$2:$B$36,_xlpm.k,$C51,AVERAGE(_xlfn._xlws.FILTER(_xlpm.d,(_xlpm.f=_xlpm.k)*(_xlpm.g=0))))</f>
        <v>0.64728354234970598</v>
      </c>
    </row>
    <row r="52" spans="3:17" ht="30" customHeight="1">
      <c r="C52" t="s">
        <v>45</v>
      </c>
      <c r="D52" s="2" cm="1">
        <f t="array" ref="D52">_xlfn.LET(_xlpm.d,D$2:D$36,_xlpm.f,$A$2:$A$36,_xlpm.g,$B$2:$B$36,_xlpm.k,$C52,AVERAGE(_xlfn._xlws.FILTER(_xlpm.d,(_xlpm.f=_xlpm.k)*(_xlpm.g=0))))</f>
        <v>0.98870903709111246</v>
      </c>
      <c r="E52" s="2" cm="1">
        <f t="array" ref="E52">_xlfn.LET(_xlpm.d,E$2:E$36,_xlpm.f,$A$2:$A$36,_xlpm.g,$B$2:$B$36,_xlpm.k,$C52,AVERAGE(_xlfn._xlws.FILTER(_xlpm.d,(_xlpm.f=_xlpm.k)*(_xlpm.g=0))))</f>
        <v>0.99581948546475207</v>
      </c>
      <c r="F52" s="2" cm="1">
        <f t="array" ref="F52">_xlfn.LET(_xlpm.d,F$2:F$36,_xlpm.f,$A$2:$A$36,_xlpm.g,$B$2:$B$36,_xlpm.k,$C52,AVERAGE(_xlfn._xlws.FILTER(_xlpm.d,(_xlpm.f=_xlpm.k)*(_xlpm.g=0))))</f>
        <v>0.99125409006552756</v>
      </c>
      <c r="G52" s="2" cm="1">
        <f t="array" ref="G52">_xlfn.LET(_xlpm.d,G$2:G$36,_xlpm.f,$A$2:$A$36,_xlpm.g,$B$2:$B$36,_xlpm.k,$C52,AVERAGE(_xlfn._xlws.FILTER(_xlpm.d,(_xlpm.f=_xlpm.k)*(_xlpm.g=0))))</f>
        <v>0.97160233242458094</v>
      </c>
      <c r="H52" s="2" cm="1">
        <f t="array" ref="H52">_xlfn.LET(_xlpm.d,H$2:H$36,_xlpm.f,$A$2:$A$36,_xlpm.g,$B$2:$B$36,_xlpm.k,$C52,AVERAGE(_xlfn._xlws.FILTER(_xlpm.d,(_xlpm.f=_xlpm.k)*(_xlpm.g=0))))</f>
        <v>0.99524729324300398</v>
      </c>
      <c r="I52" s="2" cm="1">
        <f t="array" ref="I52">_xlfn.LET(_xlpm.d,I$2:I$36,_xlpm.f,$A$2:$A$36,_xlpm.g,$B$2:$B$36,_xlpm.k,$C52,AVERAGE(_xlfn._xlws.FILTER(_xlpm.d,(_xlpm.f=_xlpm.k)*(_xlpm.g=0))))</f>
        <v>0.98877062146130745</v>
      </c>
      <c r="J52" s="2" cm="1">
        <f t="array" ref="J52">_xlfn.LET(_xlpm.d,J$2:J$36,_xlpm.f,$A$2:$A$36,_xlpm.g,$B$2:$B$36,_xlpm.k,$C52,AVERAGE(_xlfn._xlws.FILTER(_xlpm.d,(_xlpm.f=_xlpm.k)*(_xlpm.g=0))))</f>
        <v>0.98959427875857786</v>
      </c>
      <c r="K52" s="2" cm="1">
        <f t="array" ref="K52">_xlfn.LET(_xlpm.d,K$2:K$36,_xlpm.f,$A$2:$A$36,_xlpm.g,$B$2:$B$36,_xlpm.k,$C52,AVERAGE(_xlfn._xlws.FILTER(_xlpm.d,(_xlpm.f=_xlpm.k)*(_xlpm.g=0))))</f>
        <v>0.99334145326243906</v>
      </c>
      <c r="L52" s="2" cm="1">
        <f t="array" ref="L52">_xlfn.LET(_xlpm.d,L$2:L$36,_xlpm.f,$A$2:$A$36,_xlpm.g,$B$2:$B$36,_xlpm.k,$C52,AVERAGE(_xlfn._xlws.FILTER(_xlpm.d,(_xlpm.f=_xlpm.k)*(_xlpm.g=0))))</f>
        <v>0.96121010386778305</v>
      </c>
      <c r="M52" s="2" cm="1">
        <f t="array" ref="M52">_xlfn.LET(_xlpm.d,M$2:M$36,_xlpm.f,$A$2:$A$36,_xlpm.g,$B$2:$B$36,_xlpm.k,$C52,AVERAGE(_xlfn._xlws.FILTER(_xlpm.d,(_xlpm.f=_xlpm.k)*(_xlpm.g=0))))</f>
        <v>0.96171491237330964</v>
      </c>
      <c r="N52" s="2" cm="1">
        <f t="array" ref="N52">_xlfn.LET(_xlpm.d,N$2:N$36,_xlpm.f,$A$2:$A$36,_xlpm.g,$B$2:$B$36,_xlpm.k,$C52,AVERAGE(_xlfn._xlws.FILTER(_xlpm.d,(_xlpm.f=_xlpm.k)*(_xlpm.g=0))))</f>
        <v>0.96433851910613366</v>
      </c>
      <c r="O52" s="2" cm="1">
        <f t="array" ref="O52">_xlfn.LET(_xlpm.d,O$2:O$36,_xlpm.f,$A$2:$A$36,_xlpm.g,$B$2:$B$36,_xlpm.k,$C52,AVERAGE(_xlfn._xlws.FILTER(_xlpm.d,(_xlpm.f=_xlpm.k)*(_xlpm.g=0))))</f>
        <v>0.95391040910002456</v>
      </c>
      <c r="P52" s="2" cm="1">
        <f t="array" ref="P52">_xlfn.LET(_xlpm.d,P$2:P$36,_xlpm.f,$A$2:$A$36,_xlpm.g,$B$2:$B$36,_xlpm.k,$C52,AVERAGE(_xlfn._xlws.FILTER(_xlpm.d,(_xlpm.f=_xlpm.k)*(_xlpm.g=0))))</f>
        <v>0.98253116313708444</v>
      </c>
      <c r="Q52" s="2" cm="1">
        <f t="array" ref="Q52">_xlfn.LET(_xlpm.d,Q$2:Q$36,_xlpm.f,$A$2:$A$36,_xlpm.g,$B$2:$B$36,_xlpm.k,$C52,AVERAGE(_xlfn._xlws.FILTER(_xlpm.d,(_xlpm.f=_xlpm.k)*(_xlpm.g=0))))</f>
        <v>0.97984951533504905</v>
      </c>
    </row>
  </sheetData>
  <phoneticPr fontId="1" type="noConversion"/>
  <conditionalFormatting sqref="D2:Q36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9:Q44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47:Q47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48:Q52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aNA.xsk-free</vt:lpstr>
      <vt:lpstr>aNA.r2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2025-07-10T05:42:18Z</dcterms:created>
  <dcterms:modified xsi:type="dcterms:W3CDTF">2025-09-11T04:47:32Z</dcterms:modified>
  <cp:category/>
</cp:coreProperties>
</file>