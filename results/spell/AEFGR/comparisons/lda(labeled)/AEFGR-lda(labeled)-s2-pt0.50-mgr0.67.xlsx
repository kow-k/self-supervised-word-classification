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13_ncr:1_{8C19BEA4-76FE-6A45-B8D5-D87628C6A8CD}" xr6:coauthVersionLast="47" xr6:coauthVersionMax="47" xr10:uidLastSave="{00000000-0000-0000-0000-000000000000}"/>
  <bookViews>
    <workbookView xWindow="1500" yWindow="500" windowWidth="34440" windowHeight="19100" xr2:uid="{AAB55906-58C7-F940-B4CF-E7AFA13CA4FF}"/>
  </bookViews>
  <sheets>
    <sheet name="aNA.xsk-free" sheetId="2" r:id="rId1"/>
    <sheet name="a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2" l="1"/>
  <c r="R29" i="2"/>
  <c r="Q29" i="2"/>
  <c r="P29" i="2"/>
  <c r="O29" i="2"/>
  <c r="N29" i="2"/>
  <c r="M29" i="2"/>
  <c r="L29" i="2"/>
  <c r="K29" i="2"/>
  <c r="J29" i="2"/>
  <c r="I29" i="2"/>
  <c r="H29" i="2"/>
  <c r="G29" i="2"/>
  <c r="T26" i="2"/>
  <c r="D26" i="2"/>
  <c r="C26" i="2"/>
  <c r="E26" i="2" s="1"/>
  <c r="B26" i="2"/>
  <c r="A26" i="2"/>
  <c r="T25" i="2"/>
  <c r="D25" i="2"/>
  <c r="C25" i="2"/>
  <c r="E25" i="2" s="1"/>
  <c r="B25" i="2"/>
  <c r="A25" i="2"/>
  <c r="T24" i="2"/>
  <c r="D24" i="2"/>
  <c r="C24" i="2"/>
  <c r="B24" i="2"/>
  <c r="A24" i="2"/>
  <c r="T23" i="2"/>
  <c r="D23" i="2"/>
  <c r="C23" i="2"/>
  <c r="E23" i="2" s="1"/>
  <c r="B23" i="2"/>
  <c r="A23" i="2"/>
  <c r="T22" i="2"/>
  <c r="D22" i="2"/>
  <c r="C22" i="2"/>
  <c r="E22" i="2" s="1"/>
  <c r="B22" i="2"/>
  <c r="A22" i="2"/>
  <c r="T21" i="2"/>
  <c r="D21" i="2"/>
  <c r="C21" i="2"/>
  <c r="B21" i="2"/>
  <c r="A21" i="2"/>
  <c r="T20" i="2"/>
  <c r="D20" i="2"/>
  <c r="C20" i="2"/>
  <c r="E20" i="2" s="1"/>
  <c r="B20" i="2"/>
  <c r="A20" i="2"/>
  <c r="T19" i="2"/>
  <c r="D19" i="2"/>
  <c r="C19" i="2"/>
  <c r="B19" i="2"/>
  <c r="A19" i="2"/>
  <c r="T18" i="2"/>
  <c r="D18" i="2"/>
  <c r="C18" i="2"/>
  <c r="B18" i="2"/>
  <c r="A18" i="2"/>
  <c r="T17" i="2"/>
  <c r="D17" i="2"/>
  <c r="C17" i="2"/>
  <c r="E17" i="2" s="1"/>
  <c r="B17" i="2"/>
  <c r="A17" i="2"/>
  <c r="T16" i="2"/>
  <c r="D16" i="2"/>
  <c r="C16" i="2"/>
  <c r="B16" i="2"/>
  <c r="A16" i="2"/>
  <c r="T15" i="2"/>
  <c r="D15" i="2"/>
  <c r="C15" i="2"/>
  <c r="E15" i="2" s="1"/>
  <c r="B15" i="2"/>
  <c r="A15" i="2"/>
  <c r="T14" i="2"/>
  <c r="D14" i="2"/>
  <c r="C14" i="2"/>
  <c r="B14" i="2"/>
  <c r="A14" i="2"/>
  <c r="T13" i="2"/>
  <c r="D13" i="2"/>
  <c r="C13" i="2"/>
  <c r="B13" i="2"/>
  <c r="A13" i="2"/>
  <c r="T12" i="2"/>
  <c r="D12" i="2"/>
  <c r="C12" i="2"/>
  <c r="B12" i="2"/>
  <c r="A12" i="2"/>
  <c r="T11" i="2"/>
  <c r="D11" i="2"/>
  <c r="C11" i="2"/>
  <c r="B11" i="2"/>
  <c r="A11" i="2"/>
  <c r="T10" i="2"/>
  <c r="D10" i="2"/>
  <c r="C10" i="2"/>
  <c r="E10" i="2" s="1"/>
  <c r="B10" i="2"/>
  <c r="A10" i="2"/>
  <c r="T9" i="2"/>
  <c r="D9" i="2"/>
  <c r="C9" i="2"/>
  <c r="E9" i="2" s="1"/>
  <c r="B9" i="2"/>
  <c r="A9" i="2"/>
  <c r="T8" i="2"/>
  <c r="D8" i="2"/>
  <c r="C8" i="2"/>
  <c r="B8" i="2"/>
  <c r="A8" i="2"/>
  <c r="T7" i="2"/>
  <c r="D7" i="2"/>
  <c r="C7" i="2"/>
  <c r="E7" i="2" s="1"/>
  <c r="B7" i="2"/>
  <c r="A7" i="2"/>
  <c r="T6" i="2"/>
  <c r="D6" i="2"/>
  <c r="C6" i="2"/>
  <c r="E6" i="2" s="1"/>
  <c r="B6" i="2"/>
  <c r="A6" i="2"/>
  <c r="T5" i="2"/>
  <c r="D5" i="2"/>
  <c r="C5" i="2"/>
  <c r="B5" i="2"/>
  <c r="A5" i="2"/>
  <c r="T4" i="2"/>
  <c r="D4" i="2"/>
  <c r="C4" i="2"/>
  <c r="B4" i="2"/>
  <c r="A4" i="2"/>
  <c r="T3" i="2"/>
  <c r="D3" i="2"/>
  <c r="C3" i="2"/>
  <c r="B3" i="2"/>
  <c r="A3" i="2"/>
  <c r="T2" i="2"/>
  <c r="D2" i="2"/>
  <c r="C2" i="2"/>
  <c r="B2" i="2"/>
  <c r="A2" i="2"/>
  <c r="N55" i="1" a="1"/>
  <c r="N55" i="1" s="1"/>
  <c r="O55" i="1" a="1"/>
  <c r="O55" i="1" s="1"/>
  <c r="P55" i="1" a="1"/>
  <c r="P55" i="1" s="1"/>
  <c r="Q55" i="1" a="1"/>
  <c r="Q55" i="1" s="1"/>
  <c r="R55" i="1" a="1"/>
  <c r="R55" i="1" s="1"/>
  <c r="S55" i="1" a="1"/>
  <c r="S55" i="1" s="1"/>
  <c r="N56" i="1" a="1"/>
  <c r="N56" i="1" s="1"/>
  <c r="O56" i="1" a="1"/>
  <c r="O56" i="1" s="1"/>
  <c r="P56" i="1" a="1"/>
  <c r="P56" i="1" s="1"/>
  <c r="Q56" i="1" a="1"/>
  <c r="Q56" i="1" s="1"/>
  <c r="R56" i="1" a="1"/>
  <c r="R56" i="1" s="1"/>
  <c r="S56" i="1" a="1"/>
  <c r="S56" i="1" s="1"/>
  <c r="N57" i="1" a="1"/>
  <c r="N57" i="1" s="1"/>
  <c r="O57" i="1" a="1"/>
  <c r="O57" i="1" s="1"/>
  <c r="P57" i="1" a="1"/>
  <c r="P57" i="1" s="1"/>
  <c r="Q57" i="1" a="1"/>
  <c r="Q57" i="1"/>
  <c r="R57" i="1" a="1"/>
  <c r="R57" i="1"/>
  <c r="S57" i="1" a="1"/>
  <c r="S57" i="1" s="1"/>
  <c r="N58" i="1" a="1"/>
  <c r="N58" i="1" s="1"/>
  <c r="O58" i="1" a="1"/>
  <c r="O58" i="1" s="1"/>
  <c r="P58" i="1" a="1"/>
  <c r="P58" i="1" s="1"/>
  <c r="Q58" i="1" a="1"/>
  <c r="Q58" i="1" s="1"/>
  <c r="R58" i="1" a="1"/>
  <c r="R58" i="1" s="1"/>
  <c r="S58" i="1" a="1"/>
  <c r="S58" i="1" s="1"/>
  <c r="N47" i="1" a="1"/>
  <c r="N47" i="1" s="1"/>
  <c r="O47" i="1" a="1"/>
  <c r="O47" i="1" s="1"/>
  <c r="P47" i="1" a="1"/>
  <c r="P47" i="1" s="1"/>
  <c r="Q47" i="1" a="1"/>
  <c r="Q47" i="1" s="1"/>
  <c r="R47" i="1" a="1"/>
  <c r="R47" i="1" s="1"/>
  <c r="S47" i="1" a="1"/>
  <c r="S47" i="1" s="1"/>
  <c r="N48" i="1" a="1"/>
  <c r="N48" i="1"/>
  <c r="O48" i="1" a="1"/>
  <c r="O48" i="1" s="1"/>
  <c r="P48" i="1" a="1"/>
  <c r="P48" i="1" s="1"/>
  <c r="Q48" i="1" a="1"/>
  <c r="Q48" i="1" s="1"/>
  <c r="R48" i="1" a="1"/>
  <c r="R48" i="1"/>
  <c r="S48" i="1" a="1"/>
  <c r="S48" i="1" s="1"/>
  <c r="N49" i="1" a="1"/>
  <c r="N49" i="1" s="1"/>
  <c r="O49" i="1" a="1"/>
  <c r="O49" i="1" s="1"/>
  <c r="P49" i="1" a="1"/>
  <c r="P49" i="1" s="1"/>
  <c r="Q49" i="1" a="1"/>
  <c r="Q49" i="1" s="1"/>
  <c r="R49" i="1" a="1"/>
  <c r="R49" i="1" s="1"/>
  <c r="S49" i="1" a="1"/>
  <c r="S49" i="1" s="1"/>
  <c r="N50" i="1" a="1"/>
  <c r="N50" i="1"/>
  <c r="O50" i="1" a="1"/>
  <c r="O50" i="1" s="1"/>
  <c r="P50" i="1" a="1"/>
  <c r="P50" i="1" s="1"/>
  <c r="Q50" i="1" a="1"/>
  <c r="Q50" i="1" s="1"/>
  <c r="R50" i="1" a="1"/>
  <c r="R50" i="1" s="1"/>
  <c r="S50" i="1" a="1"/>
  <c r="S50" i="1" s="1"/>
  <c r="N51" i="1" a="1"/>
  <c r="N51" i="1" s="1"/>
  <c r="O51" i="1" a="1"/>
  <c r="O51" i="1" s="1"/>
  <c r="P51" i="1" a="1"/>
  <c r="P51" i="1" s="1"/>
  <c r="Q51" i="1" a="1"/>
  <c r="Q51" i="1" s="1"/>
  <c r="R51" i="1" a="1"/>
  <c r="R51" i="1" s="1"/>
  <c r="S51" i="1" a="1"/>
  <c r="S51" i="1"/>
  <c r="N52" i="1" a="1"/>
  <c r="N52" i="1" s="1"/>
  <c r="O52" i="1" a="1"/>
  <c r="O52" i="1" s="1"/>
  <c r="P52" i="1" a="1"/>
  <c r="P52" i="1" s="1"/>
  <c r="Q52" i="1" a="1"/>
  <c r="Q52" i="1" s="1"/>
  <c r="R52" i="1" a="1"/>
  <c r="R52" i="1" s="1"/>
  <c r="S52" i="1" a="1"/>
  <c r="S52" i="1" s="1"/>
  <c r="N39" i="1"/>
  <c r="O39" i="1"/>
  <c r="P39" i="1"/>
  <c r="Q39" i="1"/>
  <c r="R39" i="1"/>
  <c r="S39" i="1"/>
  <c r="N40" i="1" a="1"/>
  <c r="N40" i="1" s="1"/>
  <c r="O40" i="1" a="1"/>
  <c r="O40" i="1" s="1"/>
  <c r="P40" i="1" a="1"/>
  <c r="P40" i="1" s="1"/>
  <c r="Q40" i="1" a="1"/>
  <c r="Q40" i="1"/>
  <c r="R40" i="1" a="1"/>
  <c r="R40" i="1" s="1"/>
  <c r="S40" i="1" a="1"/>
  <c r="S40" i="1" s="1"/>
  <c r="N41" i="1" a="1"/>
  <c r="N41" i="1" s="1"/>
  <c r="O41" i="1" a="1"/>
  <c r="O41" i="1" s="1"/>
  <c r="P41" i="1" a="1"/>
  <c r="P41" i="1" s="1"/>
  <c r="Q41" i="1" a="1"/>
  <c r="Q41" i="1" s="1"/>
  <c r="R41" i="1" a="1"/>
  <c r="R41" i="1" s="1"/>
  <c r="S41" i="1" a="1"/>
  <c r="S41" i="1" s="1"/>
  <c r="N42" i="1" a="1"/>
  <c r="N42" i="1"/>
  <c r="O42" i="1" a="1"/>
  <c r="O42" i="1" s="1"/>
  <c r="P42" i="1" a="1"/>
  <c r="P42" i="1" s="1"/>
  <c r="Q42" i="1" a="1"/>
  <c r="Q42" i="1"/>
  <c r="R42" i="1" a="1"/>
  <c r="R42" i="1" s="1"/>
  <c r="S42" i="1" a="1"/>
  <c r="S42" i="1" s="1"/>
  <c r="N43" i="1" a="1"/>
  <c r="N43" i="1" s="1"/>
  <c r="O43" i="1" a="1"/>
  <c r="O43" i="1" s="1"/>
  <c r="P43" i="1" a="1"/>
  <c r="P43" i="1" s="1"/>
  <c r="Q43" i="1" a="1"/>
  <c r="Q43" i="1" s="1"/>
  <c r="R43" i="1" a="1"/>
  <c r="R43" i="1" s="1"/>
  <c r="S43" i="1" a="1"/>
  <c r="S43" i="1" s="1"/>
  <c r="N44" i="1" a="1"/>
  <c r="N44" i="1" s="1"/>
  <c r="O44" i="1" a="1"/>
  <c r="O44" i="1" s="1"/>
  <c r="P44" i="1" a="1"/>
  <c r="P44" i="1" s="1"/>
  <c r="Q44" i="1" a="1"/>
  <c r="Q44" i="1" s="1"/>
  <c r="R44" i="1" a="1"/>
  <c r="R44" i="1" s="1"/>
  <c r="S44" i="1" a="1"/>
  <c r="S44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23" i="1" s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C2" i="1"/>
  <c r="C3" i="1"/>
  <c r="E3" i="1" s="1"/>
  <c r="C4" i="1"/>
  <c r="C5" i="1"/>
  <c r="C6" i="1"/>
  <c r="E6" i="1" s="1"/>
  <c r="C7" i="1"/>
  <c r="C8" i="1"/>
  <c r="E8" i="1" s="1"/>
  <c r="C9" i="1"/>
  <c r="C10" i="1"/>
  <c r="E10" i="1" s="1"/>
  <c r="C11" i="1"/>
  <c r="C12" i="1"/>
  <c r="C13" i="1"/>
  <c r="C14" i="1"/>
  <c r="E14" i="1" s="1"/>
  <c r="C15" i="1"/>
  <c r="E15" i="1" s="1"/>
  <c r="C16" i="1"/>
  <c r="E16" i="1" s="1"/>
  <c r="C17" i="1"/>
  <c r="C18" i="1"/>
  <c r="E18" i="1" s="1"/>
  <c r="C19" i="1"/>
  <c r="C20" i="1"/>
  <c r="C21" i="1"/>
  <c r="C22" i="1"/>
  <c r="E22" i="1" s="1"/>
  <c r="C23" i="1"/>
  <c r="C24" i="1"/>
  <c r="E24" i="1" s="1"/>
  <c r="C25" i="1"/>
  <c r="C26" i="1"/>
  <c r="E26" i="1" s="1"/>
  <c r="C27" i="1"/>
  <c r="E27" i="1" s="1"/>
  <c r="C28" i="1"/>
  <c r="C29" i="1"/>
  <c r="C30" i="1"/>
  <c r="E30" i="1" s="1"/>
  <c r="C31" i="1"/>
  <c r="C32" i="1"/>
  <c r="E32" i="1" s="1"/>
  <c r="C33" i="1"/>
  <c r="C34" i="1"/>
  <c r="E34" i="1" s="1"/>
  <c r="C35" i="1"/>
  <c r="E35" i="1" s="1"/>
  <c r="C36" i="1"/>
  <c r="A15" i="1"/>
  <c r="A16" i="1"/>
  <c r="A17" i="1"/>
  <c r="A18" i="1"/>
  <c r="A19" i="1"/>
  <c r="A20" i="1"/>
  <c r="A21" i="1"/>
  <c r="A22" i="1"/>
  <c r="A23" i="1"/>
  <c r="A24" i="1"/>
  <c r="A25" i="1"/>
  <c r="B15" i="1"/>
  <c r="B16" i="1"/>
  <c r="B17" i="1"/>
  <c r="B18" i="1"/>
  <c r="B19" i="1"/>
  <c r="B20" i="1"/>
  <c r="B21" i="1"/>
  <c r="B22" i="1"/>
  <c r="B23" i="1"/>
  <c r="B24" i="1"/>
  <c r="B25" i="1"/>
  <c r="T15" i="1"/>
  <c r="T16" i="1"/>
  <c r="T17" i="1"/>
  <c r="T18" i="1"/>
  <c r="T19" i="1"/>
  <c r="T20" i="1"/>
  <c r="T21" i="1"/>
  <c r="T22" i="1"/>
  <c r="T23" i="1"/>
  <c r="T24" i="1"/>
  <c r="T25" i="1"/>
  <c r="H39" i="1"/>
  <c r="I39" i="1"/>
  <c r="J39" i="1"/>
  <c r="K39" i="1"/>
  <c r="L39" i="1"/>
  <c r="M39" i="1"/>
  <c r="G3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26" i="1"/>
  <c r="T27" i="1"/>
  <c r="T28" i="1"/>
  <c r="T29" i="1"/>
  <c r="T30" i="1"/>
  <c r="T31" i="1"/>
  <c r="T32" i="1"/>
  <c r="T33" i="1"/>
  <c r="T34" i="1"/>
  <c r="T35" i="1"/>
  <c r="T3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26" i="1"/>
  <c r="B27" i="1"/>
  <c r="B28" i="1"/>
  <c r="B29" i="1"/>
  <c r="B30" i="1"/>
  <c r="B31" i="1"/>
  <c r="B32" i="1"/>
  <c r="B33" i="1"/>
  <c r="B34" i="1"/>
  <c r="B35" i="1"/>
  <c r="B36" i="1"/>
  <c r="E8" i="2" l="1"/>
  <c r="E16" i="2"/>
  <c r="E24" i="2"/>
  <c r="E19" i="2"/>
  <c r="E3" i="2"/>
  <c r="E13" i="2"/>
  <c r="E12" i="2"/>
  <c r="T42" i="2" a="1"/>
  <c r="T42" i="2" s="1"/>
  <c r="E14" i="2"/>
  <c r="R46" i="2" a="1"/>
  <c r="R46" i="2" s="1"/>
  <c r="E5" i="2"/>
  <c r="E2" i="2"/>
  <c r="E18" i="2"/>
  <c r="E21" i="2"/>
  <c r="E4" i="2"/>
  <c r="R45" i="2" a="1"/>
  <c r="R45" i="2" s="1"/>
  <c r="T29" i="2"/>
  <c r="E11" i="2"/>
  <c r="I30" i="2" a="1"/>
  <c r="I30" i="2" s="1"/>
  <c r="M30" i="2" a="1"/>
  <c r="M30" i="2" s="1"/>
  <c r="Q30" i="2" a="1"/>
  <c r="Q30" i="2" s="1"/>
  <c r="G31" i="2" a="1"/>
  <c r="G31" i="2" s="1"/>
  <c r="K31" i="2" a="1"/>
  <c r="K31" i="2" s="1"/>
  <c r="O31" i="2" a="1"/>
  <c r="O31" i="2" s="1"/>
  <c r="S31" i="2" a="1"/>
  <c r="S31" i="2" s="1"/>
  <c r="I32" i="2" a="1"/>
  <c r="I32" i="2" s="1"/>
  <c r="M32" i="2" a="1"/>
  <c r="M32" i="2" s="1"/>
  <c r="Q32" i="2" a="1"/>
  <c r="Q32" i="2" s="1"/>
  <c r="G33" i="2" a="1"/>
  <c r="G33" i="2" s="1"/>
  <c r="K33" i="2" a="1"/>
  <c r="K33" i="2" s="1"/>
  <c r="O33" i="2" a="1"/>
  <c r="O33" i="2" s="1"/>
  <c r="S33" i="2" a="1"/>
  <c r="S33" i="2" s="1"/>
  <c r="I34" i="2" a="1"/>
  <c r="I34" i="2" s="1"/>
  <c r="M34" i="2" a="1"/>
  <c r="M34" i="2" s="1"/>
  <c r="Q34" i="2" a="1"/>
  <c r="Q34" i="2" s="1"/>
  <c r="G37" i="2" a="1"/>
  <c r="G37" i="2" s="1"/>
  <c r="K37" i="2" a="1"/>
  <c r="K37" i="2" s="1"/>
  <c r="O37" i="2" a="1"/>
  <c r="O37" i="2" s="1"/>
  <c r="S37" i="2" a="1"/>
  <c r="S37" i="2" s="1"/>
  <c r="I38" i="2" a="1"/>
  <c r="I38" i="2" s="1"/>
  <c r="M38" i="2" a="1"/>
  <c r="M38" i="2" s="1"/>
  <c r="Q38" i="2" a="1"/>
  <c r="Q38" i="2" s="1"/>
  <c r="G39" i="2" a="1"/>
  <c r="G39" i="2" s="1"/>
  <c r="K39" i="2" a="1"/>
  <c r="K39" i="2" s="1"/>
  <c r="O39" i="2" a="1"/>
  <c r="O39" i="2" s="1"/>
  <c r="S39" i="2" a="1"/>
  <c r="S39" i="2" s="1"/>
  <c r="I40" i="2" a="1"/>
  <c r="I40" i="2" s="1"/>
  <c r="M40" i="2" a="1"/>
  <c r="M40" i="2" s="1"/>
  <c r="Q40" i="2" a="1"/>
  <c r="Q40" i="2" s="1"/>
  <c r="G41" i="2" a="1"/>
  <c r="G41" i="2" s="1"/>
  <c r="K41" i="2" a="1"/>
  <c r="K41" i="2" s="1"/>
  <c r="O41" i="2" a="1"/>
  <c r="O41" i="2" s="1"/>
  <c r="S41" i="2" a="1"/>
  <c r="S41" i="2" s="1"/>
  <c r="I42" i="2" a="1"/>
  <c r="I42" i="2" s="1"/>
  <c r="M42" i="2" a="1"/>
  <c r="M42" i="2" s="1"/>
  <c r="Q42" i="2" a="1"/>
  <c r="Q42" i="2" s="1"/>
  <c r="G45" i="2" a="1"/>
  <c r="G45" i="2" s="1"/>
  <c r="K45" i="2" a="1"/>
  <c r="K45" i="2" s="1"/>
  <c r="O45" i="2" a="1"/>
  <c r="O45" i="2" s="1"/>
  <c r="S45" i="2" a="1"/>
  <c r="S45" i="2" s="1"/>
  <c r="G46" i="2" a="1"/>
  <c r="G46" i="2" s="1"/>
  <c r="K46" i="2" a="1"/>
  <c r="K46" i="2" s="1"/>
  <c r="O46" i="2" a="1"/>
  <c r="O46" i="2" s="1"/>
  <c r="S46" i="2" a="1"/>
  <c r="S46" i="2" s="1"/>
  <c r="J30" i="2" a="1"/>
  <c r="J30" i="2" s="1"/>
  <c r="N30" i="2" a="1"/>
  <c r="N30" i="2" s="1"/>
  <c r="R30" i="2" a="1"/>
  <c r="R30" i="2" s="1"/>
  <c r="H31" i="2" a="1"/>
  <c r="H31" i="2" s="1"/>
  <c r="L31" i="2" a="1"/>
  <c r="L31" i="2" s="1"/>
  <c r="P31" i="2" a="1"/>
  <c r="P31" i="2" s="1"/>
  <c r="T31" i="2" a="1"/>
  <c r="T31" i="2" s="1"/>
  <c r="J32" i="2" a="1"/>
  <c r="J32" i="2" s="1"/>
  <c r="N32" i="2" a="1"/>
  <c r="N32" i="2" s="1"/>
  <c r="R32" i="2" a="1"/>
  <c r="R32" i="2" s="1"/>
  <c r="H33" i="2" a="1"/>
  <c r="H33" i="2" s="1"/>
  <c r="L33" i="2" a="1"/>
  <c r="L33" i="2" s="1"/>
  <c r="P33" i="2" a="1"/>
  <c r="P33" i="2" s="1"/>
  <c r="T33" i="2" a="1"/>
  <c r="T33" i="2" s="1"/>
  <c r="J34" i="2" a="1"/>
  <c r="J34" i="2" s="1"/>
  <c r="N34" i="2" a="1"/>
  <c r="N34" i="2" s="1"/>
  <c r="R34" i="2" a="1"/>
  <c r="R34" i="2" s="1"/>
  <c r="H37" i="2" a="1"/>
  <c r="H37" i="2" s="1"/>
  <c r="L37" i="2" a="1"/>
  <c r="L37" i="2" s="1"/>
  <c r="P37" i="2" a="1"/>
  <c r="P37" i="2" s="1"/>
  <c r="T37" i="2" a="1"/>
  <c r="T37" i="2" s="1"/>
  <c r="J38" i="2" a="1"/>
  <c r="J38" i="2" s="1"/>
  <c r="N38" i="2" a="1"/>
  <c r="N38" i="2" s="1"/>
  <c r="R38" i="2" a="1"/>
  <c r="R38" i="2" s="1"/>
  <c r="H39" i="2" a="1"/>
  <c r="H39" i="2" s="1"/>
  <c r="L39" i="2" a="1"/>
  <c r="L39" i="2" s="1"/>
  <c r="P39" i="2" a="1"/>
  <c r="P39" i="2" s="1"/>
  <c r="T39" i="2" a="1"/>
  <c r="T39" i="2" s="1"/>
  <c r="J40" i="2" a="1"/>
  <c r="J40" i="2" s="1"/>
  <c r="N40" i="2" a="1"/>
  <c r="N40" i="2" s="1"/>
  <c r="R40" i="2" a="1"/>
  <c r="R40" i="2" s="1"/>
  <c r="H41" i="2" a="1"/>
  <c r="H41" i="2" s="1"/>
  <c r="L41" i="2" a="1"/>
  <c r="L41" i="2" s="1"/>
  <c r="P41" i="2" a="1"/>
  <c r="P41" i="2" s="1"/>
  <c r="T41" i="2" a="1"/>
  <c r="T41" i="2" s="1"/>
  <c r="J42" i="2" a="1"/>
  <c r="J42" i="2" s="1"/>
  <c r="N42" i="2" a="1"/>
  <c r="N42" i="2" s="1"/>
  <c r="R42" i="2" a="1"/>
  <c r="R42" i="2" s="1"/>
  <c r="H45" i="2" a="1"/>
  <c r="H45" i="2" s="1"/>
  <c r="L45" i="2" a="1"/>
  <c r="L45" i="2" s="1"/>
  <c r="P45" i="2" a="1"/>
  <c r="P45" i="2" s="1"/>
  <c r="T45" i="2" a="1"/>
  <c r="T45" i="2" s="1"/>
  <c r="H46" i="2" a="1"/>
  <c r="H46" i="2" s="1"/>
  <c r="L46" i="2" a="1"/>
  <c r="L46" i="2" s="1"/>
  <c r="P46" i="2" a="1"/>
  <c r="P46" i="2" s="1"/>
  <c r="T46" i="2" a="1"/>
  <c r="T46" i="2" s="1"/>
  <c r="G30" i="2" a="1"/>
  <c r="G30" i="2" s="1"/>
  <c r="K30" i="2" a="1"/>
  <c r="K30" i="2" s="1"/>
  <c r="O30" i="2" a="1"/>
  <c r="O30" i="2" s="1"/>
  <c r="S30" i="2" a="1"/>
  <c r="S30" i="2" s="1"/>
  <c r="I31" i="2" a="1"/>
  <c r="I31" i="2" s="1"/>
  <c r="M31" i="2" a="1"/>
  <c r="M31" i="2" s="1"/>
  <c r="Q31" i="2" a="1"/>
  <c r="Q31" i="2" s="1"/>
  <c r="G32" i="2" a="1"/>
  <c r="G32" i="2" s="1"/>
  <c r="K32" i="2" a="1"/>
  <c r="K32" i="2" s="1"/>
  <c r="O32" i="2" a="1"/>
  <c r="O32" i="2" s="1"/>
  <c r="S32" i="2" a="1"/>
  <c r="S32" i="2" s="1"/>
  <c r="I33" i="2" a="1"/>
  <c r="I33" i="2" s="1"/>
  <c r="M33" i="2" a="1"/>
  <c r="M33" i="2" s="1"/>
  <c r="Q33" i="2" a="1"/>
  <c r="Q33" i="2" s="1"/>
  <c r="G34" i="2" a="1"/>
  <c r="G34" i="2" s="1"/>
  <c r="K34" i="2" a="1"/>
  <c r="K34" i="2" s="1"/>
  <c r="O34" i="2" a="1"/>
  <c r="O34" i="2" s="1"/>
  <c r="S34" i="2" a="1"/>
  <c r="S34" i="2" s="1"/>
  <c r="I37" i="2" a="1"/>
  <c r="I37" i="2" s="1"/>
  <c r="M37" i="2" a="1"/>
  <c r="M37" i="2" s="1"/>
  <c r="Q37" i="2" a="1"/>
  <c r="Q37" i="2" s="1"/>
  <c r="G38" i="2" a="1"/>
  <c r="G38" i="2" s="1"/>
  <c r="K38" i="2" a="1"/>
  <c r="K38" i="2" s="1"/>
  <c r="O38" i="2" a="1"/>
  <c r="O38" i="2" s="1"/>
  <c r="S38" i="2" a="1"/>
  <c r="S38" i="2" s="1"/>
  <c r="I39" i="2" a="1"/>
  <c r="I39" i="2" s="1"/>
  <c r="M39" i="2" a="1"/>
  <c r="M39" i="2" s="1"/>
  <c r="Q39" i="2" a="1"/>
  <c r="Q39" i="2" s="1"/>
  <c r="G40" i="2" a="1"/>
  <c r="G40" i="2" s="1"/>
  <c r="K40" i="2" a="1"/>
  <c r="K40" i="2" s="1"/>
  <c r="O40" i="2" a="1"/>
  <c r="O40" i="2" s="1"/>
  <c r="S40" i="2" a="1"/>
  <c r="S40" i="2" s="1"/>
  <c r="I41" i="2" a="1"/>
  <c r="I41" i="2" s="1"/>
  <c r="M41" i="2" a="1"/>
  <c r="M41" i="2" s="1"/>
  <c r="Q41" i="2" a="1"/>
  <c r="Q41" i="2" s="1"/>
  <c r="G42" i="2" a="1"/>
  <c r="G42" i="2" s="1"/>
  <c r="K42" i="2" a="1"/>
  <c r="K42" i="2" s="1"/>
  <c r="O42" i="2" a="1"/>
  <c r="O42" i="2" s="1"/>
  <c r="S42" i="2" a="1"/>
  <c r="S42" i="2" s="1"/>
  <c r="I45" i="2" a="1"/>
  <c r="I45" i="2" s="1"/>
  <c r="M45" i="2" a="1"/>
  <c r="M45" i="2" s="1"/>
  <c r="Q45" i="2" a="1"/>
  <c r="Q45" i="2" s="1"/>
  <c r="I46" i="2" a="1"/>
  <c r="I46" i="2" s="1"/>
  <c r="M46" i="2" a="1"/>
  <c r="M46" i="2" s="1"/>
  <c r="Q46" i="2" a="1"/>
  <c r="Q46" i="2" s="1"/>
  <c r="H30" i="2" a="1"/>
  <c r="H30" i="2" s="1"/>
  <c r="L30" i="2" a="1"/>
  <c r="L30" i="2" s="1"/>
  <c r="P30" i="2" a="1"/>
  <c r="P30" i="2" s="1"/>
  <c r="T30" i="2" a="1"/>
  <c r="T30" i="2" s="1"/>
  <c r="J31" i="2" a="1"/>
  <c r="J31" i="2" s="1"/>
  <c r="N31" i="2" a="1"/>
  <c r="N31" i="2" s="1"/>
  <c r="R31" i="2" a="1"/>
  <c r="R31" i="2" s="1"/>
  <c r="H32" i="2" a="1"/>
  <c r="H32" i="2" s="1"/>
  <c r="L32" i="2" a="1"/>
  <c r="L32" i="2" s="1"/>
  <c r="P32" i="2" a="1"/>
  <c r="P32" i="2" s="1"/>
  <c r="T32" i="2" a="1"/>
  <c r="T32" i="2" s="1"/>
  <c r="J33" i="2" a="1"/>
  <c r="J33" i="2" s="1"/>
  <c r="N33" i="2" a="1"/>
  <c r="N33" i="2" s="1"/>
  <c r="R33" i="2" a="1"/>
  <c r="R33" i="2" s="1"/>
  <c r="H34" i="2" a="1"/>
  <c r="H34" i="2" s="1"/>
  <c r="L34" i="2" a="1"/>
  <c r="L34" i="2" s="1"/>
  <c r="P34" i="2" a="1"/>
  <c r="P34" i="2" s="1"/>
  <c r="T34" i="2" a="1"/>
  <c r="T34" i="2" s="1"/>
  <c r="J37" i="2" a="1"/>
  <c r="J37" i="2" s="1"/>
  <c r="N37" i="2" a="1"/>
  <c r="N37" i="2" s="1"/>
  <c r="R37" i="2" a="1"/>
  <c r="R37" i="2" s="1"/>
  <c r="H38" i="2" a="1"/>
  <c r="H38" i="2" s="1"/>
  <c r="L38" i="2" a="1"/>
  <c r="L38" i="2" s="1"/>
  <c r="P38" i="2" a="1"/>
  <c r="P38" i="2" s="1"/>
  <c r="T38" i="2" a="1"/>
  <c r="T38" i="2" s="1"/>
  <c r="J39" i="2" a="1"/>
  <c r="J39" i="2" s="1"/>
  <c r="N39" i="2" a="1"/>
  <c r="N39" i="2" s="1"/>
  <c r="R39" i="2" a="1"/>
  <c r="R39" i="2" s="1"/>
  <c r="H40" i="2" a="1"/>
  <c r="H40" i="2" s="1"/>
  <c r="L40" i="2" a="1"/>
  <c r="L40" i="2" s="1"/>
  <c r="P40" i="2" a="1"/>
  <c r="P40" i="2" s="1"/>
  <c r="T40" i="2" a="1"/>
  <c r="T40" i="2" s="1"/>
  <c r="J41" i="2" a="1"/>
  <c r="J41" i="2" s="1"/>
  <c r="N41" i="2" a="1"/>
  <c r="N41" i="2" s="1"/>
  <c r="R41" i="2" a="1"/>
  <c r="R41" i="2" s="1"/>
  <c r="H42" i="2" a="1"/>
  <c r="H42" i="2" s="1"/>
  <c r="L42" i="2" a="1"/>
  <c r="L42" i="2" s="1"/>
  <c r="P42" i="2" a="1"/>
  <c r="P42" i="2" s="1"/>
  <c r="J45" i="2" a="1"/>
  <c r="J45" i="2" s="1"/>
  <c r="N45" i="2" a="1"/>
  <c r="N45" i="2" s="1"/>
  <c r="J46" i="2" a="1"/>
  <c r="J46" i="2" s="1"/>
  <c r="N46" i="2" a="1"/>
  <c r="N46" i="2" s="1"/>
  <c r="M55" i="1" a="1"/>
  <c r="M55" i="1" s="1"/>
  <c r="E33" i="1"/>
  <c r="E25" i="1"/>
  <c r="E17" i="1"/>
  <c r="E9" i="1"/>
  <c r="E36" i="1"/>
  <c r="E28" i="1"/>
  <c r="E20" i="1"/>
  <c r="E12" i="1"/>
  <c r="E31" i="1"/>
  <c r="E7" i="1"/>
  <c r="G57" i="1" a="1"/>
  <c r="G57" i="1" s="1"/>
  <c r="K57" i="1" a="1"/>
  <c r="K57" i="1" s="1"/>
  <c r="L55" i="1" a="1"/>
  <c r="L55" i="1" s="1"/>
  <c r="H55" i="1" a="1"/>
  <c r="H55" i="1" s="1"/>
  <c r="I57" i="1" a="1"/>
  <c r="I57" i="1" s="1"/>
  <c r="L57" i="1" a="1"/>
  <c r="L57" i="1" s="1"/>
  <c r="E21" i="1"/>
  <c r="E5" i="1"/>
  <c r="E29" i="1"/>
  <c r="E13" i="1"/>
  <c r="E19" i="1"/>
  <c r="E11" i="1"/>
  <c r="I56" i="1" a="1"/>
  <c r="I56" i="1" s="1"/>
  <c r="M56" i="1" a="1"/>
  <c r="M56" i="1" s="1"/>
  <c r="H56" i="1" a="1"/>
  <c r="H56" i="1" s="1"/>
  <c r="G56" i="1" a="1"/>
  <c r="G56" i="1" s="1"/>
  <c r="J57" i="1" a="1"/>
  <c r="J57" i="1" s="1"/>
  <c r="K55" i="1" a="1"/>
  <c r="K55" i="1" s="1"/>
  <c r="T56" i="1" a="1"/>
  <c r="T56" i="1" s="1"/>
  <c r="E4" i="1"/>
  <c r="H57" i="1" a="1"/>
  <c r="H57" i="1" s="1"/>
  <c r="K56" i="1" a="1"/>
  <c r="K56" i="1" s="1"/>
  <c r="J55" i="1" a="1"/>
  <c r="J55" i="1" s="1"/>
  <c r="G55" i="1" a="1"/>
  <c r="G55" i="1" s="1"/>
  <c r="L56" i="1" a="1"/>
  <c r="L56" i="1" s="1"/>
  <c r="E2" i="1"/>
  <c r="M57" i="1" a="1"/>
  <c r="M57" i="1" s="1"/>
  <c r="J56" i="1" a="1"/>
  <c r="J56" i="1" s="1"/>
  <c r="I55" i="1" a="1"/>
  <c r="I55" i="1" s="1"/>
  <c r="T57" i="1" a="1"/>
  <c r="T57" i="1" s="1"/>
  <c r="T55" i="1" a="1"/>
  <c r="T55" i="1" s="1"/>
  <c r="T39" i="1"/>
  <c r="J47" i="1" a="1"/>
  <c r="J47" i="1" s="1"/>
  <c r="K47" i="1" a="1"/>
  <c r="K47" i="1" s="1"/>
  <c r="H47" i="1" a="1"/>
  <c r="H47" i="1" s="1"/>
  <c r="L47" i="1" a="1"/>
  <c r="L47" i="1" s="1"/>
  <c r="T47" i="1" a="1"/>
  <c r="T47" i="1" s="1"/>
  <c r="G47" i="1" a="1"/>
  <c r="G47" i="1" s="1"/>
  <c r="M47" i="1" a="1"/>
  <c r="M47" i="1" s="1"/>
  <c r="I47" i="1" a="1"/>
  <c r="I47" i="1" s="1"/>
  <c r="A36" i="1"/>
  <c r="A35" i="1"/>
  <c r="A34" i="1"/>
  <c r="A33" i="1"/>
  <c r="A32" i="1"/>
  <c r="A31" i="1"/>
  <c r="A30" i="1"/>
  <c r="A29" i="1"/>
  <c r="A28" i="1"/>
  <c r="A27" i="1"/>
  <c r="A26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T47" i="2" l="1" a="1"/>
  <c r="T47" i="2" s="1"/>
  <c r="Q47" i="2" a="1"/>
  <c r="Q47" i="2" s="1"/>
  <c r="R47" i="2" a="1"/>
  <c r="R47" i="2" s="1"/>
  <c r="H47" i="2" a="1"/>
  <c r="H47" i="2" s="1"/>
  <c r="I47" i="2" a="1"/>
  <c r="I47" i="2" s="1"/>
  <c r="K47" i="2" a="1"/>
  <c r="K47" i="2" s="1"/>
  <c r="M47" i="2" a="1"/>
  <c r="M47" i="2" s="1"/>
  <c r="G47" i="2" a="1"/>
  <c r="G47" i="2" s="1"/>
  <c r="P47" i="2" a="1"/>
  <c r="P47" i="2" s="1"/>
  <c r="S47" i="2" a="1"/>
  <c r="S47" i="2" s="1"/>
  <c r="N47" i="2" a="1"/>
  <c r="N47" i="2" s="1"/>
  <c r="J47" i="2" a="1"/>
  <c r="J47" i="2" s="1"/>
  <c r="L47" i="2" a="1"/>
  <c r="L47" i="2" s="1"/>
  <c r="O47" i="2" a="1"/>
  <c r="O47" i="2" s="1"/>
  <c r="H58" i="1" a="1"/>
  <c r="H58" i="1" s="1"/>
  <c r="I58" i="1" a="1"/>
  <c r="I58" i="1" s="1"/>
  <c r="J58" i="1" a="1"/>
  <c r="J58" i="1" s="1"/>
  <c r="M58" i="1" a="1"/>
  <c r="M58" i="1" s="1"/>
  <c r="K58" i="1" a="1"/>
  <c r="K58" i="1" s="1"/>
  <c r="L58" i="1" a="1"/>
  <c r="L58" i="1" s="1"/>
  <c r="G58" i="1" a="1"/>
  <c r="G58" i="1" s="1"/>
  <c r="T58" i="1" a="1"/>
  <c r="T58" i="1" s="1"/>
  <c r="T49" i="1" a="1"/>
  <c r="T49" i="1" s="1"/>
  <c r="T41" i="1" a="1"/>
  <c r="T41" i="1" s="1"/>
  <c r="M49" i="1" a="1"/>
  <c r="M49" i="1" s="1"/>
  <c r="K49" i="1" a="1"/>
  <c r="K49" i="1" s="1"/>
  <c r="H43" i="1" a="1"/>
  <c r="H43" i="1" s="1"/>
  <c r="G43" i="1" a="1"/>
  <c r="G43" i="1" s="1"/>
  <c r="T52" i="1" a="1"/>
  <c r="T52" i="1" s="1"/>
  <c r="T40" i="1" a="1"/>
  <c r="T40" i="1" s="1"/>
  <c r="M52" i="1" a="1"/>
  <c r="M52" i="1" s="1"/>
  <c r="H50" i="1" a="1"/>
  <c r="H50" i="1" s="1"/>
  <c r="J49" i="1" a="1"/>
  <c r="J49" i="1" s="1"/>
  <c r="L42" i="1" a="1"/>
  <c r="L42" i="1" s="1"/>
  <c r="I44" i="1" a="1"/>
  <c r="I44" i="1" s="1"/>
  <c r="K43" i="1" a="1"/>
  <c r="K43" i="1" s="1"/>
  <c r="T43" i="1" a="1"/>
  <c r="T43" i="1" s="1"/>
  <c r="I48" i="1" a="1"/>
  <c r="I48" i="1" s="1"/>
  <c r="G51" i="1" a="1"/>
  <c r="G51" i="1" s="1"/>
  <c r="T48" i="1" a="1"/>
  <c r="T48" i="1" s="1"/>
  <c r="T50" i="1" a="1"/>
  <c r="T50" i="1" s="1"/>
  <c r="L52" i="1" a="1"/>
  <c r="L52" i="1" s="1"/>
  <c r="L51" i="1" a="1"/>
  <c r="L51" i="1" s="1"/>
  <c r="L50" i="1" a="1"/>
  <c r="L50" i="1" s="1"/>
  <c r="H49" i="1" a="1"/>
  <c r="H49" i="1" s="1"/>
  <c r="K51" i="1" a="1"/>
  <c r="K51" i="1" s="1"/>
  <c r="J50" i="1" a="1"/>
  <c r="J50" i="1" s="1"/>
  <c r="L48" i="1" a="1"/>
  <c r="L48" i="1" s="1"/>
  <c r="J52" i="1" a="1"/>
  <c r="J52" i="1" s="1"/>
  <c r="I51" i="1" a="1"/>
  <c r="I51" i="1" s="1"/>
  <c r="J40" i="1" a="1"/>
  <c r="J40" i="1" s="1"/>
  <c r="H41" i="1" a="1"/>
  <c r="H41" i="1" s="1"/>
  <c r="I41" i="1" a="1"/>
  <c r="I41" i="1" s="1"/>
  <c r="M44" i="1" a="1"/>
  <c r="M44" i="1" s="1"/>
  <c r="J43" i="1" a="1"/>
  <c r="J43" i="1" s="1"/>
  <c r="I40" i="1" a="1"/>
  <c r="I40" i="1" s="1"/>
  <c r="L43" i="1" a="1"/>
  <c r="L43" i="1" s="1"/>
  <c r="I42" i="1" a="1"/>
  <c r="I42" i="1" s="1"/>
  <c r="K41" i="1" a="1"/>
  <c r="K41" i="1" s="1"/>
  <c r="J48" i="1" a="1"/>
  <c r="J48" i="1" s="1"/>
  <c r="M51" i="1" a="1"/>
  <c r="M51" i="1" s="1"/>
  <c r="K44" i="1" a="1"/>
  <c r="K44" i="1" s="1"/>
  <c r="H42" i="1" a="1"/>
  <c r="H42" i="1" s="1"/>
  <c r="M42" i="1" a="1"/>
  <c r="M42" i="1" s="1"/>
  <c r="I49" i="1" a="1"/>
  <c r="I49" i="1" s="1"/>
  <c r="M50" i="1" a="1"/>
  <c r="M50" i="1" s="1"/>
  <c r="G52" i="1" a="1"/>
  <c r="G52" i="1" s="1"/>
  <c r="L49" i="1" a="1"/>
  <c r="L49" i="1" s="1"/>
  <c r="H40" i="1" a="1"/>
  <c r="H40" i="1" s="1"/>
  <c r="T42" i="1" a="1"/>
  <c r="T42" i="1" s="1"/>
  <c r="K50" i="1" a="1"/>
  <c r="K50" i="1" s="1"/>
  <c r="T51" i="1" a="1"/>
  <c r="T51" i="1" s="1"/>
  <c r="G50" i="1" a="1"/>
  <c r="G50" i="1" s="1"/>
  <c r="H52" i="1" a="1"/>
  <c r="H52" i="1" s="1"/>
  <c r="H51" i="1" a="1"/>
  <c r="H51" i="1" s="1"/>
  <c r="G44" i="1" a="1"/>
  <c r="G44" i="1" s="1"/>
  <c r="G40" i="1" a="1"/>
  <c r="G40" i="1" s="1"/>
  <c r="J44" i="1" a="1"/>
  <c r="J44" i="1" s="1"/>
  <c r="T44" i="1" a="1"/>
  <c r="T44" i="1" s="1"/>
  <c r="G48" i="1" a="1"/>
  <c r="G48" i="1" s="1"/>
  <c r="I50" i="1" a="1"/>
  <c r="I50" i="1" s="1"/>
  <c r="I52" i="1" a="1"/>
  <c r="I52" i="1" s="1"/>
  <c r="G49" i="1" a="1"/>
  <c r="G49" i="1" s="1"/>
  <c r="K40" i="1" a="1"/>
  <c r="K40" i="1" s="1"/>
  <c r="L44" i="1" a="1"/>
  <c r="L44" i="1" s="1"/>
  <c r="G42" i="1" a="1"/>
  <c r="G42" i="1" s="1"/>
  <c r="K48" i="1" a="1"/>
  <c r="K48" i="1" s="1"/>
  <c r="J51" i="1" a="1"/>
  <c r="J51" i="1" s="1"/>
  <c r="J42" i="1" a="1"/>
  <c r="J42" i="1" s="1"/>
  <c r="M41" i="1" a="1"/>
  <c r="M41" i="1" s="1"/>
  <c r="K52" i="1" a="1"/>
  <c r="K52" i="1" s="1"/>
  <c r="H48" i="1" a="1"/>
  <c r="H48" i="1" s="1"/>
  <c r="M40" i="1" a="1"/>
  <c r="M40" i="1" s="1"/>
  <c r="H44" i="1" a="1"/>
  <c r="H44" i="1" s="1"/>
  <c r="M48" i="1" a="1"/>
  <c r="M48" i="1" s="1"/>
  <c r="K42" i="1" a="1"/>
  <c r="K42" i="1" s="1"/>
  <c r="J41" i="1" a="1"/>
  <c r="J41" i="1" s="1"/>
  <c r="G41" i="1" a="1"/>
  <c r="G41" i="1" s="1"/>
  <c r="L41" i="1" a="1"/>
  <c r="L41" i="1" s="1"/>
  <c r="L40" i="1" a="1"/>
  <c r="L40" i="1" s="1"/>
  <c r="M43" i="1" a="1"/>
  <c r="M43" i="1" s="1"/>
  <c r="I43" i="1" a="1"/>
  <c r="I4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<sst xmlns="http://schemas.openxmlformats.org/spreadsheetml/2006/main" count="137" uniqueCount="63">
  <si>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</si>
  <si>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</si>
  <si>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</si>
  <si>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</si>
  <si>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</si>
  <si>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</si>
  <si>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</si>
  <si>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</si>
  <si>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</si>
  <si>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</si>
  <si>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</si>
  <si>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</si>
  <si>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</si>
  <si>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</si>
  <si>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</si>
  <si>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</si>
  <si>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</si>
  <si>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</si>
  <si>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</si>
  <si>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</si>
  <si>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</si>
  <si>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</si>
  <si>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</si>
  <si>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</si>
  <si>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</si>
  <si>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</si>
  <si>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</si>
  <si>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</si>
  <si>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</si>
  <si>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</si>
  <si>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</si>
  <si>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</si>
  <si>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</si>
  <si>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</si>
  <si>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</si>
  <si>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</si>
  <si>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lang</t>
  </si>
  <si>
    <t>all</t>
  </si>
  <si>
    <t>arabic</t>
  </si>
  <si>
    <t>german</t>
  </si>
  <si>
    <t>english</t>
  </si>
  <si>
    <t>french</t>
  </si>
  <si>
    <t>russian</t>
  </si>
  <si>
    <t>1g</t>
  </si>
  <si>
    <t>1g excluded</t>
  </si>
  <si>
    <t>average</t>
  </si>
  <si>
    <t>arabic-xsk2g</t>
  </si>
  <si>
    <t>arabic-xsk3g</t>
  </si>
  <si>
    <t>english-xsk2g</t>
  </si>
  <si>
    <t>english-xsk3g</t>
  </si>
  <si>
    <t>french-xsk2g</t>
  </si>
  <si>
    <t>french-xsk3g</t>
  </si>
  <si>
    <t>german-xsk2g</t>
  </si>
  <si>
    <t>german-xsk3g</t>
  </si>
  <si>
    <t>russian-xsk2g</t>
  </si>
  <si>
    <t>russian-xsk3g</t>
  </si>
  <si>
    <t>norm</t>
  </si>
  <si>
    <t>xsk</t>
  </si>
  <si>
    <t>sk</t>
  </si>
  <si>
    <t>1g included</t>
  </si>
  <si>
    <t>11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</si>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</sst>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LucidaSansUnicode"/>
      <family val="2"/>
    </font>
    <font>
      <sz val="8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3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46BDA6-D131-B34D-9EE1-BE6B4E29B4E6}" name="Table13" displayName="Table13" ref="A1:T26" totalsRowShown="0">
  <autoFilter ref="A1:T26" xr:uid="{CFFBF5C2-C562-4A4E-B95B-091D1721BBE3}"/>
  <tableColumns count="20">
    <tableColumn id="1" xr3:uid="{1BF54F54-246A-8847-9DB8-19135FE8B16D}" name="lang">
      <calculatedColumnFormula>_xlfn.LET(_xlpm.c,$F2,_xlfn.TEXTBEFORE(_xlpm.c,"-"))</calculatedColumnFormula>
    </tableColumn>
    <tableColumn id="13" xr3:uid="{52B32FC0-A35B-8447-8BCF-F9A02624CD14}" name="1g" dataDxfId="17">
      <calculatedColumnFormula>_xlfn.LET(_xlpm.c,_xlfn.SINGLE(Table13[condition]),IF(RIGHT(_xlpm.c,2)="1g",1,0))</calculatedColumnFormula>
    </tableColumn>
    <tableColumn id="15" xr3:uid="{4E59B10E-295D-D349-8B28-DF0689DD8648}" name="xsk" dataDxfId="16">
      <calculatedColumnFormula>_xlfn.LET(_xlpm.c,_xlfn.SINGLE(Table13[condition]),_xlpm.k,CONCATENATE("*-",C$1,"*"),IF(COUNTIF(_xlpm.c,_xlpm.k)&gt;0,1,0))</calculatedColumnFormula>
    </tableColumn>
    <tableColumn id="16" xr3:uid="{7F73C533-61E5-DD45-8A75-A96771FD9AD5}" name="sk" dataDxfId="15">
      <calculatedColumnFormula>_xlfn.LET(_xlpm.c,_xlfn.SINGLE(Table13[condition]),_xlpm.k,CONCATENATE("*-",D$1,"*"),IF(COUNTIF(_xlpm.c,_xlpm.k)&gt;0,1,0))</calculatedColumnFormula>
    </tableColumn>
    <tableColumn id="17" xr3:uid="{967AF786-4780-A647-86AA-8E30F16E30DD}" name="norm" dataDxfId="14">
      <calculatedColumnFormula>IF(AND(Table13[xsk]=1,Table13[sk]=1),0,1)</calculatedColumnFormula>
    </tableColumn>
    <tableColumn id="12" xr3:uid="{376FD4FE-E733-6A45-B6AB-802A9E314735}" name="condition"/>
    <tableColumn id="2" xr3:uid="{553A07C8-0A07-8F4B-A3C2-BA0EC8EE5BFB}" name="3" dataDxfId="13"/>
    <tableColumn id="3" xr3:uid="{A69EC295-4D45-5142-86DE-A5CE842E05CA}" name="4" dataDxfId="12"/>
    <tableColumn id="4" xr3:uid="{8FFBF92B-DB19-6548-B3CE-DE94E17FC4D9}" name="5" dataDxfId="11"/>
    <tableColumn id="5" xr3:uid="{9E071739-774B-B643-9F40-187DEBEC924F}" name="6" dataDxfId="10"/>
    <tableColumn id="6" xr3:uid="{2D45C922-2C4F-034E-8282-189828E1F00C}" name="7" dataDxfId="9"/>
    <tableColumn id="7" xr3:uid="{2919594B-01CC-FA4E-9B9F-B8DD7DE3D9F8}" name="8" dataDxfId="8"/>
    <tableColumn id="8" xr3:uid="{8953BF9D-6D04-CD44-A084-D99431B59AAD}" name="9" dataDxfId="7"/>
    <tableColumn id="9" xr3:uid="{A6FAD5FA-E03F-6C43-AC6E-EE1F2BAAE6D5}" name="10" dataDxfId="6"/>
    <tableColumn id="18" xr3:uid="{2A8BA062-BF90-A04F-B821-3C69CAAF82B4}" name="11" dataDxfId="5"/>
    <tableColumn id="10" xr3:uid="{2A98FD1C-8D80-F547-BB5B-1CFDB4DA8404}" name="12" dataDxfId="4"/>
    <tableColumn id="19" xr3:uid="{DBE5D9D3-F252-0C4E-A566-5DB8E1A0280E}" name="13" dataDxfId="3"/>
    <tableColumn id="20" xr3:uid="{1F9381C8-3F89-B745-91F5-650D0B0960F4}" name="14" dataDxfId="2"/>
    <tableColumn id="11" xr3:uid="{83A984E7-0FEC-F743-9972-544F83E1D564}" name="15" dataDxfId="1"/>
    <tableColumn id="14" xr3:uid="{8C460E2C-A2FC-304B-831B-62F1E0DD6A89}" name="average" dataDxfId="0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BF5C2-C562-4A4E-B95B-091D1721BBE3}" name="Table1" displayName="Table1" ref="A1:T36" totalsRowShown="0">
  <autoFilter ref="A1:T36" xr:uid="{CFFBF5C2-C562-4A4E-B95B-091D1721BBE3}"/>
  <tableColumns count="20">
    <tableColumn id="1" xr3:uid="{B965C989-233C-BA49-B251-382897A2BABE}" name="lang">
      <calculatedColumnFormula>_xlfn.LET(_xlpm.c,$F2,_xlfn.TEXTBEFORE(_xlpm.c,"-"))</calculatedColumnFormula>
    </tableColumn>
    <tableColumn id="13" xr3:uid="{F3AD09D6-DEE4-004B-9353-31CAC865BD48}" name="1g" dataDxfId="35">
      <calculatedColumnFormula>_xlfn.LET(_xlpm.c,_xlfn.SINGLE(Table1[condition]),IF(RIGHT(_xlpm.c,2)="1g",1,0))</calculatedColumnFormula>
    </tableColumn>
    <tableColumn id="15" xr3:uid="{4E479F72-54FD-8B44-93FB-8F19E09D727F}" name="xsk" dataDxfId="23">
      <calculatedColumnFormula>_xlfn.LET(_xlpm.c,_xlfn.SINGLE(Table1[condition]),_xlpm.k,CONCATENATE("*-",C$1,"*"),IF(COUNTIF(_xlpm.c,_xlpm.k)&gt;0,1,0))</calculatedColumnFormula>
    </tableColumn>
    <tableColumn id="16" xr3:uid="{EC198360-056D-A941-8A4C-38696F613C30}" name="sk" dataDxfId="22">
      <calculatedColumnFormula>_xlfn.LET(_xlpm.c,_xlfn.SINGLE(Table1[condition]),_xlpm.k,CONCATENATE("*-",D$1,"*"),IF(COUNTIF(_xlpm.c,_xlpm.k)&gt;0,1,0))</calculatedColumnFormula>
    </tableColumn>
    <tableColumn id="17" xr3:uid="{3513866B-3D16-9248-BB93-04C5538F0A01}" name="norm" dataDxfId="21">
      <calculatedColumnFormula>IF(AND(Table1[xsk]=1,Table1[sk]=1),0,1)</calculatedColumnFormula>
    </tableColumn>
    <tableColumn id="12" xr3:uid="{67CADDAA-63EE-5F45-989C-A240EB19AD7C}" name="condition"/>
    <tableColumn id="2" xr3:uid="{E49E0B59-37B0-284D-BE77-40B5319AB755}" name="3" dataDxfId="34"/>
    <tableColumn id="3" xr3:uid="{12F044D8-6B04-8146-9059-0DD6BE8C153F}" name="4" dataDxfId="33"/>
    <tableColumn id="4" xr3:uid="{28314014-34F8-EF4B-AF7B-FC88FF8A6DA9}" name="5" dataDxfId="32"/>
    <tableColumn id="5" xr3:uid="{0BD4A703-F893-784A-B65E-DB2D1E798103}" name="6" dataDxfId="31"/>
    <tableColumn id="6" xr3:uid="{50D9F421-0114-CF41-9767-B830E35DC34D}" name="7" dataDxfId="30"/>
    <tableColumn id="7" xr3:uid="{E0DD0445-0346-1E47-9A2C-83486C4A03C4}" name="8" dataDxfId="29"/>
    <tableColumn id="8" xr3:uid="{5556115A-B62B-C140-944D-BADBB061EBB5}" name="9" dataDxfId="28"/>
    <tableColumn id="9" xr3:uid="{1B92E407-F94E-544F-B76D-B160EB3BC0AB}" name="10" dataDxfId="27"/>
    <tableColumn id="18" xr3:uid="{F481003F-FCB7-CA4D-B1D9-F50DE7E7B1D1}" name="11" dataDxfId="20"/>
    <tableColumn id="10" xr3:uid="{6871B4E2-64FC-EF4F-91D7-DFBFD9EFB3C2}" name="12" dataDxfId="26"/>
    <tableColumn id="19" xr3:uid="{95B8BD3D-91B4-0B40-8349-A57F2FBF4900}" name="13" dataDxfId="19"/>
    <tableColumn id="20" xr3:uid="{AE271F38-4F16-2844-961D-6118AD616D49}" name="14" dataDxfId="18"/>
    <tableColumn id="11" xr3:uid="{059EBDD8-5269-D041-AFDD-56AB88BB8F27}" name="15" dataDxfId="25"/>
    <tableColumn id="14" xr3:uid="{C3D92A6B-91A7-7248-A813-2D0B01CBD1F8}" name="average" dataDxfId="24">
      <calculatedColumnFormula>_xlfn.LET(_xlpm.d,$G2:$S2,AVERAGE(_xlpm.d))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590E-CD2A-EF45-AA42-ED931FBA891B}">
  <dimension ref="A1:T47"/>
  <sheetViews>
    <sheetView tabSelected="1" workbookViewId="0">
      <pane xSplit="9080" ySplit="3520" topLeftCell="B38" activePane="bottomRight"/>
      <selection activeCell="B3" sqref="B3"/>
      <selection pane="topRight" activeCell="F1" sqref="F1:T26"/>
      <selection pane="bottomLeft" activeCell="A46" sqref="A46:XFD46"/>
      <selection pane="bottomRight" activeCell="D26" sqref="D26"/>
    </sheetView>
  </sheetViews>
  <sheetFormatPr baseColWidth="10" defaultRowHeight="30" customHeight="1"/>
  <cols>
    <col min="1" max="1" width="9" customWidth="1"/>
    <col min="2" max="5" width="6.375" customWidth="1"/>
    <col min="6" max="6" width="12.5" customWidth="1"/>
    <col min="7" max="20" width="5.625" customWidth="1"/>
  </cols>
  <sheetData>
    <row r="1" spans="1:20" ht="30" customHeight="1">
      <c r="A1" t="s">
        <v>36</v>
      </c>
      <c r="B1" t="s">
        <v>43</v>
      </c>
      <c r="C1" t="s">
        <v>57</v>
      </c>
      <c r="D1" t="s">
        <v>58</v>
      </c>
      <c r="E1" t="s">
        <v>56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60</v>
      </c>
      <c r="P1" t="s">
        <v>9</v>
      </c>
      <c r="Q1" t="s">
        <v>61</v>
      </c>
      <c r="R1" t="s">
        <v>62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_xlfn.LET(_xlpm.c,_xlfn.SINGLE(Table13[condition]),IF(RIGHT(_xlpm.c,2)="1g",1,0))</f>
        <v>1</v>
      </c>
      <c r="C2">
        <f>_xlfn.LET(_xlpm.c,_xlfn.SINGLE(Table13[condition]),_xlpm.k,CONCATENATE("*-",C$1,"*"),IF(COUNTIF(_xlpm.c,_xlpm.k)&gt;0,1,0))</f>
        <v>0</v>
      </c>
      <c r="D2">
        <f>_xlfn.LET(_xlpm.c,_xlfn.SINGLE(Table13[condition]),_xlpm.k,CONCATENATE("*-",D$1,"*"),IF(COUNTIF(_xlpm.c,_xlpm.k)&gt;0,1,0))</f>
        <v>0</v>
      </c>
      <c r="E2">
        <f>IF(AND(Table13[xsk]=1,Table13[sk]=1),0,1)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26" si="0">_xlfn.LET(_xlpm.d,$G2:$S2,AVERAGE(_xlpm.d))</f>
        <v>1</v>
      </c>
    </row>
    <row r="3" spans="1:20" ht="30" customHeight="1">
      <c r="A3" t="str">
        <f t="shared" ref="A3:A26" si="1">_xlfn.LET(_xlpm.c,$F3,_xlfn.TEXTBEFORE(_xlpm.c,"-"))</f>
        <v>arabic</v>
      </c>
      <c r="B3">
        <f>_xlfn.LET(_xlpm.c,_xlfn.SINGLE(Table13[condition]),IF(RIGHT(_xlpm.c,2)="1g",1,0))</f>
        <v>0</v>
      </c>
      <c r="C3">
        <f>_xlfn.LET(_xlpm.c,_xlfn.SINGLE(Table13[condition]),_xlpm.k,CONCATENATE("*-",C$1,"*"),IF(COUNTIF(_xlpm.c,_xlpm.k)&gt;0,1,0))</f>
        <v>0</v>
      </c>
      <c r="D3">
        <f>_xlfn.LET(_xlpm.c,_xlfn.SINGLE(Table13[condition]),_xlpm.k,CONCATENATE("*-",D$1,"*"),IF(COUNTIF(_xlpm.c,_xlpm.k)&gt;0,1,0))</f>
        <v>0</v>
      </c>
      <c r="E3">
        <f>IF(AND(Table13[xsk]=1,Table13[sk]=1),0,1)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si="0"/>
        <v>1</v>
      </c>
    </row>
    <row r="4" spans="1:20" ht="30" customHeight="1">
      <c r="A4" t="str">
        <f t="shared" si="1"/>
        <v>arabic</v>
      </c>
      <c r="B4">
        <f>_xlfn.LET(_xlpm.c,_xlfn.SINGLE(Table13[condition]),IF(RIGHT(_xlpm.c,2)="1g",1,0))</f>
        <v>0</v>
      </c>
      <c r="C4">
        <f>_xlfn.LET(_xlpm.c,_xlfn.SINGLE(Table13[condition]),_xlpm.k,CONCATENATE("*-",C$1,"*"),IF(COUNTIF(_xlpm.c,_xlpm.k)&gt;0,1,0))</f>
        <v>0</v>
      </c>
      <c r="D4">
        <f>_xlfn.LET(_xlpm.c,_xlfn.SINGLE(Table13[condition]),_xlpm.k,CONCATENATE("*-",D$1,"*"),IF(COUNTIF(_xlpm.c,_xlpm.k)&gt;0,1,0))</f>
        <v>0</v>
      </c>
      <c r="E4">
        <f>IF(AND(Table13[xsk]=1,Table13[sk]=1),0,1)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si="0"/>
        <v>1</v>
      </c>
    </row>
    <row r="5" spans="1:20" ht="30" customHeight="1">
      <c r="A5" t="str">
        <f t="shared" si="1"/>
        <v>arabic</v>
      </c>
      <c r="B5">
        <f>_xlfn.LET(_xlpm.c,_xlfn.SINGLE(Table13[condition]),IF(RIGHT(_xlpm.c,2)="1g",1,0))</f>
        <v>0</v>
      </c>
      <c r="C5">
        <f>_xlfn.LET(_xlpm.c,_xlfn.SINGLE(Table13[condition]),_xlpm.k,CONCATENATE("*-",C$1,"*"),IF(COUNTIF(_xlpm.c,_xlpm.k)&gt;0,1,0))</f>
        <v>0</v>
      </c>
      <c r="D5">
        <f>_xlfn.LET(_xlpm.c,_xlfn.SINGLE(Table13[condition]),_xlpm.k,CONCATENATE("*-",D$1,"*"),IF(COUNTIF(_xlpm.c,_xlpm.k)&gt;0,1,0))</f>
        <v>1</v>
      </c>
      <c r="E5">
        <f>IF(AND(Table13[xsk]=1,Table13[sk]=1),0,1)</f>
        <v>1</v>
      </c>
      <c r="F5" t="s">
        <v>14</v>
      </c>
      <c r="G5" s="1">
        <v>1</v>
      </c>
      <c r="H5" s="1">
        <v>0.99240341460017301</v>
      </c>
      <c r="I5" s="1">
        <v>0.996294940592793</v>
      </c>
      <c r="J5" s="1">
        <v>1</v>
      </c>
      <c r="K5" s="1">
        <v>1</v>
      </c>
      <c r="L5" s="1">
        <v>0.998849191054198</v>
      </c>
      <c r="M5" s="1">
        <v>1</v>
      </c>
      <c r="N5" s="1">
        <v>1</v>
      </c>
      <c r="O5" s="1">
        <v>0.98635404448275898</v>
      </c>
      <c r="P5" s="1">
        <v>1</v>
      </c>
      <c r="Q5" s="1">
        <v>0.99931879950942104</v>
      </c>
      <c r="R5" s="1">
        <v>1</v>
      </c>
      <c r="S5" s="1">
        <v>0.99672102946922203</v>
      </c>
      <c r="T5" s="1">
        <f t="shared" si="0"/>
        <v>0.99768780151604364</v>
      </c>
    </row>
    <row r="6" spans="1:20" ht="30" customHeight="1">
      <c r="A6" t="str">
        <f t="shared" si="1"/>
        <v>arabic</v>
      </c>
      <c r="B6">
        <f>_xlfn.LET(_xlpm.c,_xlfn.SINGLE(Table13[condition]),IF(RIGHT(_xlpm.c,2)="1g",1,0))</f>
        <v>0</v>
      </c>
      <c r="C6">
        <f>_xlfn.LET(_xlpm.c,_xlfn.SINGLE(Table13[condition]),_xlpm.k,CONCATENATE("*-",C$1,"*"),IF(COUNTIF(_xlpm.c,_xlpm.k)&gt;0,1,0))</f>
        <v>0</v>
      </c>
      <c r="D6">
        <f>_xlfn.LET(_xlpm.c,_xlfn.SINGLE(Table13[condition]),_xlpm.k,CONCATENATE("*-",D$1,"*"),IF(COUNTIF(_xlpm.c,_xlpm.k)&gt;0,1,0))</f>
        <v>1</v>
      </c>
      <c r="E6">
        <f>IF(AND(Table13[xsk]=1,Table13[sk]=1),0,1)</f>
        <v>1</v>
      </c>
      <c r="F6" t="s">
        <v>15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0.89307996831751402</v>
      </c>
      <c r="R6" s="1">
        <v>1</v>
      </c>
      <c r="S6" s="1">
        <v>0.75052462355544503</v>
      </c>
      <c r="T6" s="1">
        <f t="shared" si="0"/>
        <v>0.97258496860561217</v>
      </c>
    </row>
    <row r="7" spans="1:20" ht="30" customHeight="1">
      <c r="A7" t="str">
        <f t="shared" si="1"/>
        <v>english</v>
      </c>
      <c r="B7">
        <f>_xlfn.LET(_xlpm.c,_xlfn.SINGLE(Table13[condition]),IF(RIGHT(_xlpm.c,2)="1g",1,0))</f>
        <v>1</v>
      </c>
      <c r="C7">
        <f>_xlfn.LET(_xlpm.c,_xlfn.SINGLE(Table13[condition]),_xlpm.k,CONCATENATE("*-",C$1,"*"),IF(COUNTIF(_xlpm.c,_xlpm.k)&gt;0,1,0))</f>
        <v>0</v>
      </c>
      <c r="D7">
        <f>_xlfn.LET(_xlpm.c,_xlfn.SINGLE(Table13[condition]),_xlpm.k,CONCATENATE("*-",D$1,"*"),IF(COUNTIF(_xlpm.c,_xlpm.k)&gt;0,1,0))</f>
        <v>0</v>
      </c>
      <c r="E7">
        <f>IF(AND(Table13[xsk]=1,Table13[sk]=1),0,1)</f>
        <v>1</v>
      </c>
      <c r="F7" t="s">
        <v>16</v>
      </c>
      <c r="G7" s="1">
        <v>0.95513351748016695</v>
      </c>
      <c r="H7" s="1">
        <v>0.83464815769421197</v>
      </c>
      <c r="I7" s="1">
        <v>0.71400955522930798</v>
      </c>
      <c r="J7" s="1">
        <v>0.63099984985271196</v>
      </c>
      <c r="K7" s="1">
        <v>0.63213549204808805</v>
      </c>
      <c r="L7" s="1">
        <v>0.43154395878419399</v>
      </c>
      <c r="M7" s="1">
        <v>0.74917632644846599</v>
      </c>
      <c r="N7" s="1">
        <v>0.30241539941067602</v>
      </c>
      <c r="O7" s="1">
        <v>0.51643764955884497</v>
      </c>
      <c r="P7" s="1">
        <v>0.24010166124468399</v>
      </c>
      <c r="Q7" s="1">
        <v>0.63263046635989895</v>
      </c>
      <c r="R7" s="1">
        <v>0.58488368421252501</v>
      </c>
      <c r="S7" s="1">
        <v>0.407138762556845</v>
      </c>
      <c r="T7" s="1">
        <f t="shared" si="0"/>
        <v>0.5870195754523555</v>
      </c>
    </row>
    <row r="8" spans="1:20" ht="30" customHeight="1">
      <c r="A8" t="str">
        <f t="shared" si="1"/>
        <v>english</v>
      </c>
      <c r="B8">
        <f>_xlfn.LET(_xlpm.c,_xlfn.SINGLE(Table13[condition]),IF(RIGHT(_xlpm.c,2)="1g",1,0))</f>
        <v>0</v>
      </c>
      <c r="C8">
        <f>_xlfn.LET(_xlpm.c,_xlfn.SINGLE(Table13[condition]),_xlpm.k,CONCATENATE("*-",C$1,"*"),IF(COUNTIF(_xlpm.c,_xlpm.k)&gt;0,1,0))</f>
        <v>0</v>
      </c>
      <c r="D8">
        <f>_xlfn.LET(_xlpm.c,_xlfn.SINGLE(Table13[condition]),_xlpm.k,CONCATENATE("*-",D$1,"*"),IF(COUNTIF(_xlpm.c,_xlpm.k)&gt;0,1,0))</f>
        <v>0</v>
      </c>
      <c r="E8">
        <f>IF(AND(Table13[xsk]=1,Table13[sk]=1),0,1)</f>
        <v>1</v>
      </c>
      <c r="F8" t="s">
        <v>17</v>
      </c>
      <c r="G8" s="1">
        <v>0.66257348450501696</v>
      </c>
      <c r="H8" s="1">
        <v>0.62722549840327302</v>
      </c>
      <c r="I8" s="1">
        <v>0.60650463223771001</v>
      </c>
      <c r="J8" s="1">
        <v>0.44627310363635198</v>
      </c>
      <c r="K8" s="1">
        <v>0.25672083332249901</v>
      </c>
      <c r="L8" s="1">
        <v>0.52501392559198801</v>
      </c>
      <c r="M8" s="1">
        <v>0.46604783649303999</v>
      </c>
      <c r="N8" s="1">
        <v>0.50734867450779098</v>
      </c>
      <c r="O8" s="1">
        <v>0.66646788158021897</v>
      </c>
      <c r="P8" s="1">
        <v>0.47548937764513</v>
      </c>
      <c r="Q8" s="1">
        <v>0.45673839682725598</v>
      </c>
      <c r="R8" s="1">
        <v>0.41709563730768001</v>
      </c>
      <c r="S8" s="1">
        <v>0.63229040742200504</v>
      </c>
      <c r="T8" s="1">
        <f t="shared" si="0"/>
        <v>0.51890689919076616</v>
      </c>
    </row>
    <row r="9" spans="1:20" ht="30" customHeight="1">
      <c r="A9" t="str">
        <f t="shared" si="1"/>
        <v>english</v>
      </c>
      <c r="B9">
        <f>_xlfn.LET(_xlpm.c,_xlfn.SINGLE(Table13[condition]),IF(RIGHT(_xlpm.c,2)="1g",1,0))</f>
        <v>0</v>
      </c>
      <c r="C9">
        <f>_xlfn.LET(_xlpm.c,_xlfn.SINGLE(Table13[condition]),_xlpm.k,CONCATENATE("*-",C$1,"*"),IF(COUNTIF(_xlpm.c,_xlpm.k)&gt;0,1,0))</f>
        <v>0</v>
      </c>
      <c r="D9">
        <f>_xlfn.LET(_xlpm.c,_xlfn.SINGLE(Table13[condition]),_xlpm.k,CONCATENATE("*-",D$1,"*"),IF(COUNTIF(_xlpm.c,_xlpm.k)&gt;0,1,0))</f>
        <v>0</v>
      </c>
      <c r="E9">
        <f>IF(AND(Table13[xsk]=1,Table13[sk]=1),0,1)</f>
        <v>1</v>
      </c>
      <c r="F9" t="s">
        <v>18</v>
      </c>
      <c r="G9" s="1">
        <v>0.47588297795364198</v>
      </c>
      <c r="H9" s="1">
        <v>0.56306753667056197</v>
      </c>
      <c r="I9" s="1">
        <v>0.634576034748359</v>
      </c>
      <c r="J9" s="1">
        <v>0.54034400055502496</v>
      </c>
      <c r="K9" s="1">
        <v>0.58958335293383701</v>
      </c>
      <c r="L9" s="1">
        <v>0.66250257427253101</v>
      </c>
      <c r="M9" s="1">
        <v>0.44335217801025301</v>
      </c>
      <c r="N9" s="1">
        <v>0.33072643275371599</v>
      </c>
      <c r="O9" s="1">
        <v>0.64733136678995795</v>
      </c>
      <c r="P9" s="1">
        <v>0.41061214001555402</v>
      </c>
      <c r="Q9" s="1">
        <v>0.47529359291576601</v>
      </c>
      <c r="R9" s="1">
        <v>0.34959270533467002</v>
      </c>
      <c r="S9" s="1">
        <v>0.45703307414094002</v>
      </c>
      <c r="T9" s="1">
        <f t="shared" si="0"/>
        <v>0.50614599746883182</v>
      </c>
    </row>
    <row r="10" spans="1:20" ht="30" customHeight="1">
      <c r="A10" t="str">
        <f t="shared" si="1"/>
        <v>english</v>
      </c>
      <c r="B10">
        <f>_xlfn.LET(_xlpm.c,_xlfn.SINGLE(Table13[condition]),IF(RIGHT(_xlpm.c,2)="1g",1,0))</f>
        <v>0</v>
      </c>
      <c r="C10">
        <f>_xlfn.LET(_xlpm.c,_xlfn.SINGLE(Table13[condition]),_xlpm.k,CONCATENATE("*-",C$1,"*"),IF(COUNTIF(_xlpm.c,_xlpm.k)&gt;0,1,0))</f>
        <v>0</v>
      </c>
      <c r="D10">
        <f>_xlfn.LET(_xlpm.c,_xlfn.SINGLE(Table13[condition]),_xlpm.k,CONCATENATE("*-",D$1,"*"),IF(COUNTIF(_xlpm.c,_xlpm.k)&gt;0,1,0))</f>
        <v>1</v>
      </c>
      <c r="E10">
        <f>IF(AND(Table13[xsk]=1,Table13[sk]=1),0,1)</f>
        <v>1</v>
      </c>
      <c r="F10" t="s">
        <v>19</v>
      </c>
      <c r="G10" s="1">
        <v>0.61927789826569102</v>
      </c>
      <c r="H10" s="1">
        <v>0.56402017820851102</v>
      </c>
      <c r="I10" s="1">
        <v>0.57746898941000002</v>
      </c>
      <c r="J10" s="1">
        <v>0.53142990017238401</v>
      </c>
      <c r="K10" s="1">
        <v>0.61774693154483395</v>
      </c>
      <c r="L10" s="1">
        <v>0.55859582146689701</v>
      </c>
      <c r="M10" s="1">
        <v>0.50040352030338797</v>
      </c>
      <c r="N10" s="1">
        <v>0.67970958013108396</v>
      </c>
      <c r="O10" s="1">
        <v>0.66417089993961498</v>
      </c>
      <c r="P10" s="1">
        <v>0.25148254322663199</v>
      </c>
      <c r="Q10" s="1">
        <v>0.62009963193370998</v>
      </c>
      <c r="R10" s="1">
        <v>0.38274436056639299</v>
      </c>
      <c r="S10" s="1">
        <v>0.67799810338768796</v>
      </c>
      <c r="T10" s="1">
        <f t="shared" si="0"/>
        <v>0.55731910450437128</v>
      </c>
    </row>
    <row r="11" spans="1:20" ht="30" customHeight="1">
      <c r="A11" t="str">
        <f t="shared" si="1"/>
        <v>english</v>
      </c>
      <c r="B11">
        <f>_xlfn.LET(_xlpm.c,_xlfn.SINGLE(Table13[condition]),IF(RIGHT(_xlpm.c,2)="1g",1,0))</f>
        <v>0</v>
      </c>
      <c r="C11">
        <f>_xlfn.LET(_xlpm.c,_xlfn.SINGLE(Table13[condition]),_xlpm.k,CONCATENATE("*-",C$1,"*"),IF(COUNTIF(_xlpm.c,_xlpm.k)&gt;0,1,0))</f>
        <v>0</v>
      </c>
      <c r="D11">
        <f>_xlfn.LET(_xlpm.c,_xlfn.SINGLE(Table13[condition]),_xlpm.k,CONCATENATE("*-",D$1,"*"),IF(COUNTIF(_xlpm.c,_xlpm.k)&gt;0,1,0))</f>
        <v>1</v>
      </c>
      <c r="E11">
        <f>IF(AND(Table13[xsk]=1,Table13[sk]=1),0,1)</f>
        <v>1</v>
      </c>
      <c r="F11" t="s">
        <v>20</v>
      </c>
      <c r="G11" s="1">
        <v>0.69105006326450902</v>
      </c>
      <c r="H11" s="1">
        <v>0.76295307114657895</v>
      </c>
      <c r="I11" s="1">
        <v>0.69188137128523297</v>
      </c>
      <c r="J11" s="1">
        <v>0.42502995465726601</v>
      </c>
      <c r="K11" s="1">
        <v>0.51968014739503499</v>
      </c>
      <c r="L11" s="1">
        <v>0.51262188798838804</v>
      </c>
      <c r="M11" s="1">
        <v>0.51700455737993001</v>
      </c>
      <c r="N11" s="1">
        <v>0.47894705943235399</v>
      </c>
      <c r="O11" s="1">
        <v>0.28970165911474</v>
      </c>
      <c r="P11" s="1">
        <v>0.59277898085531999</v>
      </c>
      <c r="Q11" s="1">
        <v>0.48829467578061198</v>
      </c>
      <c r="R11" s="1">
        <v>0.47996364241952899</v>
      </c>
      <c r="S11" s="1">
        <v>0.47362679891989201</v>
      </c>
      <c r="T11" s="1">
        <f t="shared" si="0"/>
        <v>0.53257952843379897</v>
      </c>
    </row>
    <row r="12" spans="1:20" ht="30" customHeight="1">
      <c r="A12" t="str">
        <f t="shared" si="1"/>
        <v>french</v>
      </c>
      <c r="B12">
        <f>_xlfn.LET(_xlpm.c,_xlfn.SINGLE(Table13[condition]),IF(RIGHT(_xlpm.c,2)="1g",1,0))</f>
        <v>1</v>
      </c>
      <c r="C12">
        <f>_xlfn.LET(_xlpm.c,_xlfn.SINGLE(Table13[condition]),_xlpm.k,CONCATENATE("*-",C$1,"*"),IF(COUNTIF(_xlpm.c,_xlpm.k)&gt;0,1,0))</f>
        <v>0</v>
      </c>
      <c r="D12">
        <f>_xlfn.LET(_xlpm.c,_xlfn.SINGLE(Table13[condition]),_xlpm.k,CONCATENATE("*-",D$1,"*"),IF(COUNTIF(_xlpm.c,_xlpm.k)&gt;0,1,0))</f>
        <v>0</v>
      </c>
      <c r="E12">
        <f>IF(AND(Table13[xsk]=1,Table13[sk]=1),0,1)</f>
        <v>1</v>
      </c>
      <c r="F12" t="s">
        <v>21</v>
      </c>
      <c r="G12" s="1">
        <v>0.95325124560071495</v>
      </c>
      <c r="H12" s="1">
        <v>0.89123740038666499</v>
      </c>
      <c r="I12" s="1">
        <v>0.79744462488074996</v>
      </c>
      <c r="J12" s="1">
        <v>0.69726568936076005</v>
      </c>
      <c r="K12" s="1">
        <v>0.80614852537814097</v>
      </c>
      <c r="L12" s="1">
        <v>0.61218572241934899</v>
      </c>
      <c r="M12" s="1">
        <v>0.66741758354648195</v>
      </c>
      <c r="N12" s="1">
        <v>0.35344995086504299</v>
      </c>
      <c r="O12" s="1">
        <v>0.57062163969068802</v>
      </c>
      <c r="P12" s="1">
        <v>0.59534714706243896</v>
      </c>
      <c r="Q12" s="1">
        <v>0.43901902469458298</v>
      </c>
      <c r="R12" s="1">
        <v>0.55561943171997896</v>
      </c>
      <c r="S12" s="1">
        <v>0.19674659227463601</v>
      </c>
      <c r="T12" s="1">
        <f t="shared" si="0"/>
        <v>0.62582727522155623</v>
      </c>
    </row>
    <row r="13" spans="1:20" ht="30" customHeight="1">
      <c r="A13" t="str">
        <f t="shared" si="1"/>
        <v>french</v>
      </c>
      <c r="B13">
        <f>_xlfn.LET(_xlpm.c,_xlfn.SINGLE(Table13[condition]),IF(RIGHT(_xlpm.c,2)="1g",1,0))</f>
        <v>0</v>
      </c>
      <c r="C13">
        <f>_xlfn.LET(_xlpm.c,_xlfn.SINGLE(Table13[condition]),_xlpm.k,CONCATENATE("*-",C$1,"*"),IF(COUNTIF(_xlpm.c,_xlpm.k)&gt;0,1,0))</f>
        <v>0</v>
      </c>
      <c r="D13">
        <f>_xlfn.LET(_xlpm.c,_xlfn.SINGLE(Table13[condition]),_xlpm.k,CONCATENATE("*-",D$1,"*"),IF(COUNTIF(_xlpm.c,_xlpm.k)&gt;0,1,0))</f>
        <v>0</v>
      </c>
      <c r="E13">
        <f>IF(AND(Table13[xsk]=1,Table13[sk]=1),0,1)</f>
        <v>1</v>
      </c>
      <c r="F13" t="s">
        <v>22</v>
      </c>
      <c r="G13" s="1">
        <v>0.70140020506019496</v>
      </c>
      <c r="H13" s="1">
        <v>0.59161610925540598</v>
      </c>
      <c r="I13" s="1">
        <v>0.68187443262168501</v>
      </c>
      <c r="J13" s="1">
        <v>0.406707595526901</v>
      </c>
      <c r="K13" s="1">
        <v>0.58832290846018698</v>
      </c>
      <c r="L13" s="1">
        <v>0.49357299104221503</v>
      </c>
      <c r="M13" s="1">
        <v>0.470859714675396</v>
      </c>
      <c r="N13" s="1">
        <v>0.32981196716108602</v>
      </c>
      <c r="O13" s="1">
        <v>0.305232055577213</v>
      </c>
      <c r="P13" s="1">
        <v>0.47113679179553603</v>
      </c>
      <c r="Q13" s="1">
        <v>0.53570691557101102</v>
      </c>
      <c r="R13" s="1">
        <v>0.41917091511522597</v>
      </c>
      <c r="S13" s="1">
        <v>0.53348436501524998</v>
      </c>
      <c r="T13" s="1">
        <f t="shared" si="0"/>
        <v>0.50222284360594671</v>
      </c>
    </row>
    <row r="14" spans="1:20" ht="30" customHeight="1">
      <c r="A14" t="str">
        <f t="shared" si="1"/>
        <v>french</v>
      </c>
      <c r="B14">
        <f>_xlfn.LET(_xlpm.c,_xlfn.SINGLE(Table13[condition]),IF(RIGHT(_xlpm.c,2)="1g",1,0))</f>
        <v>0</v>
      </c>
      <c r="C14">
        <f>_xlfn.LET(_xlpm.c,_xlfn.SINGLE(Table13[condition]),_xlpm.k,CONCATENATE("*-",C$1,"*"),IF(COUNTIF(_xlpm.c,_xlpm.k)&gt;0,1,0))</f>
        <v>0</v>
      </c>
      <c r="D14">
        <f>_xlfn.LET(_xlpm.c,_xlfn.SINGLE(Table13[condition]),_xlpm.k,CONCATENATE("*-",D$1,"*"),IF(COUNTIF(_xlpm.c,_xlpm.k)&gt;0,1,0))</f>
        <v>0</v>
      </c>
      <c r="E14">
        <f>IF(AND(Table13[xsk]=1,Table13[sk]=1),0,1)</f>
        <v>1</v>
      </c>
      <c r="F14" t="s">
        <v>23</v>
      </c>
      <c r="G14" s="1">
        <v>0.66167321870128104</v>
      </c>
      <c r="H14" s="1">
        <v>0.64483268655592396</v>
      </c>
      <c r="I14" s="1">
        <v>0.59738693781364405</v>
      </c>
      <c r="J14" s="1">
        <v>0.47171344401974602</v>
      </c>
      <c r="K14" s="1">
        <v>0.59696668703710298</v>
      </c>
      <c r="L14" s="1">
        <v>0.62836123253217002</v>
      </c>
      <c r="M14" s="1">
        <v>0.60827517922847696</v>
      </c>
      <c r="N14" s="1">
        <v>0.478030806416337</v>
      </c>
      <c r="O14" s="1">
        <v>0.65165573594569504</v>
      </c>
      <c r="P14" s="1">
        <v>0.43132896862467501</v>
      </c>
      <c r="Q14" s="1">
        <v>0.535044464260231</v>
      </c>
      <c r="R14" s="1">
        <v>0.60459600468591501</v>
      </c>
      <c r="S14" s="1">
        <v>0.68218339851865395</v>
      </c>
      <c r="T14" s="1">
        <f t="shared" si="0"/>
        <v>0.58400375110306557</v>
      </c>
    </row>
    <row r="15" spans="1:20" ht="30" customHeight="1">
      <c r="A15" t="str">
        <f t="shared" si="1"/>
        <v>french</v>
      </c>
      <c r="B15">
        <f>_xlfn.LET(_xlpm.c,_xlfn.SINGLE(Table13[condition]),IF(RIGHT(_xlpm.c,2)="1g",1,0))</f>
        <v>0</v>
      </c>
      <c r="C15">
        <f>_xlfn.LET(_xlpm.c,_xlfn.SINGLE(Table13[condition]),_xlpm.k,CONCATENATE("*-",C$1,"*"),IF(COUNTIF(_xlpm.c,_xlpm.k)&gt;0,1,0))</f>
        <v>0</v>
      </c>
      <c r="D15">
        <f>_xlfn.LET(_xlpm.c,_xlfn.SINGLE(Table13[condition]),_xlpm.k,CONCATENATE("*-",D$1,"*"),IF(COUNTIF(_xlpm.c,_xlpm.k)&gt;0,1,0))</f>
        <v>1</v>
      </c>
      <c r="E15">
        <f>IF(AND(Table13[xsk]=1,Table13[sk]=1),0,1)</f>
        <v>1</v>
      </c>
      <c r="F15" t="s">
        <v>24</v>
      </c>
      <c r="G15" s="1">
        <v>0.71756867236436495</v>
      </c>
      <c r="H15" s="1">
        <v>0.71601330525669504</v>
      </c>
      <c r="I15" s="1">
        <v>0.76621219820188602</v>
      </c>
      <c r="J15" s="1">
        <v>0.63742087073060605</v>
      </c>
      <c r="K15" s="1">
        <v>0.83764362992758401</v>
      </c>
      <c r="L15" s="1">
        <v>0.66025039481054904</v>
      </c>
      <c r="M15" s="1">
        <v>0.53899179405724396</v>
      </c>
      <c r="N15" s="1">
        <v>0.648994930099692</v>
      </c>
      <c r="O15" s="1">
        <v>0.58753238560070498</v>
      </c>
      <c r="P15" s="1">
        <v>0.65033095451536105</v>
      </c>
      <c r="Q15" s="1">
        <v>0.66822532348305597</v>
      </c>
      <c r="R15" s="1">
        <v>0.62157819040279405</v>
      </c>
      <c r="S15" s="1">
        <v>0.53296756927561195</v>
      </c>
      <c r="T15" s="1">
        <f t="shared" si="0"/>
        <v>0.66028693990201148</v>
      </c>
    </row>
    <row r="16" spans="1:20" ht="30" customHeight="1">
      <c r="A16" t="str">
        <f t="shared" si="1"/>
        <v>french</v>
      </c>
      <c r="B16">
        <f>_xlfn.LET(_xlpm.c,_xlfn.SINGLE(Table13[condition]),IF(RIGHT(_xlpm.c,2)="1g",1,0))</f>
        <v>0</v>
      </c>
      <c r="C16">
        <f>_xlfn.LET(_xlpm.c,_xlfn.SINGLE(Table13[condition]),_xlpm.k,CONCATENATE("*-",C$1,"*"),IF(COUNTIF(_xlpm.c,_xlpm.k)&gt;0,1,0))</f>
        <v>0</v>
      </c>
      <c r="D16">
        <f>_xlfn.LET(_xlpm.c,_xlfn.SINGLE(Table13[condition]),_xlpm.k,CONCATENATE("*-",D$1,"*"),IF(COUNTIF(_xlpm.c,_xlpm.k)&gt;0,1,0))</f>
        <v>1</v>
      </c>
      <c r="E16">
        <f>IF(AND(Table13[xsk]=1,Table13[sk]=1),0,1)</f>
        <v>1</v>
      </c>
      <c r="F16" t="s">
        <v>25</v>
      </c>
      <c r="G16" s="1">
        <v>0.61349073331082904</v>
      </c>
      <c r="H16" s="1">
        <v>0.74418674657610295</v>
      </c>
      <c r="I16" s="1">
        <v>0.64986693727839695</v>
      </c>
      <c r="J16" s="1">
        <v>0.70267188629100197</v>
      </c>
      <c r="K16" s="1">
        <v>0.76174693397620596</v>
      </c>
      <c r="L16" s="1">
        <v>0.60706730513483098</v>
      </c>
      <c r="M16" s="1">
        <v>0.63804549505293995</v>
      </c>
      <c r="N16" s="1">
        <v>0.54311568846325697</v>
      </c>
      <c r="O16" s="1">
        <v>0.49663910942964301</v>
      </c>
      <c r="P16" s="1">
        <v>0.48106200986338499</v>
      </c>
      <c r="Q16" s="1">
        <v>0.42643827687658997</v>
      </c>
      <c r="R16" s="1">
        <v>0.38864445736965803</v>
      </c>
      <c r="S16" s="1">
        <v>0.51644639088890198</v>
      </c>
      <c r="T16" s="1">
        <f t="shared" si="0"/>
        <v>0.5822632285009034</v>
      </c>
    </row>
    <row r="17" spans="1:20" ht="30" customHeight="1">
      <c r="A17" t="str">
        <f t="shared" si="1"/>
        <v>german</v>
      </c>
      <c r="B17">
        <f>_xlfn.LET(_xlpm.c,_xlfn.SINGLE(Table13[condition]),IF(RIGHT(_xlpm.c,2)="1g",1,0))</f>
        <v>1</v>
      </c>
      <c r="C17">
        <f>_xlfn.LET(_xlpm.c,_xlfn.SINGLE(Table13[condition]),_xlpm.k,CONCATENATE("*-",C$1,"*"),IF(COUNTIF(_xlpm.c,_xlpm.k)&gt;0,1,0))</f>
        <v>0</v>
      </c>
      <c r="D17">
        <f>_xlfn.LET(_xlpm.c,_xlfn.SINGLE(Table13[condition]),_xlpm.k,CONCATENATE("*-",D$1,"*"),IF(COUNTIF(_xlpm.c,_xlpm.k)&gt;0,1,0))</f>
        <v>0</v>
      </c>
      <c r="E17">
        <f>IF(AND(Table13[xsk]=1,Table13[sk]=1),0,1)</f>
        <v>1</v>
      </c>
      <c r="F17" t="s">
        <v>26</v>
      </c>
      <c r="G17" s="1">
        <v>1</v>
      </c>
      <c r="H17" s="1">
        <v>0.88927619114798595</v>
      </c>
      <c r="I17" s="1">
        <v>0.84295345291790402</v>
      </c>
      <c r="J17" s="1">
        <v>0.86309905469964898</v>
      </c>
      <c r="K17" s="1">
        <v>0.76672975734925897</v>
      </c>
      <c r="L17" s="1">
        <v>0.71047752164974898</v>
      </c>
      <c r="M17" s="1">
        <v>0.79872836721057605</v>
      </c>
      <c r="N17" s="1">
        <v>0.46028243003875202</v>
      </c>
      <c r="O17" s="1">
        <v>0.52336453281051698</v>
      </c>
      <c r="P17" s="1">
        <v>0.47631126941287399</v>
      </c>
      <c r="Q17" s="1">
        <v>0.63892379861158499</v>
      </c>
      <c r="R17" s="1">
        <v>0.642773271192842</v>
      </c>
      <c r="S17" s="1">
        <v>0.66058619649875405</v>
      </c>
      <c r="T17" s="1">
        <f t="shared" si="0"/>
        <v>0.71334660334926514</v>
      </c>
    </row>
    <row r="18" spans="1:20" ht="30" customHeight="1">
      <c r="A18" t="str">
        <f t="shared" si="1"/>
        <v>german</v>
      </c>
      <c r="B18">
        <f>_xlfn.LET(_xlpm.c,_xlfn.SINGLE(Table13[condition]),IF(RIGHT(_xlpm.c,2)="1g",1,0))</f>
        <v>0</v>
      </c>
      <c r="C18">
        <f>_xlfn.LET(_xlpm.c,_xlfn.SINGLE(Table13[condition]),_xlpm.k,CONCATENATE("*-",C$1,"*"),IF(COUNTIF(_xlpm.c,_xlpm.k)&gt;0,1,0))</f>
        <v>0</v>
      </c>
      <c r="D18">
        <f>_xlfn.LET(_xlpm.c,_xlfn.SINGLE(Table13[condition]),_xlpm.k,CONCATENATE("*-",D$1,"*"),IF(COUNTIF(_xlpm.c,_xlpm.k)&gt;0,1,0))</f>
        <v>0</v>
      </c>
      <c r="E18">
        <f>IF(AND(Table13[xsk]=1,Table13[sk]=1),0,1)</f>
        <v>1</v>
      </c>
      <c r="F18" t="s">
        <v>27</v>
      </c>
      <c r="G18" s="1">
        <v>0.82318647926161903</v>
      </c>
      <c r="H18" s="1">
        <v>0.75453721702334797</v>
      </c>
      <c r="I18" s="1">
        <v>0.66487649105529401</v>
      </c>
      <c r="J18" s="1">
        <v>0.84665503547830101</v>
      </c>
      <c r="K18" s="1">
        <v>0.76780580112529595</v>
      </c>
      <c r="L18" s="1">
        <v>0.63291048331664301</v>
      </c>
      <c r="M18" s="1">
        <v>0.50046860319805297</v>
      </c>
      <c r="N18" s="1">
        <v>0.59489727405648996</v>
      </c>
      <c r="O18" s="1">
        <v>0.58975880657958901</v>
      </c>
      <c r="P18" s="1">
        <v>0.76038227714213003</v>
      </c>
      <c r="Q18" s="1">
        <v>0.40780018278319902</v>
      </c>
      <c r="R18" s="1">
        <v>0.62321321597298396</v>
      </c>
      <c r="S18" s="1">
        <v>0.63464973476132602</v>
      </c>
      <c r="T18" s="1">
        <f t="shared" si="0"/>
        <v>0.66162627705802091</v>
      </c>
    </row>
    <row r="19" spans="1:20" ht="30" customHeight="1">
      <c r="A19" t="str">
        <f t="shared" si="1"/>
        <v>german</v>
      </c>
      <c r="B19">
        <f>_xlfn.LET(_xlpm.c,_xlfn.SINGLE(Table13[condition]),IF(RIGHT(_xlpm.c,2)="1g",1,0))</f>
        <v>0</v>
      </c>
      <c r="C19">
        <f>_xlfn.LET(_xlpm.c,_xlfn.SINGLE(Table13[condition]),_xlpm.k,CONCATENATE("*-",C$1,"*"),IF(COUNTIF(_xlpm.c,_xlpm.k)&gt;0,1,0))</f>
        <v>0</v>
      </c>
      <c r="D19">
        <f>_xlfn.LET(_xlpm.c,_xlfn.SINGLE(Table13[condition]),_xlpm.k,CONCATENATE("*-",D$1,"*"),IF(COUNTIF(_xlpm.c,_xlpm.k)&gt;0,1,0))</f>
        <v>0</v>
      </c>
      <c r="E19">
        <f>IF(AND(Table13[xsk]=1,Table13[sk]=1),0,1)</f>
        <v>1</v>
      </c>
      <c r="F19" t="s">
        <v>28</v>
      </c>
      <c r="G19" s="1">
        <v>0.85044215346659102</v>
      </c>
      <c r="H19" s="1">
        <v>0.71143334214758902</v>
      </c>
      <c r="I19" s="1">
        <v>0.71920131868208703</v>
      </c>
      <c r="J19" s="1">
        <v>0.70211500106036095</v>
      </c>
      <c r="K19" s="1">
        <v>0.81926475966702905</v>
      </c>
      <c r="L19" s="1">
        <v>0.71228393768196896</v>
      </c>
      <c r="M19" s="1">
        <v>0.88541686059288605</v>
      </c>
      <c r="N19" s="1">
        <v>0.57895828931723303</v>
      </c>
      <c r="O19" s="1">
        <v>0.61922474346731404</v>
      </c>
      <c r="P19" s="1">
        <v>0.66448284210637798</v>
      </c>
      <c r="Q19" s="1">
        <v>0.732228833095112</v>
      </c>
      <c r="R19" s="1">
        <v>0.54749517287332605</v>
      </c>
      <c r="S19" s="1">
        <v>0.40431310269112902</v>
      </c>
      <c r="T19" s="1">
        <f t="shared" si="0"/>
        <v>0.68822002744992339</v>
      </c>
    </row>
    <row r="20" spans="1:20" ht="30" customHeight="1">
      <c r="A20" t="str">
        <f t="shared" si="1"/>
        <v>german</v>
      </c>
      <c r="B20">
        <f>_xlfn.LET(_xlpm.c,_xlfn.SINGLE(Table13[condition]),IF(RIGHT(_xlpm.c,2)="1g",1,0))</f>
        <v>0</v>
      </c>
      <c r="C20">
        <f>_xlfn.LET(_xlpm.c,_xlfn.SINGLE(Table13[condition]),_xlpm.k,CONCATENATE("*-",C$1,"*"),IF(COUNTIF(_xlpm.c,_xlpm.k)&gt;0,1,0))</f>
        <v>0</v>
      </c>
      <c r="D20">
        <f>_xlfn.LET(_xlpm.c,_xlfn.SINGLE(Table13[condition]),_xlpm.k,CONCATENATE("*-",D$1,"*"),IF(COUNTIF(_xlpm.c,_xlpm.k)&gt;0,1,0))</f>
        <v>1</v>
      </c>
      <c r="E20">
        <f>IF(AND(Table13[xsk]=1,Table13[sk]=1),0,1)</f>
        <v>1</v>
      </c>
      <c r="F20" t="s">
        <v>29</v>
      </c>
      <c r="G20" s="1">
        <v>0.86715289042908095</v>
      </c>
      <c r="H20" s="1">
        <v>0.69269943660281696</v>
      </c>
      <c r="I20" s="1">
        <v>0.68912599010952302</v>
      </c>
      <c r="J20" s="1">
        <v>0.62549340297926204</v>
      </c>
      <c r="K20" s="1">
        <v>0.80140375213589399</v>
      </c>
      <c r="L20" s="1">
        <v>0.735233796362596</v>
      </c>
      <c r="M20" s="1">
        <v>0.66733736981355396</v>
      </c>
      <c r="N20" s="1">
        <v>0.69837238381548195</v>
      </c>
      <c r="O20" s="1">
        <v>0.58426873342854002</v>
      </c>
      <c r="P20" s="1">
        <v>0.60489349061516895</v>
      </c>
      <c r="Q20" s="1">
        <v>0.67943805188975803</v>
      </c>
      <c r="R20" s="1">
        <v>0.87320785661266598</v>
      </c>
      <c r="S20" s="1">
        <v>0.64715639074045905</v>
      </c>
      <c r="T20" s="1">
        <f t="shared" si="0"/>
        <v>0.70506027273344618</v>
      </c>
    </row>
    <row r="21" spans="1:20" ht="30" customHeight="1">
      <c r="A21" t="str">
        <f t="shared" si="1"/>
        <v>german</v>
      </c>
      <c r="B21">
        <f>_xlfn.LET(_xlpm.c,_xlfn.SINGLE(Table13[condition]),IF(RIGHT(_xlpm.c,2)="1g",1,0))</f>
        <v>0</v>
      </c>
      <c r="C21">
        <f>_xlfn.LET(_xlpm.c,_xlfn.SINGLE(Table13[condition]),_xlpm.k,CONCATENATE("*-",C$1,"*"),IF(COUNTIF(_xlpm.c,_xlpm.k)&gt;0,1,0))</f>
        <v>0</v>
      </c>
      <c r="D21">
        <f>_xlfn.LET(_xlpm.c,_xlfn.SINGLE(Table13[condition]),_xlpm.k,CONCATENATE("*-",D$1,"*"),IF(COUNTIF(_xlpm.c,_xlpm.k)&gt;0,1,0))</f>
        <v>1</v>
      </c>
      <c r="E21">
        <f>IF(AND(Table13[xsk]=1,Table13[sk]=1),0,1)</f>
        <v>1</v>
      </c>
      <c r="F21" t="s">
        <v>30</v>
      </c>
      <c r="G21" s="1">
        <v>0.84795445431460204</v>
      </c>
      <c r="H21" s="1">
        <v>0.78511102765315299</v>
      </c>
      <c r="I21" s="1">
        <v>0.85429202965356998</v>
      </c>
      <c r="J21" s="1">
        <v>0.80434941039246599</v>
      </c>
      <c r="K21" s="1">
        <v>0.66012784133059299</v>
      </c>
      <c r="L21" s="1">
        <v>0.67450071491559804</v>
      </c>
      <c r="M21" s="1">
        <v>0.56138968409523704</v>
      </c>
      <c r="N21" s="1">
        <v>0.54155389282967104</v>
      </c>
      <c r="O21" s="1">
        <v>0.51514449007223695</v>
      </c>
      <c r="P21" s="1">
        <v>0.54919017694098005</v>
      </c>
      <c r="Q21" s="1">
        <v>0.69329544031852297</v>
      </c>
      <c r="R21" s="1">
        <v>0.45164055810584802</v>
      </c>
      <c r="S21" s="1">
        <v>0.73383831362093799</v>
      </c>
      <c r="T21" s="1">
        <f t="shared" si="0"/>
        <v>0.66710677186487821</v>
      </c>
    </row>
    <row r="22" spans="1:20" ht="30" customHeight="1">
      <c r="A22" t="str">
        <f t="shared" si="1"/>
        <v>russian</v>
      </c>
      <c r="B22">
        <f>_xlfn.LET(_xlpm.c,_xlfn.SINGLE(Table13[condition]),IF(RIGHT(_xlpm.c,2)="1g",1,0))</f>
        <v>1</v>
      </c>
      <c r="C22">
        <f>_xlfn.LET(_xlpm.c,_xlfn.SINGLE(Table13[condition]),_xlpm.k,CONCATENATE("*-",C$1,"*"),IF(COUNTIF(_xlpm.c,_xlpm.k)&gt;0,1,0))</f>
        <v>0</v>
      </c>
      <c r="D22">
        <f>_xlfn.LET(_xlpm.c,_xlfn.SINGLE(Table13[condition]),_xlpm.k,CONCATENATE("*-",D$1,"*"),IF(COUNTIF(_xlpm.c,_xlpm.k)&gt;0,1,0))</f>
        <v>0</v>
      </c>
      <c r="E22">
        <f>IF(AND(Table13[xsk]=1,Table13[sk]=1),0,1)</f>
        <v>1</v>
      </c>
      <c r="F22" t="s">
        <v>31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f t="shared" si="0"/>
        <v>1</v>
      </c>
    </row>
    <row r="23" spans="1:20" ht="30" customHeight="1">
      <c r="A23" t="str">
        <f t="shared" si="1"/>
        <v>russian</v>
      </c>
      <c r="B23">
        <f>_xlfn.LET(_xlpm.c,_xlfn.SINGLE(Table13[condition]),IF(RIGHT(_xlpm.c,2)="1g",1,0))</f>
        <v>0</v>
      </c>
      <c r="C23">
        <f>_xlfn.LET(_xlpm.c,_xlfn.SINGLE(Table13[condition]),_xlpm.k,CONCATENATE("*-",C$1,"*"),IF(COUNTIF(_xlpm.c,_xlpm.k)&gt;0,1,0))</f>
        <v>0</v>
      </c>
      <c r="D23">
        <f>_xlfn.LET(_xlpm.c,_xlfn.SINGLE(Table13[condition]),_xlpm.k,CONCATENATE("*-",D$1,"*"),IF(COUNTIF(_xlpm.c,_xlpm.k)&gt;0,1,0))</f>
        <v>0</v>
      </c>
      <c r="E23">
        <f>IF(AND(Table13[xsk]=1,Table13[sk]=1),0,1)</f>
        <v>1</v>
      </c>
      <c r="F23" t="s">
        <v>32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f t="shared" si="0"/>
        <v>1</v>
      </c>
    </row>
    <row r="24" spans="1:20" ht="30" customHeight="1">
      <c r="A24" t="str">
        <f t="shared" si="1"/>
        <v>russian</v>
      </c>
      <c r="B24">
        <f>_xlfn.LET(_xlpm.c,_xlfn.SINGLE(Table13[condition]),IF(RIGHT(_xlpm.c,2)="1g",1,0))</f>
        <v>0</v>
      </c>
      <c r="C24">
        <f>_xlfn.LET(_xlpm.c,_xlfn.SINGLE(Table13[condition]),_xlpm.k,CONCATENATE("*-",C$1,"*"),IF(COUNTIF(_xlpm.c,_xlpm.k)&gt;0,1,0))</f>
        <v>0</v>
      </c>
      <c r="D24">
        <f>_xlfn.LET(_xlpm.c,_xlfn.SINGLE(Table13[condition]),_xlpm.k,CONCATENATE("*-",D$1,"*"),IF(COUNTIF(_xlpm.c,_xlpm.k)&gt;0,1,0))</f>
        <v>0</v>
      </c>
      <c r="E24">
        <f>IF(AND(Table13[xsk]=1,Table13[sk]=1),0,1)</f>
        <v>1</v>
      </c>
      <c r="F24" t="s">
        <v>33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f t="shared" si="0"/>
        <v>1</v>
      </c>
    </row>
    <row r="25" spans="1:20" ht="30" customHeight="1">
      <c r="A25" t="str">
        <f t="shared" si="1"/>
        <v>russian</v>
      </c>
      <c r="B25">
        <f>_xlfn.LET(_xlpm.c,_xlfn.SINGLE(Table13[condition]),IF(RIGHT(_xlpm.c,2)="1g",1,0))</f>
        <v>0</v>
      </c>
      <c r="C25">
        <f>_xlfn.LET(_xlpm.c,_xlfn.SINGLE(Table13[condition]),_xlpm.k,CONCATENATE("*-",C$1,"*"),IF(COUNTIF(_xlpm.c,_xlpm.k)&gt;0,1,0))</f>
        <v>0</v>
      </c>
      <c r="D25">
        <f>_xlfn.LET(_xlpm.c,_xlfn.SINGLE(Table13[condition]),_xlpm.k,CONCATENATE("*-",D$1,"*"),IF(COUNTIF(_xlpm.c,_xlpm.k)&gt;0,1,0))</f>
        <v>1</v>
      </c>
      <c r="E25">
        <f>IF(AND(Table13[xsk]=1,Table13[sk]=1),0,1)</f>
        <v>1</v>
      </c>
      <c r="F25" t="s">
        <v>34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0.96936585660054397</v>
      </c>
      <c r="O25" s="1">
        <v>0.99771675611867305</v>
      </c>
      <c r="P25" s="1">
        <v>1</v>
      </c>
      <c r="Q25" s="1">
        <v>1</v>
      </c>
      <c r="R25" s="1">
        <v>1</v>
      </c>
      <c r="S25" s="1">
        <v>1</v>
      </c>
      <c r="T25" s="1">
        <f t="shared" si="0"/>
        <v>0.99746789328609364</v>
      </c>
    </row>
    <row r="26" spans="1:20" ht="30" customHeight="1">
      <c r="A26" t="str">
        <f t="shared" si="1"/>
        <v>russian</v>
      </c>
      <c r="B26">
        <f>_xlfn.LET(_xlpm.c,_xlfn.SINGLE(Table13[condition]),IF(RIGHT(_xlpm.c,2)="1g",1,0))</f>
        <v>0</v>
      </c>
      <c r="C26">
        <f>_xlfn.LET(_xlpm.c,_xlfn.SINGLE(Table13[condition]),_xlpm.k,CONCATENATE("*-",C$1,"*"),IF(COUNTIF(_xlpm.c,_xlpm.k)&gt;0,1,0))</f>
        <v>0</v>
      </c>
      <c r="D26">
        <f>_xlfn.LET(_xlpm.c,_xlfn.SINGLE(Table13[condition]),_xlpm.k,CONCATENATE("*-",D$1,"*"),IF(COUNTIF(_xlpm.c,_xlpm.k)&gt;0,1,0))</f>
        <v>1</v>
      </c>
      <c r="E26">
        <f>IF(AND(Table13[xsk]=1,Table13[sk]=1),0,1)</f>
        <v>1</v>
      </c>
      <c r="F26" t="s">
        <v>35</v>
      </c>
      <c r="G26" s="1">
        <v>0.99887635768029004</v>
      </c>
      <c r="H26" s="1">
        <v>1</v>
      </c>
      <c r="I26" s="1">
        <v>0.83378553865830796</v>
      </c>
      <c r="J26" s="1">
        <v>0.96291234147087501</v>
      </c>
      <c r="K26" s="1">
        <v>0.97603108566307795</v>
      </c>
      <c r="L26" s="1">
        <v>0.96081288261853903</v>
      </c>
      <c r="M26" s="1">
        <v>0.96124287029779398</v>
      </c>
      <c r="N26" s="1">
        <v>0.99079676656896698</v>
      </c>
      <c r="O26" s="1">
        <v>0.76537013801756504</v>
      </c>
      <c r="P26" s="1">
        <v>0.874525767995047</v>
      </c>
      <c r="Q26" s="1">
        <v>1</v>
      </c>
      <c r="R26" s="1">
        <v>0.98699542035714405</v>
      </c>
      <c r="S26" s="1">
        <v>0.95323125862541103</v>
      </c>
      <c r="T26" s="1">
        <f t="shared" si="0"/>
        <v>0.94342926368869362</v>
      </c>
    </row>
    <row r="28" spans="1:20" ht="30" customHeight="1">
      <c r="F28" t="s">
        <v>59</v>
      </c>
    </row>
    <row r="29" spans="1:20" ht="30" customHeight="1">
      <c r="F29" t="s">
        <v>37</v>
      </c>
      <c r="G29" s="2">
        <f>_xlfn.LET(_xlpm.d,G$2:G$26,AVERAGE(_xlpm.d))</f>
        <v>0.85755657406634389</v>
      </c>
      <c r="H29" s="2">
        <f>_xlfn.LET(_xlpm.d,H$2:H$26,AVERAGE(_xlpm.d))</f>
        <v>0.83061045277315992</v>
      </c>
      <c r="I29" s="2">
        <f>_xlfn.LET(_xlpm.d,I$2:I$26,AVERAGE(_xlpm.d))</f>
        <v>0.81271021901505791</v>
      </c>
      <c r="J29" s="2">
        <f>_xlfn.LET(_xlpm.d,J$2:J$26,AVERAGE(_xlpm.d))</f>
        <v>0.77177922163534673</v>
      </c>
      <c r="K29" s="2">
        <f>_xlfn.LET(_xlpm.d,K$2:K$26,AVERAGE(_xlpm.d))</f>
        <v>0.79992233757178655</v>
      </c>
      <c r="L29" s="2">
        <f>_xlfn.LET(_xlpm.d,L$2:L$26,AVERAGE(_xlpm.d))</f>
        <v>0.76467137366569615</v>
      </c>
      <c r="M29" s="2">
        <f>_xlfn.LET(_xlpm.d,M$2:M$26,AVERAGE(_xlpm.d))</f>
        <v>0.75896631761614852</v>
      </c>
      <c r="N29" s="2">
        <f>_xlfn.LET(_xlpm.d,N$2:N$26,AVERAGE(_xlpm.d))</f>
        <v>0.69947109529872686</v>
      </c>
      <c r="O29" s="2">
        <f>_xlfn.LET(_xlpm.d,O$2:O$26,AVERAGE(_xlpm.d))</f>
        <v>0.71907970512818054</v>
      </c>
      <c r="P29" s="2">
        <f>_xlfn.LET(_xlpm.d,P$2:P$26,AVERAGE(_xlpm.d))</f>
        <v>0.70117825596245154</v>
      </c>
      <c r="Q29" s="2">
        <f>_xlfn.LET(_xlpm.d,Q$2:Q$26,AVERAGE(_xlpm.d))</f>
        <v>0.73286303372911288</v>
      </c>
      <c r="R29" s="2">
        <f>_xlfn.LET(_xlpm.d,R$2:R$26,AVERAGE(_xlpm.d))</f>
        <v>0.71716858096996716</v>
      </c>
      <c r="S29" s="2">
        <f>_xlfn.LET(_xlpm.d,S$2:S$26,AVERAGE(_xlpm.d))</f>
        <v>0.71563744449452427</v>
      </c>
      <c r="T29" s="2">
        <f>_xlfn.LET(_xlpm.d,T$2:T$26,AVERAGE(_xlpm.d))</f>
        <v>0.76012420091742328</v>
      </c>
    </row>
    <row r="30" spans="1:20" ht="30" customHeight="1">
      <c r="F30" t="s">
        <v>38</v>
      </c>
      <c r="G30" s="2" cm="1">
        <f t="array" ref="G30">_xlfn.LET(_xlpm.d,G$2:G$26,_xlpm.f,$A$2:$A$26,_xlpm.k,$F30,AVERAGE(_xlfn._xlws.FILTER(_xlpm.d,_xlpm.f=_xlpm.k)))</f>
        <v>1</v>
      </c>
      <c r="H30" s="2" cm="1">
        <f t="array" ref="H30">_xlfn.LET(_xlpm.d,H$2:H$26,_xlpm.f,$A$2:$A$26,_xlpm.k,$F30,AVERAGE(_xlfn._xlws.FILTER(_xlpm.d,_xlpm.f=_xlpm.k)))</f>
        <v>0.99848068292003467</v>
      </c>
      <c r="I30" s="2" cm="1">
        <f t="array" ref="I30">_xlfn.LET(_xlpm.d,I$2:I$26,_xlpm.f,$A$2:$A$26,_xlpm.k,$F30,AVERAGE(_xlfn._xlws.FILTER(_xlpm.d,_xlpm.f=_xlpm.k)))</f>
        <v>0.99925898811855851</v>
      </c>
      <c r="J30" s="2" cm="1">
        <f t="array" ref="J30">_xlfn.LET(_xlpm.d,J$2:J$26,_xlpm.f,$A$2:$A$26,_xlpm.k,$F30,AVERAGE(_xlfn._xlws.FILTER(_xlpm.d,_xlpm.f=_xlpm.k)))</f>
        <v>1</v>
      </c>
      <c r="K30" s="2" cm="1">
        <f t="array" ref="K30">_xlfn.LET(_xlpm.d,K$2:K$26,_xlpm.f,$A$2:$A$26,_xlpm.k,$F30,AVERAGE(_xlfn._xlws.FILTER(_xlpm.d,_xlpm.f=_xlpm.k)))</f>
        <v>1</v>
      </c>
      <c r="L30" s="2" cm="1">
        <f t="array" ref="L30">_xlfn.LET(_xlpm.d,L$2:L$26,_xlpm.f,$A$2:$A$26,_xlpm.k,$F30,AVERAGE(_xlfn._xlws.FILTER(_xlpm.d,_xlpm.f=_xlpm.k)))</f>
        <v>0.99976983821083965</v>
      </c>
      <c r="M30" s="2" cm="1">
        <f t="array" ref="M30">_xlfn.LET(_xlpm.d,M$2:M$26,_xlpm.f,$A$2:$A$26,_xlpm.k,$F30,AVERAGE(_xlfn._xlws.FILTER(_xlpm.d,_xlpm.f=_xlpm.k)))</f>
        <v>1</v>
      </c>
      <c r="N30" s="2" cm="1">
        <f t="array" ref="N30">_xlfn.LET(_xlpm.d,N$2:N$26,_xlpm.f,$A$2:$A$26,_xlpm.k,$F30,AVERAGE(_xlfn._xlws.FILTER(_xlpm.d,_xlpm.f=_xlpm.k)))</f>
        <v>1</v>
      </c>
      <c r="O30" s="2" cm="1">
        <f t="array" ref="O30">_xlfn.LET(_xlpm.d,O$2:O$26,_xlpm.f,$A$2:$A$26,_xlpm.k,$F30,AVERAGE(_xlfn._xlws.FILTER(_xlpm.d,_xlpm.f=_xlpm.k)))</f>
        <v>0.99727080889655184</v>
      </c>
      <c r="P30" s="2" cm="1">
        <f t="array" ref="P30">_xlfn.LET(_xlpm.d,P$2:P$26,_xlpm.f,$A$2:$A$26,_xlpm.k,$F30,AVERAGE(_xlfn._xlws.FILTER(_xlpm.d,_xlpm.f=_xlpm.k)))</f>
        <v>1</v>
      </c>
      <c r="Q30" s="2" cm="1">
        <f t="array" ref="Q30">_xlfn.LET(_xlpm.d,Q$2:Q$26,_xlpm.f,$A$2:$A$26,_xlpm.k,$F30,AVERAGE(_xlfn._xlws.FILTER(_xlpm.d,_xlpm.f=_xlpm.k)))</f>
        <v>0.97847975356538708</v>
      </c>
      <c r="R30" s="2" cm="1">
        <f t="array" ref="R30">_xlfn.LET(_xlpm.d,R$2:R$26,_xlpm.f,$A$2:$A$26,_xlpm.k,$F30,AVERAGE(_xlfn._xlws.FILTER(_xlpm.d,_xlpm.f=_xlpm.k)))</f>
        <v>1</v>
      </c>
      <c r="S30" s="2" cm="1">
        <f t="array" ref="S30">_xlfn.LET(_xlpm.d,S$2:S$26,_xlpm.f,$A$2:$A$26,_xlpm.k,$F30,AVERAGE(_xlfn._xlws.FILTER(_xlpm.d,_xlpm.f=_xlpm.k)))</f>
        <v>0.9494491306049333</v>
      </c>
      <c r="T30" s="2" cm="1">
        <f t="array" ref="T30">_xlfn.LET(_xlpm.d,T$2:T$26,_xlpm.f,$A$2:$A$26,_xlpm.k,$F30,AVERAGE(_xlfn._xlws.FILTER(_xlpm.d,_xlpm.f=_xlpm.k)))</f>
        <v>0.99405455402433118</v>
      </c>
    </row>
    <row r="31" spans="1:20" ht="30" customHeight="1">
      <c r="F31" t="s">
        <v>39</v>
      </c>
      <c r="G31" s="2" cm="1">
        <f t="array" ref="G31">_xlfn.LET(_xlpm.d,G$2:G$26,_xlpm.f,$A$2:$A$26,_xlpm.k,$F31,AVERAGE(_xlfn._xlws.FILTER(_xlpm.d,_xlpm.f=_xlpm.k)))</f>
        <v>0.87774719549437863</v>
      </c>
      <c r="H31" s="2" cm="1">
        <f t="array" ref="H31">_xlfn.LET(_xlpm.d,H$2:H$26,_xlpm.f,$A$2:$A$26,_xlpm.k,$F31,AVERAGE(_xlfn._xlws.FILTER(_xlpm.d,_xlpm.f=_xlpm.k)))</f>
        <v>0.76661144291497862</v>
      </c>
      <c r="I31" s="2" cm="1">
        <f t="array" ref="I31">_xlfn.LET(_xlpm.d,I$2:I$26,_xlpm.f,$A$2:$A$26,_xlpm.k,$F31,AVERAGE(_xlfn._xlws.FILTER(_xlpm.d,_xlpm.f=_xlpm.k)))</f>
        <v>0.75408985648367555</v>
      </c>
      <c r="J31" s="2" cm="1">
        <f t="array" ref="J31">_xlfn.LET(_xlpm.d,J$2:J$26,_xlpm.f,$A$2:$A$26,_xlpm.k,$F31,AVERAGE(_xlfn._xlws.FILTER(_xlpm.d,_xlpm.f=_xlpm.k)))</f>
        <v>0.76834238092200779</v>
      </c>
      <c r="K31" s="2" cm="1">
        <f t="array" ref="K31">_xlfn.LET(_xlpm.d,K$2:K$26,_xlpm.f,$A$2:$A$26,_xlpm.k,$F31,AVERAGE(_xlfn._xlws.FILTER(_xlpm.d,_xlpm.f=_xlpm.k)))</f>
        <v>0.76306638232161417</v>
      </c>
      <c r="L31" s="2" cm="1">
        <f t="array" ref="L31">_xlfn.LET(_xlpm.d,L$2:L$26,_xlpm.f,$A$2:$A$26,_xlpm.k,$F31,AVERAGE(_xlfn._xlws.FILTER(_xlpm.d,_xlpm.f=_xlpm.k)))</f>
        <v>0.693081290785311</v>
      </c>
      <c r="M31" s="2" cm="1">
        <f t="array" ref="M31">_xlfn.LET(_xlpm.d,M$2:M$26,_xlpm.f,$A$2:$A$26,_xlpm.k,$F31,AVERAGE(_xlfn._xlws.FILTER(_xlpm.d,_xlpm.f=_xlpm.k)))</f>
        <v>0.68266817698206128</v>
      </c>
      <c r="N31" s="2" cm="1">
        <f t="array" ref="N31">_xlfn.LET(_xlpm.d,N$2:N$26,_xlpm.f,$A$2:$A$26,_xlpm.k,$F31,AVERAGE(_xlfn._xlws.FILTER(_xlpm.d,_xlpm.f=_xlpm.k)))</f>
        <v>0.5748128540115256</v>
      </c>
      <c r="O31" s="2" cm="1">
        <f t="array" ref="O31">_xlfn.LET(_xlpm.d,O$2:O$26,_xlpm.f,$A$2:$A$26,_xlpm.k,$F31,AVERAGE(_xlfn._xlws.FILTER(_xlpm.d,_xlpm.f=_xlpm.k)))</f>
        <v>0.5663522612716394</v>
      </c>
      <c r="P31" s="2" cm="1">
        <f t="array" ref="P31">_xlfn.LET(_xlpm.d,P$2:P$26,_xlpm.f,$A$2:$A$26,_xlpm.k,$F31,AVERAGE(_xlfn._xlws.FILTER(_xlpm.d,_xlpm.f=_xlpm.k)))</f>
        <v>0.61105201124350617</v>
      </c>
      <c r="Q31" s="2" cm="1">
        <f t="array" ref="Q31">_xlfn.LET(_xlpm.d,Q$2:Q$26,_xlpm.f,$A$2:$A$26,_xlpm.k,$F31,AVERAGE(_xlfn._xlws.FILTER(_xlpm.d,_xlpm.f=_xlpm.k)))</f>
        <v>0.63033726133963541</v>
      </c>
      <c r="R31" s="2" cm="1">
        <f t="array" ref="R31">_xlfn.LET(_xlpm.d,R$2:R$26,_xlpm.f,$A$2:$A$26,_xlpm.k,$F31,AVERAGE(_xlfn._xlws.FILTER(_xlpm.d,_xlpm.f=_xlpm.k)))</f>
        <v>0.62766601495153318</v>
      </c>
      <c r="S31" s="2" cm="1">
        <f t="array" ref="S31">_xlfn.LET(_xlpm.d,S$2:S$26,_xlpm.f,$A$2:$A$26,_xlpm.k,$F31,AVERAGE(_xlfn._xlws.FILTER(_xlpm.d,_xlpm.f=_xlpm.k)))</f>
        <v>0.61610874766252122</v>
      </c>
      <c r="T31" s="2" cm="1">
        <f t="array" ref="T31">_xlfn.LET(_xlpm.d,T$2:T$26,_xlpm.f,$A$2:$A$26,_xlpm.k,$F31,AVERAGE(_xlfn._xlws.FILTER(_xlpm.d,_xlpm.f=_xlpm.k)))</f>
        <v>0.68707199049110668</v>
      </c>
    </row>
    <row r="32" spans="1:20" ht="30" customHeight="1">
      <c r="F32" t="s">
        <v>40</v>
      </c>
      <c r="G32" s="2" cm="1">
        <f t="array" ref="G32">_xlfn.LET(_xlpm.d,G$2:G$26,_xlpm.f,$A$2:$A$26,_xlpm.k,$F32,AVERAGE(_xlfn._xlws.FILTER(_xlpm.d,_xlpm.f=_xlpm.k)))</f>
        <v>0.68078358829380514</v>
      </c>
      <c r="H32" s="2" cm="1">
        <f t="array" ref="H32">_xlfn.LET(_xlpm.d,H$2:H$26,_xlpm.f,$A$2:$A$26,_xlpm.k,$F32,AVERAGE(_xlfn._xlws.FILTER(_xlpm.d,_xlpm.f=_xlpm.k)))</f>
        <v>0.67038288842462745</v>
      </c>
      <c r="I32" s="2" cm="1">
        <f t="array" ref="I32">_xlfn.LET(_xlpm.d,I$2:I$26,_xlpm.f,$A$2:$A$26,_xlpm.k,$F32,AVERAGE(_xlfn._xlws.FILTER(_xlpm.d,_xlpm.f=_xlpm.k)))</f>
        <v>0.64488811658212197</v>
      </c>
      <c r="J32" s="2" cm="1">
        <f t="array" ref="J32">_xlfn.LET(_xlpm.d,J$2:J$26,_xlpm.f,$A$2:$A$26,_xlpm.k,$F32,AVERAGE(_xlfn._xlws.FILTER(_xlpm.d,_xlpm.f=_xlpm.k)))</f>
        <v>0.51481536177474774</v>
      </c>
      <c r="K32" s="2" cm="1">
        <f t="array" ref="K32">_xlfn.LET(_xlpm.d,K$2:K$26,_xlpm.f,$A$2:$A$26,_xlpm.k,$F32,AVERAGE(_xlfn._xlws.FILTER(_xlpm.d,_xlpm.f=_xlpm.k)))</f>
        <v>0.52317335144885857</v>
      </c>
      <c r="L32" s="2" cm="1">
        <f t="array" ref="L32">_xlfn.LET(_xlpm.d,L$2:L$26,_xlpm.f,$A$2:$A$26,_xlpm.k,$F32,AVERAGE(_xlfn._xlws.FILTER(_xlpm.d,_xlpm.f=_xlpm.k)))</f>
        <v>0.53805563362079956</v>
      </c>
      <c r="M32" s="2" cm="1">
        <f t="array" ref="M32">_xlfn.LET(_xlpm.d,M$2:M$26,_xlpm.f,$A$2:$A$26,_xlpm.k,$F32,AVERAGE(_xlfn._xlws.FILTER(_xlpm.d,_xlpm.f=_xlpm.k)))</f>
        <v>0.53519688372701535</v>
      </c>
      <c r="N32" s="2" cm="1">
        <f t="array" ref="N32">_xlfn.LET(_xlpm.d,N$2:N$26,_xlpm.f,$A$2:$A$26,_xlpm.k,$F32,AVERAGE(_xlfn._xlws.FILTER(_xlpm.d,_xlpm.f=_xlpm.k)))</f>
        <v>0.45982942924712422</v>
      </c>
      <c r="O32" s="2" cm="1">
        <f t="array" ref="O32">_xlfn.LET(_xlpm.d,O$2:O$26,_xlpm.f,$A$2:$A$26,_xlpm.k,$F32,AVERAGE(_xlfn._xlws.FILTER(_xlpm.d,_xlpm.f=_xlpm.k)))</f>
        <v>0.55682189139667537</v>
      </c>
      <c r="P32" s="2" cm="1">
        <f t="array" ref="P32">_xlfn.LET(_xlpm.d,P$2:P$26,_xlpm.f,$A$2:$A$26,_xlpm.k,$F32,AVERAGE(_xlfn._xlws.FILTER(_xlpm.d,_xlpm.f=_xlpm.k)))</f>
        <v>0.39409294059746403</v>
      </c>
      <c r="Q32" s="2" cm="1">
        <f t="array" ref="Q32">_xlfn.LET(_xlpm.d,Q$2:Q$26,_xlpm.f,$A$2:$A$26,_xlpm.k,$F32,AVERAGE(_xlfn._xlws.FILTER(_xlpm.d,_xlpm.f=_xlpm.k)))</f>
        <v>0.53461135276344862</v>
      </c>
      <c r="R32" s="2" cm="1">
        <f t="array" ref="R32">_xlfn.LET(_xlpm.d,R$2:R$26,_xlpm.f,$A$2:$A$26,_xlpm.k,$F32,AVERAGE(_xlfn._xlws.FILTER(_xlpm.d,_xlpm.f=_xlpm.k)))</f>
        <v>0.44285600596815938</v>
      </c>
      <c r="S32" s="2" cm="1">
        <f t="array" ref="S32">_xlfn.LET(_xlpm.d,S$2:S$26,_xlpm.f,$A$2:$A$26,_xlpm.k,$F32,AVERAGE(_xlfn._xlws.FILTER(_xlpm.d,_xlpm.f=_xlpm.k)))</f>
        <v>0.52961742928547406</v>
      </c>
      <c r="T32" s="2" cm="1">
        <f t="array" ref="T32">_xlfn.LET(_xlpm.d,T$2:T$26,_xlpm.f,$A$2:$A$26,_xlpm.k,$F32,AVERAGE(_xlfn._xlws.FILTER(_xlpm.d,_xlpm.f=_xlpm.k)))</f>
        <v>0.54039422101002477</v>
      </c>
    </row>
    <row r="33" spans="6:20" ht="30" customHeight="1">
      <c r="F33" t="s">
        <v>41</v>
      </c>
      <c r="G33" s="2" cm="1">
        <f t="array" ref="G33">_xlfn.LET(_xlpm.d,G$2:G$26,_xlpm.f,$A$2:$A$26,_xlpm.k,$F33,AVERAGE(_xlfn._xlws.FILTER(_xlpm.d,_xlpm.f=_xlpm.k)))</f>
        <v>0.72947681500747696</v>
      </c>
      <c r="H33" s="2" cm="1">
        <f t="array" ref="H33">_xlfn.LET(_xlpm.d,H$2:H$26,_xlpm.f,$A$2:$A$26,_xlpm.k,$F33,AVERAGE(_xlfn._xlws.FILTER(_xlpm.d,_xlpm.f=_xlpm.k)))</f>
        <v>0.71757724960615865</v>
      </c>
      <c r="I33" s="2" cm="1">
        <f t="array" ref="I33">_xlfn.LET(_xlpm.d,I$2:I$26,_xlpm.f,$A$2:$A$26,_xlpm.k,$F33,AVERAGE(_xlfn._xlws.FILTER(_xlpm.d,_xlpm.f=_xlpm.k)))</f>
        <v>0.6985570261592724</v>
      </c>
      <c r="J33" s="2" cm="1">
        <f t="array" ref="J33">_xlfn.LET(_xlpm.d,J$2:J$26,_xlpm.f,$A$2:$A$26,_xlpm.k,$F33,AVERAGE(_xlfn._xlws.FILTER(_xlpm.d,_xlpm.f=_xlpm.k)))</f>
        <v>0.58315589718580296</v>
      </c>
      <c r="K33" s="2" cm="1">
        <f t="array" ref="K33">_xlfn.LET(_xlpm.d,K$2:K$26,_xlpm.f,$A$2:$A$26,_xlpm.k,$F33,AVERAGE(_xlfn._xlws.FILTER(_xlpm.d,_xlpm.f=_xlpm.k)))</f>
        <v>0.71816573695584418</v>
      </c>
      <c r="L33" s="2" cm="1">
        <f t="array" ref="L33">_xlfn.LET(_xlpm.d,L$2:L$26,_xlpm.f,$A$2:$A$26,_xlpm.k,$F33,AVERAGE(_xlfn._xlws.FILTER(_xlpm.d,_xlpm.f=_xlpm.k)))</f>
        <v>0.60028752918782291</v>
      </c>
      <c r="M33" s="2" cm="1">
        <f t="array" ref="M33">_xlfn.LET(_xlpm.d,M$2:M$26,_xlpm.f,$A$2:$A$26,_xlpm.k,$F33,AVERAGE(_xlfn._xlws.FILTER(_xlpm.d,_xlpm.f=_xlpm.k)))</f>
        <v>0.58471795331210763</v>
      </c>
      <c r="N33" s="2" cm="1">
        <f t="array" ref="N33">_xlfn.LET(_xlpm.d,N$2:N$26,_xlpm.f,$A$2:$A$26,_xlpm.k,$F33,AVERAGE(_xlfn._xlws.FILTER(_xlpm.d,_xlpm.f=_xlpm.k)))</f>
        <v>0.47068066860108299</v>
      </c>
      <c r="O33" s="2" cm="1">
        <f t="array" ref="O33">_xlfn.LET(_xlpm.d,O$2:O$26,_xlpm.f,$A$2:$A$26,_xlpm.k,$F33,AVERAGE(_xlfn._xlws.FILTER(_xlpm.d,_xlpm.f=_xlpm.k)))</f>
        <v>0.52233618524878889</v>
      </c>
      <c r="P33" s="2" cm="1">
        <f t="array" ref="P33">_xlfn.LET(_xlpm.d,P$2:P$26,_xlpm.f,$A$2:$A$26,_xlpm.k,$F33,AVERAGE(_xlfn._xlws.FILTER(_xlpm.d,_xlpm.f=_xlpm.k)))</f>
        <v>0.52584117437227917</v>
      </c>
      <c r="Q33" s="2" cm="1">
        <f t="array" ref="Q33">_xlfn.LET(_xlpm.d,Q$2:Q$26,_xlpm.f,$A$2:$A$26,_xlpm.k,$F33,AVERAGE(_xlfn._xlws.FILTER(_xlpm.d,_xlpm.f=_xlpm.k)))</f>
        <v>0.52088680097709417</v>
      </c>
      <c r="R33" s="2" cm="1">
        <f t="array" ref="R33">_xlfn.LET(_xlpm.d,R$2:R$26,_xlpm.f,$A$2:$A$26,_xlpm.k,$F33,AVERAGE(_xlfn._xlws.FILTER(_xlpm.d,_xlpm.f=_xlpm.k)))</f>
        <v>0.51792179985871445</v>
      </c>
      <c r="S33" s="2" cm="1">
        <f t="array" ref="S33">_xlfn.LET(_xlpm.d,S$2:S$26,_xlpm.f,$A$2:$A$26,_xlpm.k,$F33,AVERAGE(_xlfn._xlws.FILTER(_xlpm.d,_xlpm.f=_xlpm.k)))</f>
        <v>0.49236566319461084</v>
      </c>
      <c r="T33" s="2" cm="1">
        <f t="array" ref="T33">_xlfn.LET(_xlpm.d,T$2:T$26,_xlpm.f,$A$2:$A$26,_xlpm.k,$F33,AVERAGE(_xlfn._xlws.FILTER(_xlpm.d,_xlpm.f=_xlpm.k)))</f>
        <v>0.59092080766669663</v>
      </c>
    </row>
    <row r="34" spans="6:20" ht="30" customHeight="1">
      <c r="F34" t="s">
        <v>42</v>
      </c>
      <c r="G34" s="2" cm="1">
        <f t="array" ref="G34">_xlfn.LET(_xlpm.d,G$2:G$26,_xlpm.f,$A$2:$A$26,_xlpm.k,$F34,AVERAGE(_xlfn._xlws.FILTER(_xlpm.d,_xlpm.f=_xlpm.k)))</f>
        <v>0.99977527153605794</v>
      </c>
      <c r="H34" s="2" cm="1">
        <f t="array" ref="H34">_xlfn.LET(_xlpm.d,H$2:H$26,_xlpm.f,$A$2:$A$26,_xlpm.k,$F34,AVERAGE(_xlfn._xlws.FILTER(_xlpm.d,_xlpm.f=_xlpm.k)))</f>
        <v>1</v>
      </c>
      <c r="I34" s="2" cm="1">
        <f t="array" ref="I34">_xlfn.LET(_xlpm.d,I$2:I$26,_xlpm.f,$A$2:$A$26,_xlpm.k,$F34,AVERAGE(_xlfn._xlws.FILTER(_xlpm.d,_xlpm.f=_xlpm.k)))</f>
        <v>0.96675710773166157</v>
      </c>
      <c r="J34" s="2" cm="1">
        <f t="array" ref="J34">_xlfn.LET(_xlpm.d,J$2:J$26,_xlpm.f,$A$2:$A$26,_xlpm.k,$F34,AVERAGE(_xlfn._xlws.FILTER(_xlpm.d,_xlpm.f=_xlpm.k)))</f>
        <v>0.99258246829417496</v>
      </c>
      <c r="K34" s="2" cm="1">
        <f t="array" ref="K34">_xlfn.LET(_xlpm.d,K$2:K$26,_xlpm.f,$A$2:$A$26,_xlpm.k,$F34,AVERAGE(_xlfn._xlws.FILTER(_xlpm.d,_xlpm.f=_xlpm.k)))</f>
        <v>0.9952062171326157</v>
      </c>
      <c r="L34" s="2" cm="1">
        <f t="array" ref="L34">_xlfn.LET(_xlpm.d,L$2:L$26,_xlpm.f,$A$2:$A$26,_xlpm.k,$F34,AVERAGE(_xlfn._xlws.FILTER(_xlpm.d,_xlpm.f=_xlpm.k)))</f>
        <v>0.99216257652370776</v>
      </c>
      <c r="M34" s="2" cm="1">
        <f t="array" ref="M34">_xlfn.LET(_xlpm.d,M$2:M$26,_xlpm.f,$A$2:$A$26,_xlpm.k,$F34,AVERAGE(_xlfn._xlws.FILTER(_xlpm.d,_xlpm.f=_xlpm.k)))</f>
        <v>0.9922485740595588</v>
      </c>
      <c r="N34" s="2" cm="1">
        <f t="array" ref="N34">_xlfn.LET(_xlpm.d,N$2:N$26,_xlpm.f,$A$2:$A$26,_xlpm.k,$F34,AVERAGE(_xlfn._xlws.FILTER(_xlpm.d,_xlpm.f=_xlpm.k)))</f>
        <v>0.99203252463390224</v>
      </c>
      <c r="O34" s="2" cm="1">
        <f t="array" ref="O34">_xlfn.LET(_xlpm.d,O$2:O$26,_xlpm.f,$A$2:$A$26,_xlpm.k,$F34,AVERAGE(_xlfn._xlws.FILTER(_xlpm.d,_xlpm.f=_xlpm.k)))</f>
        <v>0.95261737882724762</v>
      </c>
      <c r="P34" s="2" cm="1">
        <f t="array" ref="P34">_xlfn.LET(_xlpm.d,P$2:P$26,_xlpm.f,$A$2:$A$26,_xlpm.k,$F34,AVERAGE(_xlfn._xlws.FILTER(_xlpm.d,_xlpm.f=_xlpm.k)))</f>
        <v>0.97490515359900942</v>
      </c>
      <c r="Q34" s="2" cm="1">
        <f t="array" ref="Q34">_xlfn.LET(_xlpm.d,Q$2:Q$26,_xlpm.f,$A$2:$A$26,_xlpm.k,$F34,AVERAGE(_xlfn._xlws.FILTER(_xlpm.d,_xlpm.f=_xlpm.k)))</f>
        <v>1</v>
      </c>
      <c r="R34" s="2" cm="1">
        <f t="array" ref="R34">_xlfn.LET(_xlpm.d,R$2:R$26,_xlpm.f,$A$2:$A$26,_xlpm.k,$F34,AVERAGE(_xlfn._xlws.FILTER(_xlpm.d,_xlpm.f=_xlpm.k)))</f>
        <v>0.99739908407142885</v>
      </c>
      <c r="S34" s="2" cm="1">
        <f t="array" ref="S34">_xlfn.LET(_xlpm.d,S$2:S$26,_xlpm.f,$A$2:$A$26,_xlpm.k,$F34,AVERAGE(_xlfn._xlws.FILTER(_xlpm.d,_xlpm.f=_xlpm.k)))</f>
        <v>0.99064625172508225</v>
      </c>
      <c r="T34" s="2" cm="1">
        <f t="array" ref="T34">_xlfn.LET(_xlpm.d,T$2:T$26,_xlpm.f,$A$2:$A$26,_xlpm.k,$F34,AVERAGE(_xlfn._xlws.FILTER(_xlpm.d,_xlpm.f=_xlpm.k)))</f>
        <v>0.98817943139495734</v>
      </c>
    </row>
    <row r="36" spans="6:20" ht="30" customHeight="1">
      <c r="F36" t="s">
        <v>44</v>
      </c>
    </row>
    <row r="37" spans="6:20" ht="30" customHeight="1">
      <c r="F37" t="s">
        <v>37</v>
      </c>
      <c r="G37" s="2" cm="1">
        <f t="array" ref="G37">_xlfn.LET(_xlpm.d,G$2:G$26,_xlpm.g,$B$2:$B$26,AVERAGE(_xlfn._xlws.FILTER(_xlpm.d,(_xlpm.g=0))))</f>
        <v>0.82652647942888557</v>
      </c>
      <c r="H37" s="2" cm="1">
        <f t="array" ref="H37">_xlfn.LET(_xlpm.d,H$2:H$26,_xlpm.g,$B$2:$B$26,AVERAGE(_xlfn._xlws.FILTER(_xlpm.d,(_xlpm.g=0))))</f>
        <v>0.8075049785050068</v>
      </c>
      <c r="I37" s="2" cm="1">
        <f t="array" ref="I37">_xlfn.LET(_xlpm.d,I$2:I$26,_xlpm.g,$B$2:$B$26,AVERAGE(_xlfn._xlws.FILTER(_xlpm.d,(_xlpm.g=0))))</f>
        <v>0.79816739211742438</v>
      </c>
      <c r="J37" s="2" cm="1">
        <f t="array" ref="J37">_xlfn.LET(_xlpm.d,J$2:J$26,_xlpm.g,$B$2:$B$26,AVERAGE(_xlfn._xlws.FILTER(_xlpm.d,(_xlpm.g=0))))</f>
        <v>0.75515579734852734</v>
      </c>
      <c r="K37" s="2" cm="1">
        <f t="array" ref="K37">_xlfn.LET(_xlpm.d,K$2:K$26,_xlpm.g,$B$2:$B$26,AVERAGE(_xlfn._xlws.FILTER(_xlpm.d,(_xlpm.g=0))))</f>
        <v>0.78965223322595868</v>
      </c>
      <c r="L37" s="2" cm="1">
        <f t="array" ref="L37">_xlfn.LET(_xlpm.d,L$2:L$26,_xlpm.g,$B$2:$B$26,AVERAGE(_xlfn._xlws.FILTER(_xlpm.d,(_xlpm.g=0))))</f>
        <v>0.76812885693945565</v>
      </c>
      <c r="M37" s="2" cm="1">
        <f t="array" ref="M37">_xlfn.LET(_xlpm.d,M$2:M$26,_xlpm.g,$B$2:$B$26,AVERAGE(_xlfn._xlws.FILTER(_xlpm.d,(_xlpm.g=0))))</f>
        <v>0.73794178315990966</v>
      </c>
      <c r="N37" s="2" cm="1">
        <f t="array" ref="N37">_xlfn.LET(_xlpm.d,N$2:N$26,_xlpm.g,$B$2:$B$26,AVERAGE(_xlfn._xlws.FILTER(_xlpm.d,(_xlpm.g=0))))</f>
        <v>0.71853148010768508</v>
      </c>
      <c r="O37" s="2" cm="1">
        <f t="array" ref="O37">_xlfn.LET(_xlpm.d,O$2:O$26,_xlpm.g,$B$2:$B$26,AVERAGE(_xlfn._xlws.FILTER(_xlpm.d,(_xlpm.g=0))))</f>
        <v>0.71832844030722309</v>
      </c>
      <c r="P37" s="2" cm="1">
        <f t="array" ref="P37">_xlfn.LET(_xlpm.d,P$2:P$26,_xlpm.g,$B$2:$B$26,AVERAGE(_xlfn._xlws.FILTER(_xlpm.d,(_xlpm.g=0))))</f>
        <v>0.71088481606706488</v>
      </c>
      <c r="Q37" s="2" cm="1">
        <f t="array" ref="Q37">_xlfn.LET(_xlpm.d,Q$2:Q$26,_xlpm.g,$B$2:$B$26,AVERAGE(_xlfn._xlws.FILTER(_xlpm.d,(_xlpm.g=0))))</f>
        <v>0.73055012767808791</v>
      </c>
      <c r="R37" s="2" cm="1">
        <f t="array" ref="R37">_xlfn.LET(_xlpm.d,R$2:R$26,_xlpm.g,$B$2:$B$26,AVERAGE(_xlfn._xlws.FILTER(_xlpm.d,(_xlpm.g=0))))</f>
        <v>0.70729690685619162</v>
      </c>
      <c r="S37" s="2" cm="1">
        <f t="array" ref="S37">_xlfn.LET(_xlpm.d,S$2:S$26,_xlpm.g,$B$2:$B$26,AVERAGE(_xlfn._xlws.FILTER(_xlpm.d,(_xlpm.g=0))))</f>
        <v>0.73132322805164363</v>
      </c>
      <c r="T37" s="2" cm="1">
        <f t="array" ref="T37">_xlfn.LET(_xlpm.d,T$2:T$26,_xlpm.g,$B$2:$B$26,AVERAGE(_xlfn._xlws.FILTER(_xlpm.d,(_xlpm.g=0))))</f>
        <v>0.75384557844562039</v>
      </c>
    </row>
    <row r="38" spans="6:20" ht="30" customHeight="1">
      <c r="F38" t="s">
        <v>38</v>
      </c>
      <c r="G38" s="2" cm="1">
        <f t="array" ref="G38">_xlfn.LET(_xlpm.d,G$2:G$26,_xlpm.f,$A$2:$A$26,_xlpm.g,$B$2:$B$26,_xlpm.k,$F38,AVERAGE(_xlfn._xlws.FILTER(_xlpm.d,(_xlpm.f=_xlpm.k)*(_xlpm.g=0))))</f>
        <v>1</v>
      </c>
      <c r="H38" s="2" cm="1">
        <f t="array" ref="H38">_xlfn.LET(_xlpm.d,H$2:H$26,_xlpm.f,$A$2:$A$26,_xlpm.g,$B$2:$B$26,_xlpm.k,$F38,AVERAGE(_xlfn._xlws.FILTER(_xlpm.d,(_xlpm.f=_xlpm.k)*(_xlpm.g=0))))</f>
        <v>0.99810085365004331</v>
      </c>
      <c r="I38" s="2" cm="1">
        <f t="array" ref="I38">_xlfn.LET(_xlpm.d,I$2:I$26,_xlpm.f,$A$2:$A$26,_xlpm.g,$B$2:$B$26,_xlpm.k,$F38,AVERAGE(_xlfn._xlws.FILTER(_xlpm.d,(_xlpm.f=_xlpm.k)*(_xlpm.g=0))))</f>
        <v>0.99907373514819819</v>
      </c>
      <c r="J38" s="2" cm="1">
        <f t="array" ref="J38">_xlfn.LET(_xlpm.d,J$2:J$26,_xlpm.f,$A$2:$A$26,_xlpm.g,$B$2:$B$26,_xlpm.k,$F38,AVERAGE(_xlfn._xlws.FILTER(_xlpm.d,(_xlpm.f=_xlpm.k)*(_xlpm.g=0))))</f>
        <v>1</v>
      </c>
      <c r="K38" s="2" cm="1">
        <f t="array" ref="K38">_xlfn.LET(_xlpm.d,K$2:K$26,_xlpm.f,$A$2:$A$26,_xlpm.g,$B$2:$B$26,_xlpm.k,$F38,AVERAGE(_xlfn._xlws.FILTER(_xlpm.d,(_xlpm.f=_xlpm.k)*(_xlpm.g=0))))</f>
        <v>1</v>
      </c>
      <c r="L38" s="2" cm="1">
        <f t="array" ref="L38">_xlfn.LET(_xlpm.d,L$2:L$26,_xlpm.f,$A$2:$A$26,_xlpm.g,$B$2:$B$26,_xlpm.k,$F38,AVERAGE(_xlfn._xlws.FILTER(_xlpm.d,(_xlpm.f=_xlpm.k)*(_xlpm.g=0))))</f>
        <v>0.99971229776354953</v>
      </c>
      <c r="M38" s="2" cm="1">
        <f t="array" ref="M38">_xlfn.LET(_xlpm.d,M$2:M$26,_xlpm.f,$A$2:$A$26,_xlpm.g,$B$2:$B$26,_xlpm.k,$F38,AVERAGE(_xlfn._xlws.FILTER(_xlpm.d,(_xlpm.f=_xlpm.k)*(_xlpm.g=0))))</f>
        <v>1</v>
      </c>
      <c r="N38" s="2" cm="1">
        <f t="array" ref="N38">_xlfn.LET(_xlpm.d,N$2:N$26,_xlpm.f,$A$2:$A$26,_xlpm.g,$B$2:$B$26,_xlpm.k,$F38,AVERAGE(_xlfn._xlws.FILTER(_xlpm.d,(_xlpm.f=_xlpm.k)*(_xlpm.g=0))))</f>
        <v>1</v>
      </c>
      <c r="O38" s="2" cm="1">
        <f t="array" ref="O38">_xlfn.LET(_xlpm.d,O$2:O$26,_xlpm.f,$A$2:$A$26,_xlpm.g,$B$2:$B$26,_xlpm.k,$F38,AVERAGE(_xlfn._xlws.FILTER(_xlpm.d,(_xlpm.f=_xlpm.k)*(_xlpm.g=0))))</f>
        <v>0.9965885111206898</v>
      </c>
      <c r="P38" s="2" cm="1">
        <f t="array" ref="P38">_xlfn.LET(_xlpm.d,P$2:P$26,_xlpm.f,$A$2:$A$26,_xlpm.g,$B$2:$B$26,_xlpm.k,$F38,AVERAGE(_xlfn._xlws.FILTER(_xlpm.d,(_xlpm.f=_xlpm.k)*(_xlpm.g=0))))</f>
        <v>1</v>
      </c>
      <c r="Q38" s="2" cm="1">
        <f t="array" ref="Q38">_xlfn.LET(_xlpm.d,Q$2:Q$26,_xlpm.f,$A$2:$A$26,_xlpm.g,$B$2:$B$26,_xlpm.k,$F38,AVERAGE(_xlfn._xlws.FILTER(_xlpm.d,(_xlpm.f=_xlpm.k)*(_xlpm.g=0))))</f>
        <v>0.97309969195673374</v>
      </c>
      <c r="R38" s="2" cm="1">
        <f t="array" ref="R38">_xlfn.LET(_xlpm.d,R$2:R$26,_xlpm.f,$A$2:$A$26,_xlpm.g,$B$2:$B$26,_xlpm.k,$F38,AVERAGE(_xlfn._xlws.FILTER(_xlpm.d,(_xlpm.f=_xlpm.k)*(_xlpm.g=0))))</f>
        <v>1</v>
      </c>
      <c r="S38" s="2" cm="1">
        <f t="array" ref="S38">_xlfn.LET(_xlpm.d,S$2:S$26,_xlpm.f,$A$2:$A$26,_xlpm.g,$B$2:$B$26,_xlpm.k,$F38,AVERAGE(_xlfn._xlws.FILTER(_xlpm.d,(_xlpm.f=_xlpm.k)*(_xlpm.g=0))))</f>
        <v>0.93681141325616679</v>
      </c>
      <c r="T38" s="2" cm="1">
        <f t="array" ref="T38">_xlfn.LET(_xlpm.d,T$2:T$26,_xlpm.f,$A$2:$A$26,_xlpm.g,$B$2:$B$26,_xlpm.k,$F38,AVERAGE(_xlfn._xlws.FILTER(_xlpm.d,(_xlpm.f=_xlpm.k)*(_xlpm.g=0))))</f>
        <v>0.99256819253041395</v>
      </c>
    </row>
    <row r="39" spans="6:20" ht="30" customHeight="1">
      <c r="F39" t="s">
        <v>40</v>
      </c>
      <c r="G39" s="2" cm="1">
        <f t="array" ref="G39">_xlfn.LET(_xlpm.d,G$2:G$26,_xlpm.f,$A$2:$A$26,_xlpm.g,$B$2:$B$26,_xlpm.k,$F39,AVERAGE(_xlfn._xlws.FILTER(_xlpm.d,(_xlpm.f=_xlpm.k)*(_xlpm.g=0))))</f>
        <v>0.61219610599721475</v>
      </c>
      <c r="H39" s="2" cm="1">
        <f t="array" ref="H39">_xlfn.LET(_xlpm.d,H$2:H$26,_xlpm.f,$A$2:$A$26,_xlpm.g,$B$2:$B$26,_xlpm.k,$F39,AVERAGE(_xlfn._xlws.FILTER(_xlpm.d,(_xlpm.f=_xlpm.k)*(_xlpm.g=0))))</f>
        <v>0.62931657110723127</v>
      </c>
      <c r="I39" s="2" cm="1">
        <f t="array" ref="I39">_xlfn.LET(_xlpm.d,I$2:I$26,_xlpm.f,$A$2:$A$26,_xlpm.g,$B$2:$B$26,_xlpm.k,$F39,AVERAGE(_xlfn._xlws.FILTER(_xlpm.d,(_xlpm.f=_xlpm.k)*(_xlpm.g=0))))</f>
        <v>0.62760775692032555</v>
      </c>
      <c r="J39" s="2" cm="1">
        <f t="array" ref="J39">_xlfn.LET(_xlpm.d,J$2:J$26,_xlpm.f,$A$2:$A$26,_xlpm.g,$B$2:$B$26,_xlpm.k,$F39,AVERAGE(_xlfn._xlws.FILTER(_xlpm.d,(_xlpm.f=_xlpm.k)*(_xlpm.g=0))))</f>
        <v>0.48576923975525677</v>
      </c>
      <c r="K39" s="2" cm="1">
        <f t="array" ref="K39">_xlfn.LET(_xlpm.d,K$2:K$26,_xlpm.f,$A$2:$A$26,_xlpm.g,$B$2:$B$26,_xlpm.k,$F39,AVERAGE(_xlfn._xlws.FILTER(_xlpm.d,(_xlpm.f=_xlpm.k)*(_xlpm.g=0))))</f>
        <v>0.49593281629905128</v>
      </c>
      <c r="L39" s="2" cm="1">
        <f t="array" ref="L39">_xlfn.LET(_xlpm.d,L$2:L$26,_xlpm.f,$A$2:$A$26,_xlpm.g,$B$2:$B$26,_xlpm.k,$F39,AVERAGE(_xlfn._xlws.FILTER(_xlpm.d,(_xlpm.f=_xlpm.k)*(_xlpm.g=0))))</f>
        <v>0.56468355232995104</v>
      </c>
      <c r="M39" s="2" cm="1">
        <f t="array" ref="M39">_xlfn.LET(_xlpm.d,M$2:M$26,_xlpm.f,$A$2:$A$26,_xlpm.g,$B$2:$B$26,_xlpm.k,$F39,AVERAGE(_xlfn._xlws.FILTER(_xlpm.d,(_xlpm.f=_xlpm.k)*(_xlpm.g=0))))</f>
        <v>0.48170202304665272</v>
      </c>
      <c r="N39" s="2" cm="1">
        <f t="array" ref="N39">_xlfn.LET(_xlpm.d,N$2:N$26,_xlpm.f,$A$2:$A$26,_xlpm.g,$B$2:$B$26,_xlpm.k,$F39,AVERAGE(_xlfn._xlws.FILTER(_xlpm.d,(_xlpm.f=_xlpm.k)*(_xlpm.g=0))))</f>
        <v>0.4991829367062362</v>
      </c>
      <c r="O39" s="2" cm="1">
        <f t="array" ref="O39">_xlfn.LET(_xlpm.d,O$2:O$26,_xlpm.f,$A$2:$A$26,_xlpm.g,$B$2:$B$26,_xlpm.k,$F39,AVERAGE(_xlfn._xlws.FILTER(_xlpm.d,(_xlpm.f=_xlpm.k)*(_xlpm.g=0))))</f>
        <v>0.56691795185613292</v>
      </c>
      <c r="P39" s="2" cm="1">
        <f t="array" ref="P39">_xlfn.LET(_xlpm.d,P$2:P$26,_xlpm.f,$A$2:$A$26,_xlpm.g,$B$2:$B$26,_xlpm.k,$F39,AVERAGE(_xlfn._xlws.FILTER(_xlpm.d,(_xlpm.f=_xlpm.k)*(_xlpm.g=0))))</f>
        <v>0.43259076043565903</v>
      </c>
      <c r="Q39" s="2" cm="1">
        <f t="array" ref="Q39">_xlfn.LET(_xlpm.d,Q$2:Q$26,_xlpm.f,$A$2:$A$26,_xlpm.g,$B$2:$B$26,_xlpm.k,$F39,AVERAGE(_xlfn._xlws.FILTER(_xlpm.d,(_xlpm.f=_xlpm.k)*(_xlpm.g=0))))</f>
        <v>0.51010657436433604</v>
      </c>
      <c r="R39" s="2" cm="1">
        <f t="array" ref="R39">_xlfn.LET(_xlpm.d,R$2:R$26,_xlpm.f,$A$2:$A$26,_xlpm.g,$B$2:$B$26,_xlpm.k,$F39,AVERAGE(_xlfn._xlws.FILTER(_xlpm.d,(_xlpm.f=_xlpm.k)*(_xlpm.g=0))))</f>
        <v>0.40734908640706802</v>
      </c>
      <c r="S39" s="2" cm="1">
        <f t="array" ref="S39">_xlfn.LET(_xlpm.d,S$2:S$26,_xlpm.f,$A$2:$A$26,_xlpm.g,$B$2:$B$26,_xlpm.k,$F39,AVERAGE(_xlfn._xlws.FILTER(_xlpm.d,(_xlpm.f=_xlpm.k)*(_xlpm.g=0))))</f>
        <v>0.56023709596763127</v>
      </c>
      <c r="T39" s="2" cm="1">
        <f t="array" ref="T39">_xlfn.LET(_xlpm.d,T$2:T$26,_xlpm.f,$A$2:$A$26,_xlpm.g,$B$2:$B$26,_xlpm.k,$F39,AVERAGE(_xlfn._xlws.FILTER(_xlpm.d,(_xlpm.f=_xlpm.k)*(_xlpm.g=0))))</f>
        <v>0.52873788239944208</v>
      </c>
    </row>
    <row r="40" spans="6:20" ht="30" customHeight="1">
      <c r="F40" t="s">
        <v>41</v>
      </c>
      <c r="G40" s="2" cm="1">
        <f t="array" ref="G40">_xlfn.LET(_xlpm.d,G$2:G$26,_xlpm.f,$A$2:$A$26,_xlpm.g,$B$2:$B$26,_xlpm.k,$F40,AVERAGE(_xlfn._xlws.FILTER(_xlpm.d,(_xlpm.f=_xlpm.k)*(_xlpm.g=0))))</f>
        <v>0.67353320735916755</v>
      </c>
      <c r="H40" s="2" cm="1">
        <f t="array" ref="H40">_xlfn.LET(_xlpm.d,H$2:H$26,_xlpm.f,$A$2:$A$26,_xlpm.g,$B$2:$B$26,_xlpm.k,$F40,AVERAGE(_xlfn._xlws.FILTER(_xlpm.d,(_xlpm.f=_xlpm.k)*(_xlpm.g=0))))</f>
        <v>0.67416221191103198</v>
      </c>
      <c r="I40" s="2" cm="1">
        <f t="array" ref="I40">_xlfn.LET(_xlpm.d,I$2:I$26,_xlpm.f,$A$2:$A$26,_xlpm.g,$B$2:$B$26,_xlpm.k,$F40,AVERAGE(_xlfn._xlws.FILTER(_xlpm.d,(_xlpm.f=_xlpm.k)*(_xlpm.g=0))))</f>
        <v>0.67383512647890298</v>
      </c>
      <c r="J40" s="2" cm="1">
        <f t="array" ref="J40">_xlfn.LET(_xlpm.d,J$2:J$26,_xlpm.f,$A$2:$A$26,_xlpm.g,$B$2:$B$26,_xlpm.k,$F40,AVERAGE(_xlfn._xlws.FILTER(_xlpm.d,(_xlpm.f=_xlpm.k)*(_xlpm.g=0))))</f>
        <v>0.55462844914206377</v>
      </c>
      <c r="K40" s="2" cm="1">
        <f t="array" ref="K40">_xlfn.LET(_xlpm.d,K$2:K$26,_xlpm.f,$A$2:$A$26,_xlpm.g,$B$2:$B$26,_xlpm.k,$F40,AVERAGE(_xlfn._xlws.FILTER(_xlpm.d,(_xlpm.f=_xlpm.k)*(_xlpm.g=0))))</f>
        <v>0.69617003985026993</v>
      </c>
      <c r="L40" s="2" cm="1">
        <f t="array" ref="L40">_xlfn.LET(_xlpm.d,L$2:L$26,_xlpm.f,$A$2:$A$26,_xlpm.g,$B$2:$B$26,_xlpm.k,$F40,AVERAGE(_xlfn._xlws.FILTER(_xlpm.d,(_xlpm.f=_xlpm.k)*(_xlpm.g=0))))</f>
        <v>0.59731298087994122</v>
      </c>
      <c r="M40" s="2" cm="1">
        <f t="array" ref="M40">_xlfn.LET(_xlpm.d,M$2:M$26,_xlpm.f,$A$2:$A$26,_xlpm.g,$B$2:$B$26,_xlpm.k,$F40,AVERAGE(_xlfn._xlws.FILTER(_xlpm.d,(_xlpm.f=_xlpm.k)*(_xlpm.g=0))))</f>
        <v>0.56404304575351416</v>
      </c>
      <c r="N40" s="2" cm="1">
        <f t="array" ref="N40">_xlfn.LET(_xlpm.d,N$2:N$26,_xlpm.f,$A$2:$A$26,_xlpm.g,$B$2:$B$26,_xlpm.k,$F40,AVERAGE(_xlfn._xlws.FILTER(_xlpm.d,(_xlpm.f=_xlpm.k)*(_xlpm.g=0))))</f>
        <v>0.49998834803509296</v>
      </c>
      <c r="O40" s="2" cm="1">
        <f t="array" ref="O40">_xlfn.LET(_xlpm.d,O$2:O$26,_xlpm.f,$A$2:$A$26,_xlpm.g,$B$2:$B$26,_xlpm.k,$F40,AVERAGE(_xlfn._xlws.FILTER(_xlpm.d,(_xlpm.f=_xlpm.k)*(_xlpm.g=0))))</f>
        <v>0.51026482163831399</v>
      </c>
      <c r="P40" s="2" cm="1">
        <f t="array" ref="P40">_xlfn.LET(_xlpm.d,P$2:P$26,_xlpm.f,$A$2:$A$26,_xlpm.g,$B$2:$B$26,_xlpm.k,$F40,AVERAGE(_xlfn._xlws.FILTER(_xlpm.d,(_xlpm.f=_xlpm.k)*(_xlpm.g=0))))</f>
        <v>0.50846468119973931</v>
      </c>
      <c r="Q40" s="2" cm="1">
        <f t="array" ref="Q40">_xlfn.LET(_xlpm.d,Q$2:Q$26,_xlpm.f,$A$2:$A$26,_xlpm.g,$B$2:$B$26,_xlpm.k,$F40,AVERAGE(_xlfn._xlws.FILTER(_xlpm.d,(_xlpm.f=_xlpm.k)*(_xlpm.g=0))))</f>
        <v>0.54135374504772193</v>
      </c>
      <c r="R40" s="2" cm="1">
        <f t="array" ref="R40">_xlfn.LET(_xlpm.d,R$2:R$26,_xlpm.f,$A$2:$A$26,_xlpm.g,$B$2:$B$26,_xlpm.k,$F40,AVERAGE(_xlfn._xlws.FILTER(_xlpm.d,(_xlpm.f=_xlpm.k)*(_xlpm.g=0))))</f>
        <v>0.50849739189339827</v>
      </c>
      <c r="S40" s="2" cm="1">
        <f t="array" ref="S40">_xlfn.LET(_xlpm.d,S$2:S$26,_xlpm.f,$A$2:$A$26,_xlpm.g,$B$2:$B$26,_xlpm.k,$F40,AVERAGE(_xlfn._xlws.FILTER(_xlpm.d,(_xlpm.f=_xlpm.k)*(_xlpm.g=0))))</f>
        <v>0.5662704309246045</v>
      </c>
      <c r="T40" s="2" cm="1">
        <f t="array" ref="T40">_xlfn.LET(_xlpm.d,T$2:T$26,_xlpm.f,$A$2:$A$26,_xlpm.g,$B$2:$B$26,_xlpm.k,$F40,AVERAGE(_xlfn._xlws.FILTER(_xlpm.d,(_xlpm.f=_xlpm.k)*(_xlpm.g=0))))</f>
        <v>0.58219419077798173</v>
      </c>
    </row>
    <row r="41" spans="6:20" ht="30" customHeight="1">
      <c r="F41" t="s">
        <v>39</v>
      </c>
      <c r="G41" s="2" cm="1">
        <f t="array" ref="G41">_xlfn.LET(_xlpm.d,G$2:G$26,_xlpm.f,$A$2:$A$26,_xlpm.g,$B$2:$B$26,_xlpm.k,$F41,AVERAGE(_xlfn._xlws.FILTER(_xlpm.d,(_xlpm.f=_xlpm.k)*(_xlpm.g=0))))</f>
        <v>0.84718399436797331</v>
      </c>
      <c r="H41" s="2" cm="1">
        <f t="array" ref="H41">_xlfn.LET(_xlpm.d,H$2:H$26,_xlpm.f,$A$2:$A$26,_xlpm.g,$B$2:$B$26,_xlpm.k,$F41,AVERAGE(_xlfn._xlws.FILTER(_xlpm.d,(_xlpm.f=_xlpm.k)*(_xlpm.g=0))))</f>
        <v>0.73594525585672677</v>
      </c>
      <c r="I41" s="2" cm="1">
        <f t="array" ref="I41">_xlfn.LET(_xlpm.d,I$2:I$26,_xlpm.f,$A$2:$A$26,_xlpm.g,$B$2:$B$26,_xlpm.k,$F41,AVERAGE(_xlfn._xlws.FILTER(_xlpm.d,(_xlpm.f=_xlpm.k)*(_xlpm.g=0))))</f>
        <v>0.73187395737511851</v>
      </c>
      <c r="J41" s="2" cm="1">
        <f t="array" ref="J41">_xlfn.LET(_xlpm.d,J$2:J$26,_xlpm.f,$A$2:$A$26,_xlpm.g,$B$2:$B$26,_xlpm.k,$F41,AVERAGE(_xlfn._xlws.FILTER(_xlpm.d,(_xlpm.f=_xlpm.k)*(_xlpm.g=0))))</f>
        <v>0.74465321247759753</v>
      </c>
      <c r="K41" s="2" cm="1">
        <f t="array" ref="K41">_xlfn.LET(_xlpm.d,K$2:K$26,_xlpm.f,$A$2:$A$26,_xlpm.g,$B$2:$B$26,_xlpm.k,$F41,AVERAGE(_xlfn._xlws.FILTER(_xlpm.d,(_xlpm.f=_xlpm.k)*(_xlpm.g=0))))</f>
        <v>0.76215053856470294</v>
      </c>
      <c r="L41" s="2" cm="1">
        <f t="array" ref="L41">_xlfn.LET(_xlpm.d,L$2:L$26,_xlpm.f,$A$2:$A$26,_xlpm.g,$B$2:$B$26,_xlpm.k,$F41,AVERAGE(_xlfn._xlws.FILTER(_xlpm.d,(_xlpm.f=_xlpm.k)*(_xlpm.g=0))))</f>
        <v>0.6887322330692015</v>
      </c>
      <c r="M41" s="2" cm="1">
        <f t="array" ref="M41">_xlfn.LET(_xlpm.d,M$2:M$26,_xlpm.f,$A$2:$A$26,_xlpm.g,$B$2:$B$26,_xlpm.k,$F41,AVERAGE(_xlfn._xlws.FILTER(_xlpm.d,(_xlpm.f=_xlpm.k)*(_xlpm.g=0))))</f>
        <v>0.65365312942493248</v>
      </c>
      <c r="N41" s="2" cm="1">
        <f t="array" ref="N41">_xlfn.LET(_xlpm.d,N$2:N$26,_xlpm.f,$A$2:$A$26,_xlpm.g,$B$2:$B$26,_xlpm.k,$F41,AVERAGE(_xlfn._xlws.FILTER(_xlpm.d,(_xlpm.f=_xlpm.k)*(_xlpm.g=0))))</f>
        <v>0.60344546000471899</v>
      </c>
      <c r="O41" s="2" cm="1">
        <f t="array" ref="O41">_xlfn.LET(_xlpm.d,O$2:O$26,_xlpm.f,$A$2:$A$26,_xlpm.g,$B$2:$B$26,_xlpm.k,$F41,AVERAGE(_xlfn._xlws.FILTER(_xlpm.d,(_xlpm.f=_xlpm.k)*(_xlpm.g=0))))</f>
        <v>0.57709919338691995</v>
      </c>
      <c r="P41" s="2" cm="1">
        <f t="array" ref="P41">_xlfn.LET(_xlpm.d,P$2:P$26,_xlpm.f,$A$2:$A$26,_xlpm.g,$B$2:$B$26,_xlpm.k,$F41,AVERAGE(_xlfn._xlws.FILTER(_xlpm.d,(_xlpm.f=_xlpm.k)*(_xlpm.g=0))))</f>
        <v>0.64473719670116425</v>
      </c>
      <c r="Q41" s="2" cm="1">
        <f t="array" ref="Q41">_xlfn.LET(_xlpm.d,Q$2:Q$26,_xlpm.f,$A$2:$A$26,_xlpm.g,$B$2:$B$26,_xlpm.k,$F41,AVERAGE(_xlfn._xlws.FILTER(_xlpm.d,(_xlpm.f=_xlpm.k)*(_xlpm.g=0))))</f>
        <v>0.62819062702164796</v>
      </c>
      <c r="R41" s="2" cm="1">
        <f t="array" ref="R41">_xlfn.LET(_xlpm.d,R$2:R$26,_xlpm.f,$A$2:$A$26,_xlpm.g,$B$2:$B$26,_xlpm.k,$F41,AVERAGE(_xlfn._xlws.FILTER(_xlpm.d,(_xlpm.f=_xlpm.k)*(_xlpm.g=0))))</f>
        <v>0.62388920089120603</v>
      </c>
      <c r="S41" s="2" cm="1">
        <f t="array" ref="S41">_xlfn.LET(_xlpm.d,S$2:S$26,_xlpm.f,$A$2:$A$26,_xlpm.g,$B$2:$B$26,_xlpm.k,$F41,AVERAGE(_xlfn._xlws.FILTER(_xlpm.d,(_xlpm.f=_xlpm.k)*(_xlpm.g=0))))</f>
        <v>0.60498938545346304</v>
      </c>
      <c r="T41" s="2" cm="1">
        <f t="array" ref="T41">_xlfn.LET(_xlpm.d,T$2:T$26,_xlpm.f,$A$2:$A$26,_xlpm.g,$B$2:$B$26,_xlpm.k,$F41,AVERAGE(_xlfn._xlws.FILTER(_xlpm.d,(_xlpm.f=_xlpm.k)*(_xlpm.g=0))))</f>
        <v>0.6805033372765672</v>
      </c>
    </row>
    <row r="42" spans="6:20" ht="30" customHeight="1">
      <c r="F42" t="s">
        <v>42</v>
      </c>
      <c r="G42" s="2" cm="1">
        <f t="array" ref="G42">_xlfn.LET(_xlpm.d,G$2:G$26,_xlpm.f,$A$2:$A$26,_xlpm.g,$B$2:$B$26,_xlpm.k,$F42,AVERAGE(_xlfn._xlws.FILTER(_xlpm.d,(_xlpm.f=_xlpm.k)*(_xlpm.g=0))))</f>
        <v>0.99971908942007248</v>
      </c>
      <c r="H42" s="2" cm="1">
        <f t="array" ref="H42">_xlfn.LET(_xlpm.d,H$2:H$26,_xlpm.f,$A$2:$A$26,_xlpm.g,$B$2:$B$26,_xlpm.k,$F42,AVERAGE(_xlfn._xlws.FILTER(_xlpm.d,(_xlpm.f=_xlpm.k)*(_xlpm.g=0))))</f>
        <v>1</v>
      </c>
      <c r="I42" s="2" cm="1">
        <f t="array" ref="I42">_xlfn.LET(_xlpm.d,I$2:I$26,_xlpm.f,$A$2:$A$26,_xlpm.g,$B$2:$B$26,_xlpm.k,$F42,AVERAGE(_xlfn._xlws.FILTER(_xlpm.d,(_xlpm.f=_xlpm.k)*(_xlpm.g=0))))</f>
        <v>0.95844638466457699</v>
      </c>
      <c r="J42" s="2" cm="1">
        <f t="array" ref="J42">_xlfn.LET(_xlpm.d,J$2:J$26,_xlpm.f,$A$2:$A$26,_xlpm.g,$B$2:$B$26,_xlpm.k,$F42,AVERAGE(_xlfn._xlws.FILTER(_xlpm.d,(_xlpm.f=_xlpm.k)*(_xlpm.g=0))))</f>
        <v>0.99072808536771872</v>
      </c>
      <c r="K42" s="2" cm="1">
        <f t="array" ref="K42">_xlfn.LET(_xlpm.d,K$2:K$26,_xlpm.f,$A$2:$A$26,_xlpm.g,$B$2:$B$26,_xlpm.k,$F42,AVERAGE(_xlfn._xlws.FILTER(_xlpm.d,(_xlpm.f=_xlpm.k)*(_xlpm.g=0))))</f>
        <v>0.99400777141576946</v>
      </c>
      <c r="L42" s="2" cm="1">
        <f t="array" ref="L42">_xlfn.LET(_xlpm.d,L$2:L$26,_xlpm.f,$A$2:$A$26,_xlpm.g,$B$2:$B$26,_xlpm.k,$F42,AVERAGE(_xlfn._xlws.FILTER(_xlpm.d,(_xlpm.f=_xlpm.k)*(_xlpm.g=0))))</f>
        <v>0.99020322065463473</v>
      </c>
      <c r="M42" s="2" cm="1">
        <f t="array" ref="M42">_xlfn.LET(_xlpm.d,M$2:M$26,_xlpm.f,$A$2:$A$26,_xlpm.g,$B$2:$B$26,_xlpm.k,$F42,AVERAGE(_xlfn._xlws.FILTER(_xlpm.d,(_xlpm.f=_xlpm.k)*(_xlpm.g=0))))</f>
        <v>0.99031071757444855</v>
      </c>
      <c r="N42" s="2" cm="1">
        <f t="array" ref="N42">_xlfn.LET(_xlpm.d,N$2:N$26,_xlpm.f,$A$2:$A$26,_xlpm.g,$B$2:$B$26,_xlpm.k,$F42,AVERAGE(_xlfn._xlws.FILTER(_xlpm.d,(_xlpm.f=_xlpm.k)*(_xlpm.g=0))))</f>
        <v>0.99004065579237777</v>
      </c>
      <c r="O42" s="2" cm="1">
        <f t="array" ref="O42">_xlfn.LET(_xlpm.d,O$2:O$26,_xlpm.f,$A$2:$A$26,_xlpm.g,$B$2:$B$26,_xlpm.k,$F42,AVERAGE(_xlfn._xlws.FILTER(_xlpm.d,(_xlpm.f=_xlpm.k)*(_xlpm.g=0))))</f>
        <v>0.94077172353405958</v>
      </c>
      <c r="P42" s="2" cm="1">
        <f t="array" ref="P42">_xlfn.LET(_xlpm.d,P$2:P$26,_xlpm.f,$A$2:$A$26,_xlpm.g,$B$2:$B$26,_xlpm.k,$F42,AVERAGE(_xlfn._xlws.FILTER(_xlpm.d,(_xlpm.f=_xlpm.k)*(_xlpm.g=0))))</f>
        <v>0.96863144199876172</v>
      </c>
      <c r="Q42" s="2" cm="1">
        <f t="array" ref="Q42">_xlfn.LET(_xlpm.d,Q$2:Q$26,_xlpm.f,$A$2:$A$26,_xlpm.g,$B$2:$B$26,_xlpm.k,$F42,AVERAGE(_xlfn._xlws.FILTER(_xlpm.d,(_xlpm.f=_xlpm.k)*(_xlpm.g=0))))</f>
        <v>1</v>
      </c>
      <c r="R42" s="2" cm="1">
        <f t="array" ref="R42">_xlfn.LET(_xlpm.d,R$2:R$26,_xlpm.f,$A$2:$A$26,_xlpm.g,$B$2:$B$26,_xlpm.k,$F42,AVERAGE(_xlfn._xlws.FILTER(_xlpm.d,(_xlpm.f=_xlpm.k)*(_xlpm.g=0))))</f>
        <v>0.99674885508928601</v>
      </c>
      <c r="S42" s="2" cm="1">
        <f t="array" ref="S42">_xlfn.LET(_xlpm.d,S$2:S$26,_xlpm.f,$A$2:$A$26,_xlpm.g,$B$2:$B$26,_xlpm.k,$F42,AVERAGE(_xlfn._xlws.FILTER(_xlpm.d,(_xlpm.f=_xlpm.k)*(_xlpm.g=0))))</f>
        <v>0.98830781465635276</v>
      </c>
      <c r="T42" s="2" cm="1">
        <f t="array" ref="T42">_xlfn.LET(_xlpm.d,T$2:T$26,_xlpm.f,$A$2:$A$26,_xlpm.g,$B$2:$B$26,_xlpm.k,$F42,AVERAGE(_xlfn._xlws.FILTER(_xlpm.d,(_xlpm.f=_xlpm.k)*(_xlpm.g=0))))</f>
        <v>0.98522428924369676</v>
      </c>
    </row>
    <row r="44" spans="6:20" ht="30" customHeight="1">
      <c r="F44" t="s">
        <v>44</v>
      </c>
    </row>
    <row r="45" spans="6:20" ht="30" customHeight="1">
      <c r="F45" t="s">
        <v>37</v>
      </c>
      <c r="G45" s="2" cm="1">
        <f t="array" ref="G45">_xlfn.LET(_xlpm.d,G$2:G$26,_xlpm.g,$B$2:$B$26,AVERAGE(_xlfn._xlws.FILTER(_xlpm.d,(_xlpm.g=0))))</f>
        <v>0.82652647942888557</v>
      </c>
      <c r="H45" s="2" cm="1">
        <f t="array" ref="H45">_xlfn.LET(_xlpm.d,H$2:H$26,_xlpm.g,$B$2:$B$26,AVERAGE(_xlfn._xlws.FILTER(_xlpm.d,(_xlpm.g=0))))</f>
        <v>0.8075049785050068</v>
      </c>
      <c r="I45" s="2" cm="1">
        <f t="array" ref="I45">_xlfn.LET(_xlpm.d,I$2:I$26,_xlpm.g,$B$2:$B$26,AVERAGE(_xlfn._xlws.FILTER(_xlpm.d,(_xlpm.g=0))))</f>
        <v>0.79816739211742438</v>
      </c>
      <c r="J45" s="2" cm="1">
        <f t="array" ref="J45">_xlfn.LET(_xlpm.d,J$2:J$26,_xlpm.g,$B$2:$B$26,AVERAGE(_xlfn._xlws.FILTER(_xlpm.d,(_xlpm.g=0))))</f>
        <v>0.75515579734852734</v>
      </c>
      <c r="K45" s="2" cm="1">
        <f t="array" ref="K45">_xlfn.LET(_xlpm.d,K$2:K$26,_xlpm.g,$B$2:$B$26,AVERAGE(_xlfn._xlws.FILTER(_xlpm.d,(_xlpm.g=0))))</f>
        <v>0.78965223322595868</v>
      </c>
      <c r="L45" s="2" cm="1">
        <f t="array" ref="L45">_xlfn.LET(_xlpm.d,L$2:L$26,_xlpm.g,$B$2:$B$26,AVERAGE(_xlfn._xlws.FILTER(_xlpm.d,(_xlpm.g=0))))</f>
        <v>0.76812885693945565</v>
      </c>
      <c r="M45" s="2" cm="1">
        <f t="array" ref="M45">_xlfn.LET(_xlpm.d,M$2:M$26,_xlpm.g,$B$2:$B$26,AVERAGE(_xlfn._xlws.FILTER(_xlpm.d,(_xlpm.g=0))))</f>
        <v>0.73794178315990966</v>
      </c>
      <c r="N45" s="2" cm="1">
        <f t="array" ref="N45">_xlfn.LET(_xlpm.d,N$2:N$26,_xlpm.g,$B$2:$B$26,AVERAGE(_xlfn._xlws.FILTER(_xlpm.d,(_xlpm.g=0))))</f>
        <v>0.71853148010768508</v>
      </c>
      <c r="O45" s="2" cm="1">
        <f t="array" ref="O45">_xlfn.LET(_xlpm.d,O$2:O$26,_xlpm.g,$B$2:$B$26,AVERAGE(_xlfn._xlws.FILTER(_xlpm.d,(_xlpm.g=0))))</f>
        <v>0.71832844030722309</v>
      </c>
      <c r="P45" s="2" cm="1">
        <f t="array" ref="P45">_xlfn.LET(_xlpm.d,P$2:P$26,_xlpm.g,$B$2:$B$26,AVERAGE(_xlfn._xlws.FILTER(_xlpm.d,(_xlpm.g=0))))</f>
        <v>0.71088481606706488</v>
      </c>
      <c r="Q45" s="2" cm="1">
        <f t="array" ref="Q45">_xlfn.LET(_xlpm.d,Q$2:Q$26,_xlpm.g,$B$2:$B$26,AVERAGE(_xlfn._xlws.FILTER(_xlpm.d,(_xlpm.g=0))))</f>
        <v>0.73055012767808791</v>
      </c>
      <c r="R45" s="2" cm="1">
        <f t="array" ref="R45">_xlfn.LET(_xlpm.d,R$2:R$26,_xlpm.g,$B$2:$B$26,AVERAGE(_xlfn._xlws.FILTER(_xlpm.d,(_xlpm.g=0))))</f>
        <v>0.70729690685619162</v>
      </c>
      <c r="S45" s="2" cm="1">
        <f t="array" ref="S45">_xlfn.LET(_xlpm.d,S$2:S$26,_xlpm.g,$B$2:$B$26,AVERAGE(_xlfn._xlws.FILTER(_xlpm.d,(_xlpm.g=0))))</f>
        <v>0.73132322805164363</v>
      </c>
      <c r="T45" s="2" cm="1">
        <f t="array" ref="T45">_xlfn.LET(_xlpm.d,T$2:T$26,_xlpm.g,$B$2:$B$26,AVERAGE(_xlfn._xlws.FILTER(_xlpm.d,(_xlpm.g=0))))</f>
        <v>0.75384557844562039</v>
      </c>
    </row>
    <row r="46" spans="6:20" ht="30" customHeight="1">
      <c r="F46" t="s">
        <v>58</v>
      </c>
      <c r="G46" s="2" cm="1">
        <f t="array" ref="G46">_xlfn.LET(_xlpm.d,G$2:G$26,_xlpm.f,$D$2:$D$26,AVERAGE(_xlfn._xlws.FILTER(_xlpm.d,(_xlpm.f=1))))</f>
        <v>0.83553710696293648</v>
      </c>
      <c r="H46" s="2" cm="1">
        <f t="array" ref="H46">_xlfn.LET(_xlpm.d,H$2:H$26,_xlpm.f,$D$2:$D$26,AVERAGE(_xlfn._xlws.FILTER(_xlpm.d,(_xlpm.f=1))))</f>
        <v>0.82573871800440313</v>
      </c>
      <c r="I46" s="2" cm="1">
        <f t="array" ref="I46">_xlfn.LET(_xlpm.d,I$2:I$26,_xlpm.f,$D$2:$D$26,AVERAGE(_xlfn._xlws.FILTER(_xlpm.d,(_xlpm.f=1))))</f>
        <v>0.80589279951897108</v>
      </c>
      <c r="J46" s="2" cm="1">
        <f t="array" ref="J46">_xlfn.LET(_xlpm.d,J$2:J$26,_xlpm.f,$D$2:$D$26,AVERAGE(_xlfn._xlws.FILTER(_xlpm.d,(_xlpm.f=1))))</f>
        <v>0.76893077666938603</v>
      </c>
      <c r="K46" s="2" cm="1">
        <f t="array" ref="K46">_xlfn.LET(_xlpm.d,K$2:K$26,_xlpm.f,$D$2:$D$26,AVERAGE(_xlfn._xlws.FILTER(_xlpm.d,(_xlpm.f=1))))</f>
        <v>0.81743803219732247</v>
      </c>
      <c r="L46" s="2" cm="1">
        <f t="array" ref="L46">_xlfn.LET(_xlpm.d,L$2:L$26,_xlpm.f,$D$2:$D$26,AVERAGE(_xlfn._xlws.FILTER(_xlpm.d,(_xlpm.f=1))))</f>
        <v>0.77079319943515956</v>
      </c>
      <c r="M46" s="2" cm="1">
        <f t="array" ref="M46">_xlfn.LET(_xlpm.d,M$2:M$26,_xlpm.f,$D$2:$D$26,AVERAGE(_xlfn._xlws.FILTER(_xlpm.d,(_xlpm.f=1))))</f>
        <v>0.73844152910000882</v>
      </c>
      <c r="N46" s="2" cm="1">
        <f t="array" ref="N46">_xlfn.LET(_xlpm.d,N$2:N$26,_xlpm.f,$D$2:$D$26,AVERAGE(_xlfn._xlws.FILTER(_xlpm.d,(_xlpm.f=1))))</f>
        <v>0.75508561579410505</v>
      </c>
      <c r="O46" s="2" cm="1">
        <f t="array" ref="O46">_xlfn.LET(_xlpm.d,O$2:O$26,_xlpm.f,$D$2:$D$26,AVERAGE(_xlfn._xlws.FILTER(_xlpm.d,(_xlpm.f=1))))</f>
        <v>0.68868982162044778</v>
      </c>
      <c r="P46" s="2" cm="1">
        <f t="array" ref="P46">_xlfn.LET(_xlpm.d,P$2:P$26,_xlpm.f,$D$2:$D$26,AVERAGE(_xlfn._xlws.FILTER(_xlpm.d,(_xlpm.f=1))))</f>
        <v>0.70042639240118942</v>
      </c>
      <c r="Q46" s="2" cm="1">
        <f t="array" ref="Q46">_xlfn.LET(_xlpm.d,Q$2:Q$26,_xlpm.f,$D$2:$D$26,AVERAGE(_xlfn._xlws.FILTER(_xlpm.d,(_xlpm.f=1))))</f>
        <v>0.74681901681091845</v>
      </c>
      <c r="R46" s="2" cm="1">
        <f t="array" ref="R46">_xlfn.LET(_xlpm.d,R$2:R$26,_xlpm.f,$D$2:$D$26,AVERAGE(_xlfn._xlws.FILTER(_xlpm.d,(_xlpm.f=1))))</f>
        <v>0.71847744858340312</v>
      </c>
      <c r="S46" s="2" cm="1">
        <f t="array" ref="S46">_xlfn.LET(_xlpm.d,S$2:S$26,_xlpm.f,$D$2:$D$26,AVERAGE(_xlfn._xlws.FILTER(_xlpm.d,(_xlpm.f=1))))</f>
        <v>0.72825104784835692</v>
      </c>
      <c r="T46" s="2" cm="1">
        <f t="array" ref="T46">_xlfn.LET(_xlpm.d,T$2:T$26,_xlpm.f,$D$2:$D$26,AVERAGE(_xlfn._xlws.FILTER(_xlpm.d,(_xlpm.f=1))))</f>
        <v>0.76157857730358525</v>
      </c>
    </row>
    <row r="47" spans="6:20" ht="30" customHeight="1">
      <c r="F47" t="s">
        <v>56</v>
      </c>
      <c r="G47" s="2" cm="1">
        <f t="array" ref="G47">_xlfn.LET(_xlpm.d,G$2:G$26,_xlpm.f,$E$2:$E$26,AVERAGE(_xlfn._xlws.FILTER(_xlpm.d,(_xlpm.f=1))))</f>
        <v>0.85755657406634389</v>
      </c>
      <c r="H47" s="2" cm="1">
        <f t="array" ref="H47">_xlfn.LET(_xlpm.d,H$2:H$26,_xlpm.f,$E$2:$E$26,AVERAGE(_xlfn._xlws.FILTER(_xlpm.d,(_xlpm.f=1))))</f>
        <v>0.83061045277315992</v>
      </c>
      <c r="I47" s="2" cm="1">
        <f t="array" ref="I47">_xlfn.LET(_xlpm.d,I$2:I$26,_xlpm.f,$E$2:$E$26,AVERAGE(_xlfn._xlws.FILTER(_xlpm.d,(_xlpm.f=1))))</f>
        <v>0.81271021901505791</v>
      </c>
      <c r="J47" s="2" cm="1">
        <f t="array" ref="J47">_xlfn.LET(_xlpm.d,J$2:J$26,_xlpm.f,$E$2:$E$26,AVERAGE(_xlfn._xlws.FILTER(_xlpm.d,(_xlpm.f=1))))</f>
        <v>0.77177922163534673</v>
      </c>
      <c r="K47" s="2" cm="1">
        <f t="array" ref="K47">_xlfn.LET(_xlpm.d,K$2:K$26,_xlpm.f,$E$2:$E$26,AVERAGE(_xlfn._xlws.FILTER(_xlpm.d,(_xlpm.f=1))))</f>
        <v>0.79992233757178655</v>
      </c>
      <c r="L47" s="2" cm="1">
        <f t="array" ref="L47">_xlfn.LET(_xlpm.d,L$2:L$26,_xlpm.f,$E$2:$E$26,AVERAGE(_xlfn._xlws.FILTER(_xlpm.d,(_xlpm.f=1))))</f>
        <v>0.76467137366569615</v>
      </c>
      <c r="M47" s="2" cm="1">
        <f t="array" ref="M47">_xlfn.LET(_xlpm.d,M$2:M$26,_xlpm.f,$E$2:$E$26,AVERAGE(_xlfn._xlws.FILTER(_xlpm.d,(_xlpm.f=1))))</f>
        <v>0.75896631761614852</v>
      </c>
      <c r="N47" s="2" cm="1">
        <f t="array" ref="N47">_xlfn.LET(_xlpm.d,N$2:N$26,_xlpm.f,$E$2:$E$26,AVERAGE(_xlfn._xlws.FILTER(_xlpm.d,(_xlpm.f=1))))</f>
        <v>0.69947109529872686</v>
      </c>
      <c r="O47" s="2" cm="1">
        <f t="array" ref="O47">_xlfn.LET(_xlpm.d,O$2:O$26,_xlpm.f,$E$2:$E$26,AVERAGE(_xlfn._xlws.FILTER(_xlpm.d,(_xlpm.f=1))))</f>
        <v>0.71907970512818054</v>
      </c>
      <c r="P47" s="2" cm="1">
        <f t="array" ref="P47">_xlfn.LET(_xlpm.d,P$2:P$26,_xlpm.f,$E$2:$E$26,AVERAGE(_xlfn._xlws.FILTER(_xlpm.d,(_xlpm.f=1))))</f>
        <v>0.70117825596245154</v>
      </c>
      <c r="Q47" s="2" cm="1">
        <f t="array" ref="Q47">_xlfn.LET(_xlpm.d,Q$2:Q$26,_xlpm.f,$E$2:$E$26,AVERAGE(_xlfn._xlws.FILTER(_xlpm.d,(_xlpm.f=1))))</f>
        <v>0.73286303372911288</v>
      </c>
      <c r="R47" s="2" cm="1">
        <f t="array" ref="R47">_xlfn.LET(_xlpm.d,R$2:R$26,_xlpm.f,$E$2:$E$26,AVERAGE(_xlfn._xlws.FILTER(_xlpm.d,(_xlpm.f=1))))</f>
        <v>0.71716858096996716</v>
      </c>
      <c r="S47" s="2" cm="1">
        <f t="array" ref="S47">_xlfn.LET(_xlpm.d,S$2:S$26,_xlpm.f,$E$2:$E$26,AVERAGE(_xlfn._xlws.FILTER(_xlpm.d,(_xlpm.f=1))))</f>
        <v>0.71563744449452427</v>
      </c>
      <c r="T47" s="2" cm="1">
        <f t="array" ref="T47">_xlfn.LET(_xlpm.d,T$2:T$26,_xlpm.f,$E$2:$E$26,AVERAGE(_xlfn._xlws.FILTER(_xlpm.d,(_xlpm.f=1))))</f>
        <v>0.76012420091742328</v>
      </c>
    </row>
  </sheetData>
  <conditionalFormatting sqref="G2:T26 G46:T47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29:T34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7:T37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8:T42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5:T4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7F66-EE82-C44C-A791-091623582AC9}">
  <dimension ref="A1:T58"/>
  <sheetViews>
    <sheetView workbookViewId="0">
      <pane xSplit="9080" ySplit="3520" topLeftCell="B31" activePane="bottomRight"/>
      <selection activeCell="B3" sqref="B3"/>
      <selection pane="topRight" activeCell="F1" sqref="F1:F1048576"/>
      <selection pane="bottomLeft" activeCell="A37" sqref="A37:XFD37"/>
      <selection pane="bottomRight" activeCell="F45" sqref="F45"/>
    </sheetView>
  </sheetViews>
  <sheetFormatPr baseColWidth="10" defaultRowHeight="30" customHeight="1"/>
  <cols>
    <col min="1" max="1" width="9" customWidth="1"/>
    <col min="2" max="5" width="6.375" customWidth="1"/>
    <col min="6" max="6" width="12.875" customWidth="1"/>
    <col min="7" max="20" width="6.875" customWidth="1"/>
  </cols>
  <sheetData>
    <row r="1" spans="1:20" ht="30" customHeight="1">
      <c r="A1" t="s">
        <v>36</v>
      </c>
      <c r="B1" t="s">
        <v>43</v>
      </c>
      <c r="C1" t="s">
        <v>57</v>
      </c>
      <c r="D1" t="s">
        <v>58</v>
      </c>
      <c r="E1" t="s">
        <v>56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60</v>
      </c>
      <c r="P1" t="s">
        <v>9</v>
      </c>
      <c r="Q1" t="s">
        <v>61</v>
      </c>
      <c r="R1" t="s">
        <v>62</v>
      </c>
      <c r="S1" t="s">
        <v>10</v>
      </c>
      <c r="T1" t="s">
        <v>45</v>
      </c>
    </row>
    <row r="2" spans="1:20" ht="30" customHeight="1">
      <c r="A2" t="str">
        <f>_xlfn.LET(_xlpm.c,$F2,_xlfn.TEXTBEFORE(_xlpm.c,"-"))</f>
        <v>arabic</v>
      </c>
      <c r="B2">
        <f>_xlfn.LET(_xlpm.c,_xlfn.SINGLE(Table1[condition]),IF(RIGHT(_xlpm.c,2)="1g",1,0))</f>
        <v>1</v>
      </c>
      <c r="C2">
        <f>_xlfn.LET(_xlpm.c,_xlfn.SINGLE(Table1[condition]),_xlpm.k,CONCATENATE("*-",C$1,"*"),IF(COUNTIF(_xlpm.c,_xlpm.k)&gt;0,1,0))</f>
        <v>0</v>
      </c>
      <c r="D2">
        <f>_xlfn.LET(_xlpm.c,_xlfn.SINGLE(Table1[condition]),_xlpm.k,CONCATENATE("*-",D$1,"*"),IF(COUNTIF(_xlpm.c,_xlpm.k)&gt;0,1,0))</f>
        <v>0</v>
      </c>
      <c r="E2">
        <f>IF(AND(Table1[xsk]=1,Table1[sk]=1),0,1)</f>
        <v>1</v>
      </c>
      <c r="F2" t="s">
        <v>11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f t="shared" ref="T2:T36" si="0">_xlfn.LET(_xlpm.d,$G2:$S2,AVERAGE(_xlpm.d))</f>
        <v>1</v>
      </c>
    </row>
    <row r="3" spans="1:20" ht="30" customHeight="1">
      <c r="A3" t="str">
        <f t="shared" ref="A3:A36" si="1">_xlfn.LET(_xlpm.c,$F3,_xlfn.TEXTBEFORE(_xlpm.c,"-"))</f>
        <v>arabic</v>
      </c>
      <c r="B3">
        <f>_xlfn.LET(_xlpm.c,_xlfn.SINGLE(Table1[condition]),IF(RIGHT(_xlpm.c,2)="1g",1,0))</f>
        <v>0</v>
      </c>
      <c r="C3">
        <f>_xlfn.LET(_xlpm.c,_xlfn.SINGLE(Table1[condition]),_xlpm.k,CONCATENATE("*-",C$1,"*"),IF(COUNTIF(_xlpm.c,_xlpm.k)&gt;0,1,0))</f>
        <v>0</v>
      </c>
      <c r="D3">
        <f>_xlfn.LET(_xlpm.c,_xlfn.SINGLE(Table1[condition]),_xlpm.k,CONCATENATE("*-",D$1,"*"),IF(COUNTIF(_xlpm.c,_xlpm.k)&gt;0,1,0))</f>
        <v>0</v>
      </c>
      <c r="E3">
        <f>IF(AND(Table1[xsk]=1,Table1[sk]=1),0,1)</f>
        <v>1</v>
      </c>
      <c r="F3" t="s">
        <v>12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f t="shared" si="0"/>
        <v>1</v>
      </c>
    </row>
    <row r="4" spans="1:20" ht="30" customHeight="1">
      <c r="A4" t="str">
        <f t="shared" si="1"/>
        <v>arabic</v>
      </c>
      <c r="B4">
        <f>_xlfn.LET(_xlpm.c,_xlfn.SINGLE(Table1[condition]),IF(RIGHT(_xlpm.c,2)="1g",1,0))</f>
        <v>0</v>
      </c>
      <c r="C4">
        <f>_xlfn.LET(_xlpm.c,_xlfn.SINGLE(Table1[condition]),_xlpm.k,CONCATENATE("*-",C$1,"*"),IF(COUNTIF(_xlpm.c,_xlpm.k)&gt;0,1,0))</f>
        <v>0</v>
      </c>
      <c r="D4">
        <f>_xlfn.LET(_xlpm.c,_xlfn.SINGLE(Table1[condition]),_xlpm.k,CONCATENATE("*-",D$1,"*"),IF(COUNTIF(_xlpm.c,_xlpm.k)&gt;0,1,0))</f>
        <v>0</v>
      </c>
      <c r="E4">
        <f>IF(AND(Table1[xsk]=1,Table1[sk]=1),0,1)</f>
        <v>1</v>
      </c>
      <c r="F4" t="s">
        <v>13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f t="shared" si="0"/>
        <v>1</v>
      </c>
    </row>
    <row r="5" spans="1:20" ht="30" customHeight="1">
      <c r="A5" t="str">
        <f t="shared" si="1"/>
        <v>arabic</v>
      </c>
      <c r="B5">
        <f>_xlfn.LET(_xlpm.c,_xlfn.SINGLE(Table1[condition]),IF(RIGHT(_xlpm.c,2)="1g",1,0))</f>
        <v>0</v>
      </c>
      <c r="C5">
        <f>_xlfn.LET(_xlpm.c,_xlfn.SINGLE(Table1[condition]),_xlpm.k,CONCATENATE("*-",C$1,"*"),IF(COUNTIF(_xlpm.c,_xlpm.k)&gt;0,1,0))</f>
        <v>0</v>
      </c>
      <c r="D5">
        <f>_xlfn.LET(_xlpm.c,_xlfn.SINGLE(Table1[condition]),_xlpm.k,CONCATENATE("*-",D$1,"*"),IF(COUNTIF(_xlpm.c,_xlpm.k)&gt;0,1,0))</f>
        <v>1</v>
      </c>
      <c r="E5">
        <f>IF(AND(Table1[xsk]=1,Table1[sk]=1),0,1)</f>
        <v>1</v>
      </c>
      <c r="F5" t="s">
        <v>14</v>
      </c>
      <c r="G5" s="1">
        <v>1</v>
      </c>
      <c r="H5" s="1">
        <v>0.99240341460017301</v>
      </c>
      <c r="I5" s="1">
        <v>0.996294940592793</v>
      </c>
      <c r="J5" s="1">
        <v>1</v>
      </c>
      <c r="K5" s="1">
        <v>1</v>
      </c>
      <c r="L5" s="1">
        <v>0.998849191054198</v>
      </c>
      <c r="M5" s="1">
        <v>1</v>
      </c>
      <c r="N5" s="1">
        <v>1</v>
      </c>
      <c r="O5" s="1">
        <v>0.98635404448275898</v>
      </c>
      <c r="P5" s="1">
        <v>1</v>
      </c>
      <c r="Q5" s="1">
        <v>0.99931879950942104</v>
      </c>
      <c r="R5" s="1">
        <v>1</v>
      </c>
      <c r="S5" s="1">
        <v>0.99672102946922203</v>
      </c>
      <c r="T5" s="1">
        <f t="shared" si="0"/>
        <v>0.99768780151604364</v>
      </c>
    </row>
    <row r="6" spans="1:20" ht="30" customHeight="1">
      <c r="A6" t="str">
        <f t="shared" si="1"/>
        <v>arabic</v>
      </c>
      <c r="B6">
        <f>_xlfn.LET(_xlpm.c,_xlfn.SINGLE(Table1[condition]),IF(RIGHT(_xlpm.c,2)="1g",1,0))</f>
        <v>0</v>
      </c>
      <c r="C6">
        <f>_xlfn.LET(_xlpm.c,_xlfn.SINGLE(Table1[condition]),_xlpm.k,CONCATENATE("*-",C$1,"*"),IF(COUNTIF(_xlpm.c,_xlpm.k)&gt;0,1,0))</f>
        <v>0</v>
      </c>
      <c r="D6">
        <f>_xlfn.LET(_xlpm.c,_xlfn.SINGLE(Table1[condition]),_xlpm.k,CONCATENATE("*-",D$1,"*"),IF(COUNTIF(_xlpm.c,_xlpm.k)&gt;0,1,0))</f>
        <v>1</v>
      </c>
      <c r="E6">
        <f>IF(AND(Table1[xsk]=1,Table1[sk]=1),0,1)</f>
        <v>1</v>
      </c>
      <c r="F6" t="s">
        <v>15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0.89307996831751402</v>
      </c>
      <c r="R6" s="1">
        <v>1</v>
      </c>
      <c r="S6" s="1">
        <v>0.75052462355544503</v>
      </c>
      <c r="T6" s="1">
        <f t="shared" si="0"/>
        <v>0.97258496860561217</v>
      </c>
    </row>
    <row r="7" spans="1:20" ht="30" customHeight="1">
      <c r="A7" t="str">
        <f t="shared" si="1"/>
        <v>arabic</v>
      </c>
      <c r="B7">
        <f>_xlfn.LET(_xlpm.c,_xlfn.SINGLE(Table1[condition]),IF(RIGHT(_xlpm.c,2)="1g",1,0))</f>
        <v>0</v>
      </c>
      <c r="C7">
        <f>_xlfn.LET(_xlpm.c,_xlfn.SINGLE(Table1[condition]),_xlpm.k,CONCATENATE("*-",C$1,"*"),IF(COUNTIF(_xlpm.c,_xlpm.k)&gt;0,1,0))</f>
        <v>1</v>
      </c>
      <c r="D7">
        <f>_xlfn.LET(_xlpm.c,_xlfn.SINGLE(Table1[condition]),_xlpm.k,CONCATENATE("*-",D$1,"*"),IF(COUNTIF(_xlpm.c,_xlpm.k)&gt;0,1,0))</f>
        <v>0</v>
      </c>
      <c r="E7">
        <f>IF(AND(Table1[xsk]=1,Table1[sk]=1),0,1)</f>
        <v>1</v>
      </c>
      <c r="F7" t="s">
        <v>46</v>
      </c>
      <c r="G7" s="1">
        <v>1</v>
      </c>
      <c r="H7" s="1">
        <v>0.98015439373091395</v>
      </c>
      <c r="I7" s="1">
        <v>1</v>
      </c>
      <c r="J7" s="1">
        <v>0.97538545911469299</v>
      </c>
      <c r="K7" s="1">
        <v>0.98363769979503302</v>
      </c>
      <c r="L7" s="1">
        <v>1</v>
      </c>
      <c r="M7" s="1">
        <v>1</v>
      </c>
      <c r="N7" s="1">
        <v>1</v>
      </c>
      <c r="O7" s="1">
        <v>1</v>
      </c>
      <c r="P7" s="1">
        <v>0.97768934779665295</v>
      </c>
      <c r="Q7" s="1">
        <v>1</v>
      </c>
      <c r="R7" s="1">
        <v>1</v>
      </c>
      <c r="S7" s="1">
        <v>1</v>
      </c>
      <c r="T7" s="1">
        <f t="shared" si="0"/>
        <v>0.99360514618748408</v>
      </c>
    </row>
    <row r="8" spans="1:20" ht="30" customHeight="1">
      <c r="A8" t="str">
        <f t="shared" si="1"/>
        <v>arabic</v>
      </c>
      <c r="B8">
        <f>_xlfn.LET(_xlpm.c,_xlfn.SINGLE(Table1[condition]),IF(RIGHT(_xlpm.c,2)="1g",1,0))</f>
        <v>0</v>
      </c>
      <c r="C8">
        <f>_xlfn.LET(_xlpm.c,_xlfn.SINGLE(Table1[condition]),_xlpm.k,CONCATENATE("*-",C$1,"*"),IF(COUNTIF(_xlpm.c,_xlpm.k)&gt;0,1,0))</f>
        <v>1</v>
      </c>
      <c r="D8">
        <f>_xlfn.LET(_xlpm.c,_xlfn.SINGLE(Table1[condition]),_xlpm.k,CONCATENATE("*-",D$1,"*"),IF(COUNTIF(_xlpm.c,_xlpm.k)&gt;0,1,0))</f>
        <v>0</v>
      </c>
      <c r="E8">
        <f>IF(AND(Table1[xsk]=1,Table1[sk]=1),0,1)</f>
        <v>1</v>
      </c>
      <c r="F8" t="s">
        <v>47</v>
      </c>
      <c r="G8" s="1">
        <v>0.99933152212670295</v>
      </c>
      <c r="H8" s="1">
        <v>0.99971582615730403</v>
      </c>
      <c r="I8" s="1">
        <v>1</v>
      </c>
      <c r="J8" s="1">
        <v>0.99945174037834195</v>
      </c>
      <c r="K8" s="1">
        <v>1</v>
      </c>
      <c r="L8" s="1">
        <v>1</v>
      </c>
      <c r="M8" s="1">
        <v>0.99955216837343697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f t="shared" si="0"/>
        <v>0.99985009669506053</v>
      </c>
    </row>
    <row r="9" spans="1:20" ht="30" customHeight="1">
      <c r="A9" t="str">
        <f t="shared" si="1"/>
        <v>english</v>
      </c>
      <c r="B9">
        <f>_xlfn.LET(_xlpm.c,_xlfn.SINGLE(Table1[condition]),IF(RIGHT(_xlpm.c,2)="1g",1,0))</f>
        <v>1</v>
      </c>
      <c r="C9">
        <f>_xlfn.LET(_xlpm.c,_xlfn.SINGLE(Table1[condition]),_xlpm.k,CONCATENATE("*-",C$1,"*"),IF(COUNTIF(_xlpm.c,_xlpm.k)&gt;0,1,0))</f>
        <v>0</v>
      </c>
      <c r="D9">
        <f>_xlfn.LET(_xlpm.c,_xlfn.SINGLE(Table1[condition]),_xlpm.k,CONCATENATE("*-",D$1,"*"),IF(COUNTIF(_xlpm.c,_xlpm.k)&gt;0,1,0))</f>
        <v>0</v>
      </c>
      <c r="E9">
        <f>IF(AND(Table1[xsk]=1,Table1[sk]=1),0,1)</f>
        <v>1</v>
      </c>
      <c r="F9" t="s">
        <v>16</v>
      </c>
      <c r="G9" s="1">
        <v>0.95513351748016695</v>
      </c>
      <c r="H9" s="1">
        <v>0.83464815769421197</v>
      </c>
      <c r="I9" s="1">
        <v>0.71400955522930798</v>
      </c>
      <c r="J9" s="1">
        <v>0.63099984985271196</v>
      </c>
      <c r="K9" s="1">
        <v>0.63213549204808805</v>
      </c>
      <c r="L9" s="1">
        <v>0.43154395878419399</v>
      </c>
      <c r="M9" s="1">
        <v>0.74917632644846599</v>
      </c>
      <c r="N9" s="1">
        <v>0.30241539941067602</v>
      </c>
      <c r="O9" s="1">
        <v>0.51643764955884497</v>
      </c>
      <c r="P9" s="1">
        <v>0.24010166124468399</v>
      </c>
      <c r="Q9" s="1">
        <v>0.63263046635989895</v>
      </c>
      <c r="R9" s="1">
        <v>0.58488368421252501</v>
      </c>
      <c r="S9" s="1">
        <v>0.407138762556845</v>
      </c>
      <c r="T9" s="1">
        <f t="shared" si="0"/>
        <v>0.5870195754523555</v>
      </c>
    </row>
    <row r="10" spans="1:20" ht="30" customHeight="1">
      <c r="A10" t="str">
        <f t="shared" si="1"/>
        <v>english</v>
      </c>
      <c r="B10">
        <f>_xlfn.LET(_xlpm.c,_xlfn.SINGLE(Table1[condition]),IF(RIGHT(_xlpm.c,2)="1g",1,0))</f>
        <v>0</v>
      </c>
      <c r="C10">
        <f>_xlfn.LET(_xlpm.c,_xlfn.SINGLE(Table1[condition]),_xlpm.k,CONCATENATE("*-",C$1,"*"),IF(COUNTIF(_xlpm.c,_xlpm.k)&gt;0,1,0))</f>
        <v>0</v>
      </c>
      <c r="D10">
        <f>_xlfn.LET(_xlpm.c,_xlfn.SINGLE(Table1[condition]),_xlpm.k,CONCATENATE("*-",D$1,"*"),IF(COUNTIF(_xlpm.c,_xlpm.k)&gt;0,1,0))</f>
        <v>0</v>
      </c>
      <c r="E10">
        <f>IF(AND(Table1[xsk]=1,Table1[sk]=1),0,1)</f>
        <v>1</v>
      </c>
      <c r="F10" t="s">
        <v>17</v>
      </c>
      <c r="G10" s="1">
        <v>0.66257348450501696</v>
      </c>
      <c r="H10" s="1">
        <v>0.62722549840327302</v>
      </c>
      <c r="I10" s="1">
        <v>0.60650463223771001</v>
      </c>
      <c r="J10" s="1">
        <v>0.44627310363635198</v>
      </c>
      <c r="K10" s="1">
        <v>0.25672083332249901</v>
      </c>
      <c r="L10" s="1">
        <v>0.52501392559198801</v>
      </c>
      <c r="M10" s="1">
        <v>0.46604783649303999</v>
      </c>
      <c r="N10" s="1">
        <v>0.50734867450779098</v>
      </c>
      <c r="O10" s="1">
        <v>0.66646788158021897</v>
      </c>
      <c r="P10" s="1">
        <v>0.47548937764513</v>
      </c>
      <c r="Q10" s="1">
        <v>0.45673839682725598</v>
      </c>
      <c r="R10" s="1">
        <v>0.41709563730768001</v>
      </c>
      <c r="S10" s="1">
        <v>0.63229040742200504</v>
      </c>
      <c r="T10" s="1">
        <f t="shared" si="0"/>
        <v>0.51890689919076616</v>
      </c>
    </row>
    <row r="11" spans="1:20" ht="30" customHeight="1">
      <c r="A11" t="str">
        <f t="shared" si="1"/>
        <v>english</v>
      </c>
      <c r="B11">
        <f>_xlfn.LET(_xlpm.c,_xlfn.SINGLE(Table1[condition]),IF(RIGHT(_xlpm.c,2)="1g",1,0))</f>
        <v>0</v>
      </c>
      <c r="C11">
        <f>_xlfn.LET(_xlpm.c,_xlfn.SINGLE(Table1[condition]),_xlpm.k,CONCATENATE("*-",C$1,"*"),IF(COUNTIF(_xlpm.c,_xlpm.k)&gt;0,1,0))</f>
        <v>0</v>
      </c>
      <c r="D11">
        <f>_xlfn.LET(_xlpm.c,_xlfn.SINGLE(Table1[condition]),_xlpm.k,CONCATENATE("*-",D$1,"*"),IF(COUNTIF(_xlpm.c,_xlpm.k)&gt;0,1,0))</f>
        <v>0</v>
      </c>
      <c r="E11">
        <f>IF(AND(Table1[xsk]=1,Table1[sk]=1),0,1)</f>
        <v>1</v>
      </c>
      <c r="F11" t="s">
        <v>18</v>
      </c>
      <c r="G11" s="1">
        <v>0.47588297795364198</v>
      </c>
      <c r="H11" s="1">
        <v>0.56306753667056197</v>
      </c>
      <c r="I11" s="1">
        <v>0.634576034748359</v>
      </c>
      <c r="J11" s="1">
        <v>0.54034400055502496</v>
      </c>
      <c r="K11" s="1">
        <v>0.58958335293383701</v>
      </c>
      <c r="L11" s="1">
        <v>0.66250257427253101</v>
      </c>
      <c r="M11" s="1">
        <v>0.44335217801025301</v>
      </c>
      <c r="N11" s="1">
        <v>0.33072643275371599</v>
      </c>
      <c r="O11" s="1">
        <v>0.64733136678995795</v>
      </c>
      <c r="P11" s="1">
        <v>0.41061214001555402</v>
      </c>
      <c r="Q11" s="1">
        <v>0.47529359291576601</v>
      </c>
      <c r="R11" s="1">
        <v>0.34959270533467002</v>
      </c>
      <c r="S11" s="1">
        <v>0.45703307414094002</v>
      </c>
      <c r="T11" s="1">
        <f t="shared" si="0"/>
        <v>0.50614599746883182</v>
      </c>
    </row>
    <row r="12" spans="1:20" ht="30" customHeight="1">
      <c r="A12" t="str">
        <f t="shared" si="1"/>
        <v>english</v>
      </c>
      <c r="B12">
        <f>_xlfn.LET(_xlpm.c,_xlfn.SINGLE(Table1[condition]),IF(RIGHT(_xlpm.c,2)="1g",1,0))</f>
        <v>0</v>
      </c>
      <c r="C12">
        <f>_xlfn.LET(_xlpm.c,_xlfn.SINGLE(Table1[condition]),_xlpm.k,CONCATENATE("*-",C$1,"*"),IF(COUNTIF(_xlpm.c,_xlpm.k)&gt;0,1,0))</f>
        <v>0</v>
      </c>
      <c r="D12">
        <f>_xlfn.LET(_xlpm.c,_xlfn.SINGLE(Table1[condition]),_xlpm.k,CONCATENATE("*-",D$1,"*"),IF(COUNTIF(_xlpm.c,_xlpm.k)&gt;0,1,0))</f>
        <v>1</v>
      </c>
      <c r="E12">
        <f>IF(AND(Table1[xsk]=1,Table1[sk]=1),0,1)</f>
        <v>1</v>
      </c>
      <c r="F12" t="s">
        <v>19</v>
      </c>
      <c r="G12" s="1">
        <v>0.61927789826569102</v>
      </c>
      <c r="H12" s="1">
        <v>0.56402017820851102</v>
      </c>
      <c r="I12" s="1">
        <v>0.57746898941000002</v>
      </c>
      <c r="J12" s="1">
        <v>0.53142990017238401</v>
      </c>
      <c r="K12" s="1">
        <v>0.61774693154483395</v>
      </c>
      <c r="L12" s="1">
        <v>0.55859582146689701</v>
      </c>
      <c r="M12" s="1">
        <v>0.50040352030338797</v>
      </c>
      <c r="N12" s="1">
        <v>0.67970958013108396</v>
      </c>
      <c r="O12" s="1">
        <v>0.66417089993961498</v>
      </c>
      <c r="P12" s="1">
        <v>0.25148254322663199</v>
      </c>
      <c r="Q12" s="1">
        <v>0.62009963193370998</v>
      </c>
      <c r="R12" s="1">
        <v>0.38274436056639299</v>
      </c>
      <c r="S12" s="1">
        <v>0.67799810338768796</v>
      </c>
      <c r="T12" s="1">
        <f t="shared" si="0"/>
        <v>0.55731910450437128</v>
      </c>
    </row>
    <row r="13" spans="1:20" ht="30" customHeight="1">
      <c r="A13" t="str">
        <f t="shared" si="1"/>
        <v>english</v>
      </c>
      <c r="B13">
        <f>_xlfn.LET(_xlpm.c,_xlfn.SINGLE(Table1[condition]),IF(RIGHT(_xlpm.c,2)="1g",1,0))</f>
        <v>0</v>
      </c>
      <c r="C13">
        <f>_xlfn.LET(_xlpm.c,_xlfn.SINGLE(Table1[condition]),_xlpm.k,CONCATENATE("*-",C$1,"*"),IF(COUNTIF(_xlpm.c,_xlpm.k)&gt;0,1,0))</f>
        <v>0</v>
      </c>
      <c r="D13">
        <f>_xlfn.LET(_xlpm.c,_xlfn.SINGLE(Table1[condition]),_xlpm.k,CONCATENATE("*-",D$1,"*"),IF(COUNTIF(_xlpm.c,_xlpm.k)&gt;0,1,0))</f>
        <v>1</v>
      </c>
      <c r="E13">
        <f>IF(AND(Table1[xsk]=1,Table1[sk]=1),0,1)</f>
        <v>1</v>
      </c>
      <c r="F13" t="s">
        <v>20</v>
      </c>
      <c r="G13" s="1">
        <v>0.69105006326450902</v>
      </c>
      <c r="H13" s="1">
        <v>0.76295307114657895</v>
      </c>
      <c r="I13" s="1">
        <v>0.69188137128523297</v>
      </c>
      <c r="J13" s="1">
        <v>0.42502995465726601</v>
      </c>
      <c r="K13" s="1">
        <v>0.51968014739503499</v>
      </c>
      <c r="L13" s="1">
        <v>0.51262188798838804</v>
      </c>
      <c r="M13" s="1">
        <v>0.51700455737993001</v>
      </c>
      <c r="N13" s="1">
        <v>0.47894705943235399</v>
      </c>
      <c r="O13" s="1">
        <v>0.28970165911474</v>
      </c>
      <c r="P13" s="1">
        <v>0.59277898085531999</v>
      </c>
      <c r="Q13" s="1">
        <v>0.48829467578061198</v>
      </c>
      <c r="R13" s="1">
        <v>0.47996364241952899</v>
      </c>
      <c r="S13" s="1">
        <v>0.47362679891989201</v>
      </c>
      <c r="T13" s="1">
        <f t="shared" si="0"/>
        <v>0.53257952843379897</v>
      </c>
    </row>
    <row r="14" spans="1:20" ht="30" customHeight="1">
      <c r="A14" t="str">
        <f t="shared" si="1"/>
        <v>english</v>
      </c>
      <c r="B14">
        <f>_xlfn.LET(_xlpm.c,_xlfn.SINGLE(Table1[condition]),IF(RIGHT(_xlpm.c,2)="1g",1,0))</f>
        <v>0</v>
      </c>
      <c r="C14">
        <f>_xlfn.LET(_xlpm.c,_xlfn.SINGLE(Table1[condition]),_xlpm.k,CONCATENATE("*-",C$1,"*"),IF(COUNTIF(_xlpm.c,_xlpm.k)&gt;0,1,0))</f>
        <v>1</v>
      </c>
      <c r="D14">
        <f>_xlfn.LET(_xlpm.c,_xlfn.SINGLE(Table1[condition]),_xlpm.k,CONCATENATE("*-",D$1,"*"),IF(COUNTIF(_xlpm.c,_xlpm.k)&gt;0,1,0))</f>
        <v>0</v>
      </c>
      <c r="E14">
        <f>IF(AND(Table1[xsk]=1,Table1[sk]=1),0,1)</f>
        <v>1</v>
      </c>
      <c r="F14" t="s">
        <v>48</v>
      </c>
      <c r="G14" s="1">
        <v>0.71075582750076804</v>
      </c>
      <c r="H14" s="1">
        <v>0.60925360043019805</v>
      </c>
      <c r="I14" s="1">
        <v>0.73484073519230697</v>
      </c>
      <c r="J14" s="1">
        <v>0.70220357219267204</v>
      </c>
      <c r="K14" s="1">
        <v>0.73600860972979498</v>
      </c>
      <c r="L14" s="1">
        <v>0.75363897520642198</v>
      </c>
      <c r="M14" s="1">
        <v>0.52882659982427105</v>
      </c>
      <c r="N14" s="1">
        <v>0.40881389962113501</v>
      </c>
      <c r="O14" s="1">
        <v>0.57302265652235096</v>
      </c>
      <c r="P14" s="1">
        <v>0.70081521872928298</v>
      </c>
      <c r="Q14" s="1">
        <v>0.97810218978102104</v>
      </c>
      <c r="R14" s="1">
        <v>0.58818414917975703</v>
      </c>
      <c r="S14" s="1">
        <v>0.29474348700094499</v>
      </c>
      <c r="T14" s="1">
        <f t="shared" si="0"/>
        <v>0.63993919391622511</v>
      </c>
    </row>
    <row r="15" spans="1:20" ht="30" customHeight="1">
      <c r="A15" t="str">
        <f t="shared" ref="A15:A25" si="2">_xlfn.LET(_xlpm.c,$F15,_xlfn.TEXTBEFORE(_xlpm.c,"-"))</f>
        <v>english</v>
      </c>
      <c r="B15">
        <f>_xlfn.LET(_xlpm.c,_xlfn.SINGLE(Table1[condition]),IF(RIGHT(_xlpm.c,2)="1g",1,0))</f>
        <v>0</v>
      </c>
      <c r="C15">
        <f>_xlfn.LET(_xlpm.c,_xlfn.SINGLE(Table1[condition]),_xlpm.k,CONCATENATE("*-",C$1,"*"),IF(COUNTIF(_xlpm.c,_xlpm.k)&gt;0,1,0))</f>
        <v>1</v>
      </c>
      <c r="D15">
        <f>_xlfn.LET(_xlpm.c,_xlfn.SINGLE(Table1[condition]),_xlpm.k,CONCATENATE("*-",D$1,"*"),IF(COUNTIF(_xlpm.c,_xlpm.k)&gt;0,1,0))</f>
        <v>0</v>
      </c>
      <c r="E15">
        <f>IF(AND(Table1[xsk]=1,Table1[sk]=1),0,1)</f>
        <v>1</v>
      </c>
      <c r="F15" t="s">
        <v>49</v>
      </c>
      <c r="G15" s="1">
        <v>0.77235557611331496</v>
      </c>
      <c r="H15" s="1">
        <v>0.62945723405383802</v>
      </c>
      <c r="I15" s="1">
        <v>0.74896152277542904</v>
      </c>
      <c r="J15" s="1">
        <v>0.54796747382361699</v>
      </c>
      <c r="K15" s="1">
        <v>0.461038018175774</v>
      </c>
      <c r="L15" s="1">
        <v>0.624358074341955</v>
      </c>
      <c r="M15" s="1">
        <v>0.46926921672619398</v>
      </c>
      <c r="N15" s="1">
        <v>0.61301777130808799</v>
      </c>
      <c r="O15" s="1">
        <v>0.396128961277048</v>
      </c>
      <c r="P15" s="1">
        <v>0.48363188614951402</v>
      </c>
      <c r="Q15" s="1">
        <v>0.248275042062435</v>
      </c>
      <c r="R15" s="1">
        <v>0.50033029194849199</v>
      </c>
      <c r="S15" s="1">
        <v>0.27801739960578098</v>
      </c>
      <c r="T15" s="1">
        <f t="shared" ref="T15:T25" si="3">_xlfn.LET(_xlpm.d,$G15:$S15,AVERAGE(_xlpm.d))</f>
        <v>0.52098526679703694</v>
      </c>
    </row>
    <row r="16" spans="1:20" ht="30" customHeight="1">
      <c r="A16" t="str">
        <f t="shared" si="2"/>
        <v>french</v>
      </c>
      <c r="B16">
        <f>_xlfn.LET(_xlpm.c,_xlfn.SINGLE(Table1[condition]),IF(RIGHT(_xlpm.c,2)="1g",1,0))</f>
        <v>1</v>
      </c>
      <c r="C16">
        <f>_xlfn.LET(_xlpm.c,_xlfn.SINGLE(Table1[condition]),_xlpm.k,CONCATENATE("*-",C$1,"*"),IF(COUNTIF(_xlpm.c,_xlpm.k)&gt;0,1,0))</f>
        <v>0</v>
      </c>
      <c r="D16">
        <f>_xlfn.LET(_xlpm.c,_xlfn.SINGLE(Table1[condition]),_xlpm.k,CONCATENATE("*-",D$1,"*"),IF(COUNTIF(_xlpm.c,_xlpm.k)&gt;0,1,0))</f>
        <v>0</v>
      </c>
      <c r="E16">
        <f>IF(AND(Table1[xsk]=1,Table1[sk]=1),0,1)</f>
        <v>1</v>
      </c>
      <c r="F16" t="s">
        <v>21</v>
      </c>
      <c r="G16" s="1">
        <v>0.95325124560071495</v>
      </c>
      <c r="H16" s="1">
        <v>0.89123740038666499</v>
      </c>
      <c r="I16" s="1">
        <v>0.79744462488074996</v>
      </c>
      <c r="J16" s="1">
        <v>0.69726568936076005</v>
      </c>
      <c r="K16" s="1">
        <v>0.80614852537814097</v>
      </c>
      <c r="L16" s="1">
        <v>0.61218572241934899</v>
      </c>
      <c r="M16" s="1">
        <v>0.66741758354648195</v>
      </c>
      <c r="N16" s="1">
        <v>0.35344995086504299</v>
      </c>
      <c r="O16" s="1">
        <v>0.57062163969068802</v>
      </c>
      <c r="P16" s="1">
        <v>0.59534714706243896</v>
      </c>
      <c r="Q16" s="1">
        <v>0.43901902469458298</v>
      </c>
      <c r="R16" s="1">
        <v>0.55561943171997896</v>
      </c>
      <c r="S16" s="1">
        <v>0.19674659227463601</v>
      </c>
      <c r="T16" s="1">
        <f t="shared" si="3"/>
        <v>0.62582727522155623</v>
      </c>
    </row>
    <row r="17" spans="1:20" ht="30" customHeight="1">
      <c r="A17" t="str">
        <f t="shared" si="2"/>
        <v>french</v>
      </c>
      <c r="B17">
        <f>_xlfn.LET(_xlpm.c,_xlfn.SINGLE(Table1[condition]),IF(RIGHT(_xlpm.c,2)="1g",1,0))</f>
        <v>0</v>
      </c>
      <c r="C17">
        <f>_xlfn.LET(_xlpm.c,_xlfn.SINGLE(Table1[condition]),_xlpm.k,CONCATENATE("*-",C$1,"*"),IF(COUNTIF(_xlpm.c,_xlpm.k)&gt;0,1,0))</f>
        <v>0</v>
      </c>
      <c r="D17">
        <f>_xlfn.LET(_xlpm.c,_xlfn.SINGLE(Table1[condition]),_xlpm.k,CONCATENATE("*-",D$1,"*"),IF(COUNTIF(_xlpm.c,_xlpm.k)&gt;0,1,0))</f>
        <v>0</v>
      </c>
      <c r="E17">
        <f>IF(AND(Table1[xsk]=1,Table1[sk]=1),0,1)</f>
        <v>1</v>
      </c>
      <c r="F17" t="s">
        <v>22</v>
      </c>
      <c r="G17" s="1">
        <v>0.70140020506019496</v>
      </c>
      <c r="H17" s="1">
        <v>0.59161610925540598</v>
      </c>
      <c r="I17" s="1">
        <v>0.68187443262168501</v>
      </c>
      <c r="J17" s="1">
        <v>0.406707595526901</v>
      </c>
      <c r="K17" s="1">
        <v>0.58832290846018698</v>
      </c>
      <c r="L17" s="1">
        <v>0.49357299104221503</v>
      </c>
      <c r="M17" s="1">
        <v>0.470859714675396</v>
      </c>
      <c r="N17" s="1">
        <v>0.32981196716108602</v>
      </c>
      <c r="O17" s="1">
        <v>0.305232055577213</v>
      </c>
      <c r="P17" s="1">
        <v>0.47113679179553603</v>
      </c>
      <c r="Q17" s="1">
        <v>0.53570691557101102</v>
      </c>
      <c r="R17" s="1">
        <v>0.41917091511522597</v>
      </c>
      <c r="S17" s="1">
        <v>0.53348436501524998</v>
      </c>
      <c r="T17" s="1">
        <f t="shared" si="3"/>
        <v>0.50222284360594671</v>
      </c>
    </row>
    <row r="18" spans="1:20" ht="30" customHeight="1">
      <c r="A18" t="str">
        <f t="shared" si="2"/>
        <v>french</v>
      </c>
      <c r="B18">
        <f>_xlfn.LET(_xlpm.c,_xlfn.SINGLE(Table1[condition]),IF(RIGHT(_xlpm.c,2)="1g",1,0))</f>
        <v>0</v>
      </c>
      <c r="C18">
        <f>_xlfn.LET(_xlpm.c,_xlfn.SINGLE(Table1[condition]),_xlpm.k,CONCATENATE("*-",C$1,"*"),IF(COUNTIF(_xlpm.c,_xlpm.k)&gt;0,1,0))</f>
        <v>0</v>
      </c>
      <c r="D18">
        <f>_xlfn.LET(_xlpm.c,_xlfn.SINGLE(Table1[condition]),_xlpm.k,CONCATENATE("*-",D$1,"*"),IF(COUNTIF(_xlpm.c,_xlpm.k)&gt;0,1,0))</f>
        <v>0</v>
      </c>
      <c r="E18">
        <f>IF(AND(Table1[xsk]=1,Table1[sk]=1),0,1)</f>
        <v>1</v>
      </c>
      <c r="F18" t="s">
        <v>23</v>
      </c>
      <c r="G18" s="1">
        <v>0.66167321870128104</v>
      </c>
      <c r="H18" s="1">
        <v>0.64483268655592396</v>
      </c>
      <c r="I18" s="1">
        <v>0.59738693781364405</v>
      </c>
      <c r="J18" s="1">
        <v>0.47171344401974602</v>
      </c>
      <c r="K18" s="1">
        <v>0.59696668703710298</v>
      </c>
      <c r="L18" s="1">
        <v>0.62836123253217002</v>
      </c>
      <c r="M18" s="1">
        <v>0.60827517922847696</v>
      </c>
      <c r="N18" s="1">
        <v>0.478030806416337</v>
      </c>
      <c r="O18" s="1">
        <v>0.65165573594569504</v>
      </c>
      <c r="P18" s="1">
        <v>0.43132896862467501</v>
      </c>
      <c r="Q18" s="1">
        <v>0.535044464260231</v>
      </c>
      <c r="R18" s="1">
        <v>0.60459600468591501</v>
      </c>
      <c r="S18" s="1">
        <v>0.68218339851865395</v>
      </c>
      <c r="T18" s="1">
        <f t="shared" si="3"/>
        <v>0.58400375110306557</v>
      </c>
    </row>
    <row r="19" spans="1:20" ht="30" customHeight="1">
      <c r="A19" t="str">
        <f t="shared" si="2"/>
        <v>french</v>
      </c>
      <c r="B19">
        <f>_xlfn.LET(_xlpm.c,_xlfn.SINGLE(Table1[condition]),IF(RIGHT(_xlpm.c,2)="1g",1,0))</f>
        <v>0</v>
      </c>
      <c r="C19">
        <f>_xlfn.LET(_xlpm.c,_xlfn.SINGLE(Table1[condition]),_xlpm.k,CONCATENATE("*-",C$1,"*"),IF(COUNTIF(_xlpm.c,_xlpm.k)&gt;0,1,0))</f>
        <v>0</v>
      </c>
      <c r="D19">
        <f>_xlfn.LET(_xlpm.c,_xlfn.SINGLE(Table1[condition]),_xlpm.k,CONCATENATE("*-",D$1,"*"),IF(COUNTIF(_xlpm.c,_xlpm.k)&gt;0,1,0))</f>
        <v>1</v>
      </c>
      <c r="E19">
        <f>IF(AND(Table1[xsk]=1,Table1[sk]=1),0,1)</f>
        <v>1</v>
      </c>
      <c r="F19" t="s">
        <v>24</v>
      </c>
      <c r="G19" s="1">
        <v>0.71756867236436495</v>
      </c>
      <c r="H19" s="1">
        <v>0.71601330525669504</v>
      </c>
      <c r="I19" s="1">
        <v>0.76621219820188602</v>
      </c>
      <c r="J19" s="1">
        <v>0.63742087073060605</v>
      </c>
      <c r="K19" s="1">
        <v>0.83764362992758401</v>
      </c>
      <c r="L19" s="1">
        <v>0.66025039481054904</v>
      </c>
      <c r="M19" s="1">
        <v>0.53899179405724396</v>
      </c>
      <c r="N19" s="1">
        <v>0.648994930099692</v>
      </c>
      <c r="O19" s="1">
        <v>0.58753238560070498</v>
      </c>
      <c r="P19" s="1">
        <v>0.65033095451536105</v>
      </c>
      <c r="Q19" s="1">
        <v>0.66822532348305597</v>
      </c>
      <c r="R19" s="1">
        <v>0.62157819040279405</v>
      </c>
      <c r="S19" s="1">
        <v>0.53296756927561195</v>
      </c>
      <c r="T19" s="1">
        <f t="shared" si="3"/>
        <v>0.66028693990201148</v>
      </c>
    </row>
    <row r="20" spans="1:20" ht="30" customHeight="1">
      <c r="A20" t="str">
        <f t="shared" si="2"/>
        <v>french</v>
      </c>
      <c r="B20">
        <f>_xlfn.LET(_xlpm.c,_xlfn.SINGLE(Table1[condition]),IF(RIGHT(_xlpm.c,2)="1g",1,0))</f>
        <v>0</v>
      </c>
      <c r="C20">
        <f>_xlfn.LET(_xlpm.c,_xlfn.SINGLE(Table1[condition]),_xlpm.k,CONCATENATE("*-",C$1,"*"),IF(COUNTIF(_xlpm.c,_xlpm.k)&gt;0,1,0))</f>
        <v>0</v>
      </c>
      <c r="D20">
        <f>_xlfn.LET(_xlpm.c,_xlfn.SINGLE(Table1[condition]),_xlpm.k,CONCATENATE("*-",D$1,"*"),IF(COUNTIF(_xlpm.c,_xlpm.k)&gt;0,1,0))</f>
        <v>1</v>
      </c>
      <c r="E20">
        <f>IF(AND(Table1[xsk]=1,Table1[sk]=1),0,1)</f>
        <v>1</v>
      </c>
      <c r="F20" t="s">
        <v>25</v>
      </c>
      <c r="G20" s="1">
        <v>0.61349073331082904</v>
      </c>
      <c r="H20" s="1">
        <v>0.74418674657610295</v>
      </c>
      <c r="I20" s="1">
        <v>0.64986693727839695</v>
      </c>
      <c r="J20" s="1">
        <v>0.70267188629100197</v>
      </c>
      <c r="K20" s="1">
        <v>0.76174693397620596</v>
      </c>
      <c r="L20" s="1">
        <v>0.60706730513483098</v>
      </c>
      <c r="M20" s="1">
        <v>0.63804549505293995</v>
      </c>
      <c r="N20" s="1">
        <v>0.54311568846325697</v>
      </c>
      <c r="O20" s="1">
        <v>0.49663910942964301</v>
      </c>
      <c r="P20" s="1">
        <v>0.48106200986338499</v>
      </c>
      <c r="Q20" s="1">
        <v>0.42643827687658997</v>
      </c>
      <c r="R20" s="1">
        <v>0.38864445736965803</v>
      </c>
      <c r="S20" s="1">
        <v>0.51644639088890198</v>
      </c>
      <c r="T20" s="1">
        <f t="shared" si="3"/>
        <v>0.5822632285009034</v>
      </c>
    </row>
    <row r="21" spans="1:20" ht="30" customHeight="1">
      <c r="A21" t="str">
        <f t="shared" si="2"/>
        <v>french</v>
      </c>
      <c r="B21">
        <f>_xlfn.LET(_xlpm.c,_xlfn.SINGLE(Table1[condition]),IF(RIGHT(_xlpm.c,2)="1g",1,0))</f>
        <v>0</v>
      </c>
      <c r="C21">
        <f>_xlfn.LET(_xlpm.c,_xlfn.SINGLE(Table1[condition]),_xlpm.k,CONCATENATE("*-",C$1,"*"),IF(COUNTIF(_xlpm.c,_xlpm.k)&gt;0,1,0))</f>
        <v>1</v>
      </c>
      <c r="D21">
        <f>_xlfn.LET(_xlpm.c,_xlfn.SINGLE(Table1[condition]),_xlpm.k,CONCATENATE("*-",D$1,"*"),IF(COUNTIF(_xlpm.c,_xlpm.k)&gt;0,1,0))</f>
        <v>0</v>
      </c>
      <c r="E21">
        <f>IF(AND(Table1[xsk]=1,Table1[sk]=1),0,1)</f>
        <v>1</v>
      </c>
      <c r="F21" t="s">
        <v>50</v>
      </c>
      <c r="G21" s="1">
        <v>0.810266209563826</v>
      </c>
      <c r="H21" s="1">
        <v>0.83857877549303494</v>
      </c>
      <c r="I21" s="1">
        <v>0.66669472636589999</v>
      </c>
      <c r="J21" s="1">
        <v>0.64067286630739695</v>
      </c>
      <c r="K21" s="1">
        <v>0.62701474269325796</v>
      </c>
      <c r="L21" s="1">
        <v>0.71832892009523597</v>
      </c>
      <c r="M21" s="1">
        <v>0.57477660195536295</v>
      </c>
      <c r="N21" s="1">
        <v>0.61505557834392999</v>
      </c>
      <c r="O21" s="1">
        <v>0.51922567981344403</v>
      </c>
      <c r="P21" s="1">
        <v>0.62805373041950896</v>
      </c>
      <c r="Q21" s="1">
        <v>0.396840725998793</v>
      </c>
      <c r="R21" s="1">
        <v>0.46038899028097802</v>
      </c>
      <c r="S21" s="1">
        <v>0.42967354060036</v>
      </c>
      <c r="T21" s="1">
        <f t="shared" si="3"/>
        <v>0.609659314456233</v>
      </c>
    </row>
    <row r="22" spans="1:20" ht="30" customHeight="1">
      <c r="A22" t="str">
        <f t="shared" si="2"/>
        <v>french</v>
      </c>
      <c r="B22">
        <f>_xlfn.LET(_xlpm.c,_xlfn.SINGLE(Table1[condition]),IF(RIGHT(_xlpm.c,2)="1g",1,0))</f>
        <v>0</v>
      </c>
      <c r="C22">
        <f>_xlfn.LET(_xlpm.c,_xlfn.SINGLE(Table1[condition]),_xlpm.k,CONCATENATE("*-",C$1,"*"),IF(COUNTIF(_xlpm.c,_xlpm.k)&gt;0,1,0))</f>
        <v>1</v>
      </c>
      <c r="D22">
        <f>_xlfn.LET(_xlpm.c,_xlfn.SINGLE(Table1[condition]),_xlpm.k,CONCATENATE("*-",D$1,"*"),IF(COUNTIF(_xlpm.c,_xlpm.k)&gt;0,1,0))</f>
        <v>0</v>
      </c>
      <c r="E22">
        <f>IF(AND(Table1[xsk]=1,Table1[sk]=1),0,1)</f>
        <v>1</v>
      </c>
      <c r="F22" t="s">
        <v>51</v>
      </c>
      <c r="G22" s="1">
        <v>0.82025398752244205</v>
      </c>
      <c r="H22" s="1">
        <v>0.59070692741111597</v>
      </c>
      <c r="I22" s="1">
        <v>0.61143606625624203</v>
      </c>
      <c r="J22" s="1">
        <v>0.73852684273162905</v>
      </c>
      <c r="K22" s="1">
        <v>0.576492002883354</v>
      </c>
      <c r="L22" s="1">
        <v>0.63768548105632195</v>
      </c>
      <c r="M22" s="1">
        <v>0.342396002677261</v>
      </c>
      <c r="N22" s="1">
        <v>0.620867425972498</v>
      </c>
      <c r="O22" s="1">
        <v>0.36764891452305098</v>
      </c>
      <c r="P22" s="1">
        <v>0.412354625470084</v>
      </c>
      <c r="Q22" s="1">
        <v>0.36616265676632798</v>
      </c>
      <c r="R22" s="1">
        <v>0.47150843200313802</v>
      </c>
      <c r="S22" s="1">
        <v>0.51637744948271302</v>
      </c>
      <c r="T22" s="1">
        <f t="shared" si="3"/>
        <v>0.54403206267355209</v>
      </c>
    </row>
    <row r="23" spans="1:20" ht="30" customHeight="1">
      <c r="A23" t="str">
        <f t="shared" si="2"/>
        <v>german</v>
      </c>
      <c r="B23">
        <f>_xlfn.LET(_xlpm.c,_xlfn.SINGLE(Table1[condition]),IF(RIGHT(_xlpm.c,2)="1g",1,0))</f>
        <v>1</v>
      </c>
      <c r="C23">
        <f>_xlfn.LET(_xlpm.c,_xlfn.SINGLE(Table1[condition]),_xlpm.k,CONCATENATE("*-",C$1,"*"),IF(COUNTIF(_xlpm.c,_xlpm.k)&gt;0,1,0))</f>
        <v>0</v>
      </c>
      <c r="D23">
        <f>_xlfn.LET(_xlpm.c,_xlfn.SINGLE(Table1[condition]),_xlpm.k,CONCATENATE("*-",D$1,"*"),IF(COUNTIF(_xlpm.c,_xlpm.k)&gt;0,1,0))</f>
        <v>0</v>
      </c>
      <c r="E23">
        <f>IF(AND(Table1[xsk]=1,Table1[sk]=1),0,1)</f>
        <v>1</v>
      </c>
      <c r="F23" t="s">
        <v>26</v>
      </c>
      <c r="G23" s="1">
        <v>1</v>
      </c>
      <c r="H23" s="1">
        <v>0.88927619114798595</v>
      </c>
      <c r="I23" s="1">
        <v>0.84295345291790402</v>
      </c>
      <c r="J23" s="1">
        <v>0.86309905469964898</v>
      </c>
      <c r="K23" s="1">
        <v>0.76672975734925897</v>
      </c>
      <c r="L23" s="1">
        <v>0.71047752164974898</v>
      </c>
      <c r="M23" s="1">
        <v>0.79872836721057605</v>
      </c>
      <c r="N23" s="1">
        <v>0.46028243003875202</v>
      </c>
      <c r="O23" s="1">
        <v>0.52336453281051698</v>
      </c>
      <c r="P23" s="1">
        <v>0.47631126941287399</v>
      </c>
      <c r="Q23" s="1">
        <v>0.63892379861158499</v>
      </c>
      <c r="R23" s="1">
        <v>0.642773271192842</v>
      </c>
      <c r="S23" s="1">
        <v>0.66058619649875405</v>
      </c>
      <c r="T23" s="1">
        <f t="shared" si="3"/>
        <v>0.71334660334926514</v>
      </c>
    </row>
    <row r="24" spans="1:20" ht="30" customHeight="1">
      <c r="A24" t="str">
        <f t="shared" si="2"/>
        <v>german</v>
      </c>
      <c r="B24">
        <f>_xlfn.LET(_xlpm.c,_xlfn.SINGLE(Table1[condition]),IF(RIGHT(_xlpm.c,2)="1g",1,0))</f>
        <v>0</v>
      </c>
      <c r="C24">
        <f>_xlfn.LET(_xlpm.c,_xlfn.SINGLE(Table1[condition]),_xlpm.k,CONCATENATE("*-",C$1,"*"),IF(COUNTIF(_xlpm.c,_xlpm.k)&gt;0,1,0))</f>
        <v>0</v>
      </c>
      <c r="D24">
        <f>_xlfn.LET(_xlpm.c,_xlfn.SINGLE(Table1[condition]),_xlpm.k,CONCATENATE("*-",D$1,"*"),IF(COUNTIF(_xlpm.c,_xlpm.k)&gt;0,1,0))</f>
        <v>0</v>
      </c>
      <c r="E24">
        <f>IF(AND(Table1[xsk]=1,Table1[sk]=1),0,1)</f>
        <v>1</v>
      </c>
      <c r="F24" t="s">
        <v>27</v>
      </c>
      <c r="G24" s="1">
        <v>0.82318647926161903</v>
      </c>
      <c r="H24" s="1">
        <v>0.75453721702334797</v>
      </c>
      <c r="I24" s="1">
        <v>0.66487649105529401</v>
      </c>
      <c r="J24" s="1">
        <v>0.84665503547830101</v>
      </c>
      <c r="K24" s="1">
        <v>0.76780580112529595</v>
      </c>
      <c r="L24" s="1">
        <v>0.63291048331664301</v>
      </c>
      <c r="M24" s="1">
        <v>0.50046860319805297</v>
      </c>
      <c r="N24" s="1">
        <v>0.59489727405648996</v>
      </c>
      <c r="O24" s="1">
        <v>0.58975880657958901</v>
      </c>
      <c r="P24" s="1">
        <v>0.76038227714213003</v>
      </c>
      <c r="Q24" s="1">
        <v>0.40780018278319902</v>
      </c>
      <c r="R24" s="1">
        <v>0.62321321597298396</v>
      </c>
      <c r="S24" s="1">
        <v>0.63464973476132602</v>
      </c>
      <c r="T24" s="1">
        <f t="shared" si="3"/>
        <v>0.66162627705802091</v>
      </c>
    </row>
    <row r="25" spans="1:20" ht="30" customHeight="1">
      <c r="A25" t="str">
        <f t="shared" si="2"/>
        <v>german</v>
      </c>
      <c r="B25">
        <f>_xlfn.LET(_xlpm.c,_xlfn.SINGLE(Table1[condition]),IF(RIGHT(_xlpm.c,2)="1g",1,0))</f>
        <v>0</v>
      </c>
      <c r="C25">
        <f>_xlfn.LET(_xlpm.c,_xlfn.SINGLE(Table1[condition]),_xlpm.k,CONCATENATE("*-",C$1,"*"),IF(COUNTIF(_xlpm.c,_xlpm.k)&gt;0,1,0))</f>
        <v>0</v>
      </c>
      <c r="D25">
        <f>_xlfn.LET(_xlpm.c,_xlfn.SINGLE(Table1[condition]),_xlpm.k,CONCATENATE("*-",D$1,"*"),IF(COUNTIF(_xlpm.c,_xlpm.k)&gt;0,1,0))</f>
        <v>0</v>
      </c>
      <c r="E25">
        <f>IF(AND(Table1[xsk]=1,Table1[sk]=1),0,1)</f>
        <v>1</v>
      </c>
      <c r="F25" t="s">
        <v>28</v>
      </c>
      <c r="G25" s="1">
        <v>0.85044215346659102</v>
      </c>
      <c r="H25" s="1">
        <v>0.71143334214758902</v>
      </c>
      <c r="I25" s="1">
        <v>0.71920131868208703</v>
      </c>
      <c r="J25" s="1">
        <v>0.70211500106036095</v>
      </c>
      <c r="K25" s="1">
        <v>0.81926475966702905</v>
      </c>
      <c r="L25" s="1">
        <v>0.71228393768196896</v>
      </c>
      <c r="M25" s="1">
        <v>0.88541686059288605</v>
      </c>
      <c r="N25" s="1">
        <v>0.57895828931723303</v>
      </c>
      <c r="O25" s="1">
        <v>0.61922474346731404</v>
      </c>
      <c r="P25" s="1">
        <v>0.66448284210637798</v>
      </c>
      <c r="Q25" s="1">
        <v>0.732228833095112</v>
      </c>
      <c r="R25" s="1">
        <v>0.54749517287332605</v>
      </c>
      <c r="S25" s="1">
        <v>0.40431310269112902</v>
      </c>
      <c r="T25" s="1">
        <f t="shared" si="3"/>
        <v>0.68822002744992339</v>
      </c>
    </row>
    <row r="26" spans="1:20" ht="30" customHeight="1">
      <c r="A26" t="str">
        <f t="shared" si="1"/>
        <v>german</v>
      </c>
      <c r="B26">
        <f>_xlfn.LET(_xlpm.c,_xlfn.SINGLE(Table1[condition]),IF(RIGHT(_xlpm.c,2)="1g",1,0))</f>
        <v>0</v>
      </c>
      <c r="C26">
        <f>_xlfn.LET(_xlpm.c,_xlfn.SINGLE(Table1[condition]),_xlpm.k,CONCATENATE("*-",C$1,"*"),IF(COUNTIF(_xlpm.c,_xlpm.k)&gt;0,1,0))</f>
        <v>0</v>
      </c>
      <c r="D26">
        <f>_xlfn.LET(_xlpm.c,_xlfn.SINGLE(Table1[condition]),_xlpm.k,CONCATENATE("*-",D$1,"*"),IF(COUNTIF(_xlpm.c,_xlpm.k)&gt;0,1,0))</f>
        <v>1</v>
      </c>
      <c r="E26">
        <f>IF(AND(Table1[xsk]=1,Table1[sk]=1),0,1)</f>
        <v>1</v>
      </c>
      <c r="F26" t="s">
        <v>29</v>
      </c>
      <c r="G26" s="1">
        <v>0.86715289042908095</v>
      </c>
      <c r="H26" s="1">
        <v>0.69269943660281696</v>
      </c>
      <c r="I26" s="1">
        <v>0.68912599010952302</v>
      </c>
      <c r="J26" s="1">
        <v>0.62549340297926204</v>
      </c>
      <c r="K26" s="1">
        <v>0.80140375213589399</v>
      </c>
      <c r="L26" s="1">
        <v>0.735233796362596</v>
      </c>
      <c r="M26" s="1">
        <v>0.66733736981355396</v>
      </c>
      <c r="N26" s="1">
        <v>0.69837238381548195</v>
      </c>
      <c r="O26" s="1">
        <v>0.58426873342854002</v>
      </c>
      <c r="P26" s="1">
        <v>0.60489349061516895</v>
      </c>
      <c r="Q26" s="1">
        <v>0.67943805188975803</v>
      </c>
      <c r="R26" s="1">
        <v>0.87320785661266598</v>
      </c>
      <c r="S26" s="1">
        <v>0.64715639074045905</v>
      </c>
      <c r="T26" s="1">
        <f t="shared" si="0"/>
        <v>0.70506027273344618</v>
      </c>
    </row>
    <row r="27" spans="1:20" ht="30" customHeight="1">
      <c r="A27" t="str">
        <f t="shared" si="1"/>
        <v>german</v>
      </c>
      <c r="B27">
        <f>_xlfn.LET(_xlpm.c,_xlfn.SINGLE(Table1[condition]),IF(RIGHT(_xlpm.c,2)="1g",1,0))</f>
        <v>0</v>
      </c>
      <c r="C27">
        <f>_xlfn.LET(_xlpm.c,_xlfn.SINGLE(Table1[condition]),_xlpm.k,CONCATENATE("*-",C$1,"*"),IF(COUNTIF(_xlpm.c,_xlpm.k)&gt;0,1,0))</f>
        <v>0</v>
      </c>
      <c r="D27">
        <f>_xlfn.LET(_xlpm.c,_xlfn.SINGLE(Table1[condition]),_xlpm.k,CONCATENATE("*-",D$1,"*"),IF(COUNTIF(_xlpm.c,_xlpm.k)&gt;0,1,0))</f>
        <v>1</v>
      </c>
      <c r="E27">
        <f>IF(AND(Table1[xsk]=1,Table1[sk]=1),0,1)</f>
        <v>1</v>
      </c>
      <c r="F27" t="s">
        <v>30</v>
      </c>
      <c r="G27" s="1">
        <v>0.84795445431460204</v>
      </c>
      <c r="H27" s="1">
        <v>0.78511102765315299</v>
      </c>
      <c r="I27" s="1">
        <v>0.85429202965356998</v>
      </c>
      <c r="J27" s="1">
        <v>0.80434941039246599</v>
      </c>
      <c r="K27" s="1">
        <v>0.66012784133059299</v>
      </c>
      <c r="L27" s="1">
        <v>0.67450071491559804</v>
      </c>
      <c r="M27" s="1">
        <v>0.56138968409523704</v>
      </c>
      <c r="N27" s="1">
        <v>0.54155389282967104</v>
      </c>
      <c r="O27" s="1">
        <v>0.51514449007223695</v>
      </c>
      <c r="P27" s="1">
        <v>0.54919017694098005</v>
      </c>
      <c r="Q27" s="1">
        <v>0.69329544031852297</v>
      </c>
      <c r="R27" s="1">
        <v>0.45164055810584802</v>
      </c>
      <c r="S27" s="1">
        <v>0.73383831362093799</v>
      </c>
      <c r="T27" s="1">
        <f t="shared" si="0"/>
        <v>0.66710677186487821</v>
      </c>
    </row>
    <row r="28" spans="1:20" ht="30" customHeight="1">
      <c r="A28" t="str">
        <f t="shared" si="1"/>
        <v>german</v>
      </c>
      <c r="B28">
        <f>_xlfn.LET(_xlpm.c,_xlfn.SINGLE(Table1[condition]),IF(RIGHT(_xlpm.c,2)="1g",1,0))</f>
        <v>0</v>
      </c>
      <c r="C28">
        <f>_xlfn.LET(_xlpm.c,_xlfn.SINGLE(Table1[condition]),_xlpm.k,CONCATENATE("*-",C$1,"*"),IF(COUNTIF(_xlpm.c,_xlpm.k)&gt;0,1,0))</f>
        <v>1</v>
      </c>
      <c r="D28">
        <f>_xlfn.LET(_xlpm.c,_xlfn.SINGLE(Table1[condition]),_xlpm.k,CONCATENATE("*-",D$1,"*"),IF(COUNTIF(_xlpm.c,_xlpm.k)&gt;0,1,0))</f>
        <v>0</v>
      </c>
      <c r="E28">
        <f>IF(AND(Table1[xsk]=1,Table1[sk]=1),0,1)</f>
        <v>1</v>
      </c>
      <c r="F28" t="s">
        <v>52</v>
      </c>
      <c r="G28" s="1">
        <v>0.79094091709149905</v>
      </c>
      <c r="H28" s="1">
        <v>0.89705031486954401</v>
      </c>
      <c r="I28" s="1">
        <v>0.787138678742481</v>
      </c>
      <c r="J28" s="1">
        <v>0.73718984333792603</v>
      </c>
      <c r="K28" s="1">
        <v>0.60624794929102499</v>
      </c>
      <c r="L28" s="1">
        <v>0.677817182834479</v>
      </c>
      <c r="M28" s="1">
        <v>0.80852301222579603</v>
      </c>
      <c r="N28" s="1">
        <v>0.76856653055711399</v>
      </c>
      <c r="O28" s="1">
        <v>0.54584283724673699</v>
      </c>
      <c r="P28" s="1">
        <v>0.40733673368469497</v>
      </c>
      <c r="Q28" s="1">
        <v>0.75982560568133295</v>
      </c>
      <c r="R28" s="1">
        <v>0.61822362829166899</v>
      </c>
      <c r="S28" s="1">
        <v>0.65435219140045897</v>
      </c>
      <c r="T28" s="1">
        <f t="shared" si="0"/>
        <v>0.69685041732728914</v>
      </c>
    </row>
    <row r="29" spans="1:20" ht="30" customHeight="1">
      <c r="A29" t="str">
        <f t="shared" si="1"/>
        <v>german</v>
      </c>
      <c r="B29">
        <f>_xlfn.LET(_xlpm.c,_xlfn.SINGLE(Table1[condition]),IF(RIGHT(_xlpm.c,2)="1g",1,0))</f>
        <v>0</v>
      </c>
      <c r="C29">
        <f>_xlfn.LET(_xlpm.c,_xlfn.SINGLE(Table1[condition]),_xlpm.k,CONCATENATE("*-",C$1,"*"),IF(COUNTIF(_xlpm.c,_xlpm.k)&gt;0,1,0))</f>
        <v>1</v>
      </c>
      <c r="D29">
        <f>_xlfn.LET(_xlpm.c,_xlfn.SINGLE(Table1[condition]),_xlpm.k,CONCATENATE("*-",D$1,"*"),IF(COUNTIF(_xlpm.c,_xlpm.k)&gt;0,1,0))</f>
        <v>0</v>
      </c>
      <c r="E29">
        <f>IF(AND(Table1[xsk]=1,Table1[sk]=1),0,1)</f>
        <v>1</v>
      </c>
      <c r="F29" t="s">
        <v>53</v>
      </c>
      <c r="G29" s="1">
        <v>0.71924504362867203</v>
      </c>
      <c r="H29" s="1">
        <v>0.92203239382449897</v>
      </c>
      <c r="I29" s="1">
        <v>0.74936860124779903</v>
      </c>
      <c r="J29" s="1">
        <v>0.72429932847228296</v>
      </c>
      <c r="K29" s="1">
        <v>0.74806626394728204</v>
      </c>
      <c r="L29" s="1">
        <v>0.59983511084074703</v>
      </c>
      <c r="M29" s="1">
        <v>0.60207750329212295</v>
      </c>
      <c r="N29" s="1">
        <v>0.70928420529742697</v>
      </c>
      <c r="O29" s="1">
        <v>0.588838773111104</v>
      </c>
      <c r="P29" s="1">
        <v>0.716020429505141</v>
      </c>
      <c r="Q29" s="1">
        <v>0.451775367852633</v>
      </c>
      <c r="R29" s="1">
        <v>0.44034216144753802</v>
      </c>
      <c r="S29" s="1">
        <v>0.49135471089377297</v>
      </c>
      <c r="T29" s="1">
        <f t="shared" si="0"/>
        <v>0.65096460718161708</v>
      </c>
    </row>
    <row r="30" spans="1:20" ht="30" customHeight="1">
      <c r="A30" t="str">
        <f t="shared" si="1"/>
        <v>russian</v>
      </c>
      <c r="B30">
        <f>_xlfn.LET(_xlpm.c,_xlfn.SINGLE(Table1[condition]),IF(RIGHT(_xlpm.c,2)="1g",1,0))</f>
        <v>1</v>
      </c>
      <c r="C30">
        <f>_xlfn.LET(_xlpm.c,_xlfn.SINGLE(Table1[condition]),_xlpm.k,CONCATENATE("*-",C$1,"*"),IF(COUNTIF(_xlpm.c,_xlpm.k)&gt;0,1,0))</f>
        <v>0</v>
      </c>
      <c r="D30">
        <f>_xlfn.LET(_xlpm.c,_xlfn.SINGLE(Table1[condition]),_xlpm.k,CONCATENATE("*-",D$1,"*"),IF(COUNTIF(_xlpm.c,_xlpm.k)&gt;0,1,0))</f>
        <v>0</v>
      </c>
      <c r="E30">
        <f>IF(AND(Table1[xsk]=1,Table1[sk]=1),0,1)</f>
        <v>1</v>
      </c>
      <c r="F30" t="s">
        <v>31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f t="shared" si="0"/>
        <v>1</v>
      </c>
    </row>
    <row r="31" spans="1:20" ht="30" customHeight="1">
      <c r="A31" t="str">
        <f t="shared" si="1"/>
        <v>russian</v>
      </c>
      <c r="B31">
        <f>_xlfn.LET(_xlpm.c,_xlfn.SINGLE(Table1[condition]),IF(RIGHT(_xlpm.c,2)="1g",1,0))</f>
        <v>0</v>
      </c>
      <c r="C31">
        <f>_xlfn.LET(_xlpm.c,_xlfn.SINGLE(Table1[condition]),_xlpm.k,CONCATENATE("*-",C$1,"*"),IF(COUNTIF(_xlpm.c,_xlpm.k)&gt;0,1,0))</f>
        <v>0</v>
      </c>
      <c r="D31">
        <f>_xlfn.LET(_xlpm.c,_xlfn.SINGLE(Table1[condition]),_xlpm.k,CONCATENATE("*-",D$1,"*"),IF(COUNTIF(_xlpm.c,_xlpm.k)&gt;0,1,0))</f>
        <v>0</v>
      </c>
      <c r="E31">
        <f>IF(AND(Table1[xsk]=1,Table1[sk]=1),0,1)</f>
        <v>1</v>
      </c>
      <c r="F31" t="s">
        <v>32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f t="shared" si="0"/>
        <v>1</v>
      </c>
    </row>
    <row r="32" spans="1:20" ht="30" customHeight="1">
      <c r="A32" t="str">
        <f t="shared" si="1"/>
        <v>russian</v>
      </c>
      <c r="B32">
        <f>_xlfn.LET(_xlpm.c,_xlfn.SINGLE(Table1[condition]),IF(RIGHT(_xlpm.c,2)="1g",1,0))</f>
        <v>0</v>
      </c>
      <c r="C32">
        <f>_xlfn.LET(_xlpm.c,_xlfn.SINGLE(Table1[condition]),_xlpm.k,CONCATENATE("*-",C$1,"*"),IF(COUNTIF(_xlpm.c,_xlpm.k)&gt;0,1,0))</f>
        <v>0</v>
      </c>
      <c r="D32">
        <f>_xlfn.LET(_xlpm.c,_xlfn.SINGLE(Table1[condition]),_xlpm.k,CONCATENATE("*-",D$1,"*"),IF(COUNTIF(_xlpm.c,_xlpm.k)&gt;0,1,0))</f>
        <v>0</v>
      </c>
      <c r="E32">
        <f>IF(AND(Table1[xsk]=1,Table1[sk]=1),0,1)</f>
        <v>1</v>
      </c>
      <c r="F32" t="s">
        <v>33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f t="shared" si="0"/>
        <v>1</v>
      </c>
    </row>
    <row r="33" spans="1:20" ht="30" customHeight="1">
      <c r="A33" t="str">
        <f t="shared" si="1"/>
        <v>russian</v>
      </c>
      <c r="B33">
        <f>_xlfn.LET(_xlpm.c,_xlfn.SINGLE(Table1[condition]),IF(RIGHT(_xlpm.c,2)="1g",1,0))</f>
        <v>0</v>
      </c>
      <c r="C33">
        <f>_xlfn.LET(_xlpm.c,_xlfn.SINGLE(Table1[condition]),_xlpm.k,CONCATENATE("*-",C$1,"*"),IF(COUNTIF(_xlpm.c,_xlpm.k)&gt;0,1,0))</f>
        <v>0</v>
      </c>
      <c r="D33">
        <f>_xlfn.LET(_xlpm.c,_xlfn.SINGLE(Table1[condition]),_xlpm.k,CONCATENATE("*-",D$1,"*"),IF(COUNTIF(_xlpm.c,_xlpm.k)&gt;0,1,0))</f>
        <v>1</v>
      </c>
      <c r="E33">
        <f>IF(AND(Table1[xsk]=1,Table1[sk]=1),0,1)</f>
        <v>1</v>
      </c>
      <c r="F33" t="s">
        <v>34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0.96936585660054397</v>
      </c>
      <c r="O33" s="1">
        <v>0.99771675611867305</v>
      </c>
      <c r="P33" s="1">
        <v>1</v>
      </c>
      <c r="Q33" s="1">
        <v>1</v>
      </c>
      <c r="R33" s="1">
        <v>1</v>
      </c>
      <c r="S33" s="1">
        <v>1</v>
      </c>
      <c r="T33" s="1">
        <f t="shared" si="0"/>
        <v>0.99746789328609364</v>
      </c>
    </row>
    <row r="34" spans="1:20" ht="30" customHeight="1">
      <c r="A34" t="str">
        <f t="shared" si="1"/>
        <v>russian</v>
      </c>
      <c r="B34">
        <f>_xlfn.LET(_xlpm.c,_xlfn.SINGLE(Table1[condition]),IF(RIGHT(_xlpm.c,2)="1g",1,0))</f>
        <v>0</v>
      </c>
      <c r="C34">
        <f>_xlfn.LET(_xlpm.c,_xlfn.SINGLE(Table1[condition]),_xlpm.k,CONCATENATE("*-",C$1,"*"),IF(COUNTIF(_xlpm.c,_xlpm.k)&gt;0,1,0))</f>
        <v>0</v>
      </c>
      <c r="D34">
        <f>_xlfn.LET(_xlpm.c,_xlfn.SINGLE(Table1[condition]),_xlpm.k,CONCATENATE("*-",D$1,"*"),IF(COUNTIF(_xlpm.c,_xlpm.k)&gt;0,1,0))</f>
        <v>1</v>
      </c>
      <c r="E34">
        <f>IF(AND(Table1[xsk]=1,Table1[sk]=1),0,1)</f>
        <v>1</v>
      </c>
      <c r="F34" t="s">
        <v>35</v>
      </c>
      <c r="G34" s="1">
        <v>0.99887635768029004</v>
      </c>
      <c r="H34" s="1">
        <v>1</v>
      </c>
      <c r="I34" s="1">
        <v>0.83378553865830796</v>
      </c>
      <c r="J34" s="1">
        <v>0.96291234147087501</v>
      </c>
      <c r="K34" s="1">
        <v>0.97603108566307795</v>
      </c>
      <c r="L34" s="1">
        <v>0.96081288261853903</v>
      </c>
      <c r="M34" s="1">
        <v>0.96124287029779398</v>
      </c>
      <c r="N34" s="1">
        <v>0.99079676656896698</v>
      </c>
      <c r="O34" s="1">
        <v>0.76537013801756504</v>
      </c>
      <c r="P34" s="1">
        <v>0.874525767995047</v>
      </c>
      <c r="Q34" s="1">
        <v>1</v>
      </c>
      <c r="R34" s="1">
        <v>0.98699542035714405</v>
      </c>
      <c r="S34" s="1">
        <v>0.95323125862541103</v>
      </c>
      <c r="T34" s="1">
        <f t="shared" si="0"/>
        <v>0.94342926368869362</v>
      </c>
    </row>
    <row r="35" spans="1:20" ht="30" customHeight="1">
      <c r="A35" t="str">
        <f t="shared" si="1"/>
        <v>russian</v>
      </c>
      <c r="B35">
        <f>_xlfn.LET(_xlpm.c,_xlfn.SINGLE(Table1[condition]),IF(RIGHT(_xlpm.c,2)="1g",1,0))</f>
        <v>0</v>
      </c>
      <c r="C35">
        <f>_xlfn.LET(_xlpm.c,_xlfn.SINGLE(Table1[condition]),_xlpm.k,CONCATENATE("*-",C$1,"*"),IF(COUNTIF(_xlpm.c,_xlpm.k)&gt;0,1,0))</f>
        <v>1</v>
      </c>
      <c r="D35">
        <f>_xlfn.LET(_xlpm.c,_xlfn.SINGLE(Table1[condition]),_xlpm.k,CONCATENATE("*-",D$1,"*"),IF(COUNTIF(_xlpm.c,_xlpm.k)&gt;0,1,0))</f>
        <v>0</v>
      </c>
      <c r="E35">
        <f>IF(AND(Table1[xsk]=1,Table1[sk]=1),0,1)</f>
        <v>1</v>
      </c>
      <c r="F35" t="s">
        <v>54</v>
      </c>
      <c r="G35" s="1">
        <v>0.99342853591904501</v>
      </c>
      <c r="H35" s="1">
        <v>1</v>
      </c>
      <c r="I35" s="1">
        <v>0.993434670264009</v>
      </c>
      <c r="J35" s="1">
        <v>0.98738080663680305</v>
      </c>
      <c r="K35" s="1">
        <v>1</v>
      </c>
      <c r="L35" s="1">
        <v>0.95418538890390503</v>
      </c>
      <c r="M35" s="1">
        <v>0.99474928469983903</v>
      </c>
      <c r="N35" s="1">
        <v>0.99914310029299702</v>
      </c>
      <c r="O35" s="1">
        <v>0.99142514007941596</v>
      </c>
      <c r="P35" s="1">
        <v>1</v>
      </c>
      <c r="Q35" s="1">
        <v>0.70931088021547295</v>
      </c>
      <c r="R35" s="1">
        <v>0.91084883693547603</v>
      </c>
      <c r="S35" s="1">
        <v>0.98066676307966605</v>
      </c>
      <c r="T35" s="1">
        <f t="shared" si="0"/>
        <v>0.96265949284820218</v>
      </c>
    </row>
    <row r="36" spans="1:20" ht="30" customHeight="1">
      <c r="A36" t="str">
        <f t="shared" si="1"/>
        <v>russian</v>
      </c>
      <c r="B36">
        <f>_xlfn.LET(_xlpm.c,_xlfn.SINGLE(Table1[condition]),IF(RIGHT(_xlpm.c,2)="1g",1,0))</f>
        <v>0</v>
      </c>
      <c r="C36">
        <f>_xlfn.LET(_xlpm.c,_xlfn.SINGLE(Table1[condition]),_xlpm.k,CONCATENATE("*-",C$1,"*"),IF(COUNTIF(_xlpm.c,_xlpm.k)&gt;0,1,0))</f>
        <v>1</v>
      </c>
      <c r="D36">
        <f>_xlfn.LET(_xlpm.c,_xlfn.SINGLE(Table1[condition]),_xlpm.k,CONCATENATE("*-",D$1,"*"),IF(COUNTIF(_xlpm.c,_xlpm.k)&gt;0,1,0))</f>
        <v>0</v>
      </c>
      <c r="E36">
        <f>IF(AND(Table1[xsk]=1,Table1[sk]=1),0,1)</f>
        <v>1</v>
      </c>
      <c r="F36" t="s">
        <v>55</v>
      </c>
      <c r="G36" s="1">
        <v>0.99755213478707105</v>
      </c>
      <c r="H36" s="1">
        <v>0.99764123387563597</v>
      </c>
      <c r="I36" s="1">
        <v>0.90070345878192204</v>
      </c>
      <c r="J36" s="1">
        <v>0.99257184850404601</v>
      </c>
      <c r="K36" s="1">
        <v>0.95120050615984497</v>
      </c>
      <c r="L36" s="1">
        <v>0.97674196553877002</v>
      </c>
      <c r="M36" s="1">
        <v>0.98343574623886998</v>
      </c>
      <c r="N36" s="1">
        <v>1</v>
      </c>
      <c r="O36" s="1">
        <v>0.96531440513270195</v>
      </c>
      <c r="P36" s="1">
        <v>0.94994107004433803</v>
      </c>
      <c r="Q36" s="1">
        <v>0.86189486637439605</v>
      </c>
      <c r="R36" s="1">
        <v>0.94239564677933996</v>
      </c>
      <c r="S36" s="1">
        <v>0.83590330143898195</v>
      </c>
      <c r="T36" s="1">
        <f t="shared" si="0"/>
        <v>0.95040739874276292</v>
      </c>
    </row>
    <row r="38" spans="1:20" ht="30" customHeight="1">
      <c r="F38" t="s">
        <v>59</v>
      </c>
    </row>
    <row r="39" spans="1:20" ht="30" customHeight="1">
      <c r="F39" t="s">
        <v>37</v>
      </c>
      <c r="G39" s="2">
        <f>_xlfn.LET(_xlpm.d,G$2:G$36,AVERAGE(_xlpm.d))</f>
        <v>0.85865840302605534</v>
      </c>
      <c r="H39" s="2">
        <f>_xlfn.LET(_xlpm.d,H$2:H$36,AVERAGE(_xlpm.d))</f>
        <v>0.83513862911928805</v>
      </c>
      <c r="I39" s="2">
        <f>_xlfn.LET(_xlpm.d,I$2:I$36,AVERAGE(_xlpm.d))</f>
        <v>0.81458096957150128</v>
      </c>
      <c r="J39" s="2">
        <f>_xlfn.LET(_xlpm.d,J$2:J$36,AVERAGE(_xlpm.d))</f>
        <v>0.78114658063951659</v>
      </c>
      <c r="K39" s="2">
        <f>_xlfn.LET(_xlpm.d,K$2:K$36,AVERAGE(_xlpm.d))</f>
        <v>0.79107897805628657</v>
      </c>
      <c r="L39" s="2">
        <f>_xlfn.LET(_xlpm.d,L$2:L$36,AVERAGE(_xlpm.d))</f>
        <v>0.77312501258457844</v>
      </c>
      <c r="M39" s="2">
        <f>_xlfn.LET(_xlpm.d,M$2:M$36,AVERAGE(_xlpm.d))</f>
        <v>0.75079325932619634</v>
      </c>
      <c r="N39" s="2">
        <f t="shared" ref="N39:S39" si="4">_xlfn.LET(_xlpm.d,N$2:N$36,AVERAGE(_xlpm.d))</f>
        <v>0.720615025538896</v>
      </c>
      <c r="O39" s="2">
        <f t="shared" si="4"/>
        <v>0.71212685702601042</v>
      </c>
      <c r="P39" s="2">
        <f t="shared" si="4"/>
        <v>0.70872284116744289</v>
      </c>
      <c r="Q39" s="2">
        <f t="shared" si="4"/>
        <v>0.71696466222743527</v>
      </c>
      <c r="R39" s="2">
        <f t="shared" si="4"/>
        <v>0.71032676174615894</v>
      </c>
      <c r="S39" s="2">
        <f t="shared" si="4"/>
        <v>0.69634357016759385</v>
      </c>
      <c r="T39" s="2">
        <f>_xlfn.LET(_xlpm.d,T$2:T$36,AVERAGE(_xlpm.d))</f>
        <v>0.75920165770745829</v>
      </c>
    </row>
    <row r="40" spans="1:20" ht="30" customHeight="1">
      <c r="F40" t="s">
        <v>38</v>
      </c>
      <c r="G40" s="2" cm="1">
        <f t="array" ref="G40">_xlfn.LET(_xlpm.d,G$2:G$36,_xlpm.f,$A$2:$A$36,_xlpm.k,$F40,AVERAGE(_xlfn._xlws.FILTER(_xlpm.d,_xlpm.f=_xlpm.k)))</f>
        <v>0.99990450316095747</v>
      </c>
      <c r="H40" s="2" cm="1">
        <f t="array" ref="H40">_xlfn.LET(_xlpm.d,H$2:H$36,_xlpm.f,$A$2:$A$36,_xlpm.k,$F40,AVERAGE(_xlfn._xlws.FILTER(_xlpm.d,_xlpm.f=_xlpm.k)))</f>
        <v>0.99603909064119889</v>
      </c>
      <c r="I40" s="2" cm="1">
        <f t="array" ref="I40">_xlfn.LET(_xlpm.d,I$2:I$36,_xlpm.f,$A$2:$A$36,_xlpm.k,$F40,AVERAGE(_xlfn._xlws.FILTER(_xlpm.d,_xlpm.f=_xlpm.k)))</f>
        <v>0.99947070579897035</v>
      </c>
      <c r="J40" s="2" cm="1">
        <f t="array" ref="J40">_xlfn.LET(_xlpm.d,J$2:J$36,_xlpm.f,$A$2:$A$36,_xlpm.k,$F40,AVERAGE(_xlfn._xlws.FILTER(_xlpm.d,_xlpm.f=_xlpm.k)))</f>
        <v>0.99640531421329082</v>
      </c>
      <c r="K40" s="2" cm="1">
        <f t="array" ref="K40">_xlfn.LET(_xlpm.d,K$2:K$36,_xlpm.f,$A$2:$A$36,_xlpm.k,$F40,AVERAGE(_xlfn._xlws.FILTER(_xlpm.d,_xlpm.f=_xlpm.k)))</f>
        <v>0.99766252854214765</v>
      </c>
      <c r="L40" s="2" cm="1">
        <f t="array" ref="L40">_xlfn.LET(_xlpm.d,L$2:L$36,_xlpm.f,$A$2:$A$36,_xlpm.k,$F40,AVERAGE(_xlfn._xlws.FILTER(_xlpm.d,_xlpm.f=_xlpm.k)))</f>
        <v>0.99983559872202832</v>
      </c>
      <c r="M40" s="2" cm="1">
        <f t="array" ref="M40">_xlfn.LET(_xlpm.d,M$2:M$36,_xlpm.f,$A$2:$A$36,_xlpm.k,$F40,AVERAGE(_xlfn._xlws.FILTER(_xlpm.d,_xlpm.f=_xlpm.k)))</f>
        <v>0.99993602405334825</v>
      </c>
      <c r="N40" s="2" cm="1">
        <f t="array" ref="N40">_xlfn.LET(_xlpm.d,N$2:N$36,_xlpm.f,$A$2:$A$36,_xlpm.k,$F40,AVERAGE(_xlfn._xlws.FILTER(_xlpm.d,_xlpm.f=_xlpm.k)))</f>
        <v>1</v>
      </c>
      <c r="O40" s="2" cm="1">
        <f t="array" ref="O40">_xlfn.LET(_xlpm.d,O$2:O$36,_xlpm.f,$A$2:$A$36,_xlpm.k,$F40,AVERAGE(_xlfn._xlws.FILTER(_xlpm.d,_xlpm.f=_xlpm.k)))</f>
        <v>0.99805057778325135</v>
      </c>
      <c r="P40" s="2" cm="1">
        <f t="array" ref="P40">_xlfn.LET(_xlpm.d,P$2:P$36,_xlpm.f,$A$2:$A$36,_xlpm.k,$F40,AVERAGE(_xlfn._xlws.FILTER(_xlpm.d,_xlpm.f=_xlpm.k)))</f>
        <v>0.99681276397095042</v>
      </c>
      <c r="Q40" s="2" cm="1">
        <f t="array" ref="Q40">_xlfn.LET(_xlpm.d,Q$2:Q$36,_xlpm.f,$A$2:$A$36,_xlpm.k,$F40,AVERAGE(_xlfn._xlws.FILTER(_xlpm.d,_xlpm.f=_xlpm.k)))</f>
        <v>0.98462839540384794</v>
      </c>
      <c r="R40" s="2" cm="1">
        <f t="array" ref="R40">_xlfn.LET(_xlpm.d,R$2:R$36,_xlpm.f,$A$2:$A$36,_xlpm.k,$F40,AVERAGE(_xlfn._xlws.FILTER(_xlpm.d,_xlpm.f=_xlpm.k)))</f>
        <v>1</v>
      </c>
      <c r="S40" s="2" cm="1">
        <f t="array" ref="S40">_xlfn.LET(_xlpm.d,S$2:S$36,_xlpm.f,$A$2:$A$36,_xlpm.k,$F40,AVERAGE(_xlfn._xlws.FILTER(_xlpm.d,_xlpm.f=_xlpm.k)))</f>
        <v>0.96389223614638098</v>
      </c>
      <c r="T40" s="2" cm="1">
        <f t="array" ref="T40">_xlfn.LET(_xlpm.d,T$2:T$36,_xlpm.f,$A$2:$A$36,_xlpm.k,$F40,AVERAGE(_xlfn._xlws.FILTER(_xlpm.d,_xlpm.f=_xlpm.k)))</f>
        <v>0.99481828757202861</v>
      </c>
    </row>
    <row r="41" spans="1:20" ht="30" customHeight="1">
      <c r="F41" t="s">
        <v>39</v>
      </c>
      <c r="G41" s="2" cm="1">
        <f t="array" ref="G41">_xlfn.LET(_xlpm.d,G$2:G$36,_xlpm.f,$A$2:$A$36,_xlpm.k,$F41,AVERAGE(_xlfn._xlws.FILTER(_xlpm.d,_xlpm.f=_xlpm.k)))</f>
        <v>0.84270313402743768</v>
      </c>
      <c r="H41" s="2" cm="1">
        <f t="array" ref="H41">_xlfn.LET(_xlpm.d,H$2:H$36,_xlpm.f,$A$2:$A$36,_xlpm.k,$F41,AVERAGE(_xlfn._xlws.FILTER(_xlpm.d,_xlpm.f=_xlpm.k)))</f>
        <v>0.80744856046699087</v>
      </c>
      <c r="I41" s="2" cm="1">
        <f t="array" ref="I41">_xlfn.LET(_xlpm.d,I$2:I$36,_xlpm.f,$A$2:$A$36,_xlpm.k,$F41,AVERAGE(_xlfn._xlws.FILTER(_xlpm.d,_xlpm.f=_xlpm.k)))</f>
        <v>0.75813665177266543</v>
      </c>
      <c r="J41" s="2" cm="1">
        <f t="array" ref="J41">_xlfn.LET(_xlpm.d,J$2:J$36,_xlpm.f,$A$2:$A$36,_xlpm.k,$F41,AVERAGE(_xlfn._xlws.FILTER(_xlpm.d,_xlpm.f=_xlpm.k)))</f>
        <v>0.75760015377432111</v>
      </c>
      <c r="K41" s="2" cm="1">
        <f t="array" ref="K41">_xlfn.LET(_xlpm.d,K$2:K$36,_xlpm.f,$A$2:$A$36,_xlpm.k,$F41,AVERAGE(_xlfn._xlws.FILTER(_xlpm.d,_xlpm.f=_xlpm.k)))</f>
        <v>0.73852087497805396</v>
      </c>
      <c r="L41" s="2" cm="1">
        <f t="array" ref="L41">_xlfn.LET(_xlpm.d,L$2:L$36,_xlpm.f,$A$2:$A$36,_xlpm.k,$F41,AVERAGE(_xlfn._xlws.FILTER(_xlpm.d,_xlpm.f=_xlpm.k)))</f>
        <v>0.6775798210859687</v>
      </c>
      <c r="M41" s="2" cm="1">
        <f t="array" ref="M41">_xlfn.LET(_xlpm.d,M$2:M$36,_xlpm.f,$A$2:$A$36,_xlpm.k,$F41,AVERAGE(_xlfn._xlws.FILTER(_xlpm.d,_xlpm.f=_xlpm.k)))</f>
        <v>0.68913448577546077</v>
      </c>
      <c r="N41" s="2" cm="1">
        <f t="array" ref="N41">_xlfn.LET(_xlpm.d,N$2:N$36,_xlpm.f,$A$2:$A$36,_xlpm.k,$F41,AVERAGE(_xlfn._xlws.FILTER(_xlpm.d,_xlpm.f=_xlpm.k)))</f>
        <v>0.62170214370173849</v>
      </c>
      <c r="O41" s="2" cm="1">
        <f t="array" ref="O41">_xlfn.LET(_xlpm.d,O$2:O$36,_xlpm.f,$A$2:$A$36,_xlpm.k,$F41,AVERAGE(_xlfn._xlws.FILTER(_xlpm.d,_xlpm.f=_xlpm.k)))</f>
        <v>0.5666347023880054</v>
      </c>
      <c r="P41" s="2" cm="1">
        <f t="array" ref="P41">_xlfn.LET(_xlpm.d,P$2:P$36,_xlpm.f,$A$2:$A$36,_xlpm.k,$F41,AVERAGE(_xlfn._xlws.FILTER(_xlpm.d,_xlpm.f=_xlpm.k)))</f>
        <v>0.59694531705819531</v>
      </c>
      <c r="Q41" s="2" cm="1">
        <f t="array" ref="Q41">_xlfn.LET(_xlpm.d,Q$2:Q$36,_xlpm.f,$A$2:$A$36,_xlpm.k,$F41,AVERAGE(_xlfn._xlws.FILTER(_xlpm.d,_xlpm.f=_xlpm.k)))</f>
        <v>0.62332675431887752</v>
      </c>
      <c r="R41" s="2" cm="1">
        <f t="array" ref="R41">_xlfn.LET(_xlpm.d,R$2:R$36,_xlpm.f,$A$2:$A$36,_xlpm.k,$F41,AVERAGE(_xlfn._xlws.FILTER(_xlpm.d,_xlpm.f=_xlpm.k)))</f>
        <v>0.5995565520709818</v>
      </c>
      <c r="S41" s="2" cm="1">
        <f t="array" ref="S41">_xlfn.LET(_xlpm.d,S$2:S$36,_xlpm.f,$A$2:$A$36,_xlpm.k,$F41,AVERAGE(_xlfn._xlws.FILTER(_xlpm.d,_xlpm.f=_xlpm.k)))</f>
        <v>0.6037500915152626</v>
      </c>
      <c r="T41" s="2" cm="1">
        <f t="array" ref="T41">_xlfn.LET(_xlpm.d,T$2:T$36,_xlpm.f,$A$2:$A$36,_xlpm.k,$F41,AVERAGE(_xlfn._xlws.FILTER(_xlpm.d,_xlpm.f=_xlpm.k)))</f>
        <v>0.68331071099492002</v>
      </c>
    </row>
    <row r="42" spans="1:20" ht="30" customHeight="1">
      <c r="F42" t="s">
        <v>40</v>
      </c>
      <c r="G42" s="2" cm="1">
        <f t="array" ref="G42">_xlfn.LET(_xlpm.d,G$2:G$36,_xlpm.f,$A$2:$A$36,_xlpm.k,$F42,AVERAGE(_xlfn._xlws.FILTER(_xlpm.d,_xlpm.f=_xlpm.k)))</f>
        <v>0.69814704929758697</v>
      </c>
      <c r="H42" s="2" cm="1">
        <f t="array" ref="H42">_xlfn.LET(_xlpm.d,H$2:H$36,_xlpm.f,$A$2:$A$36,_xlpm.k,$F42,AVERAGE(_xlfn._xlws.FILTER(_xlpm.d,_xlpm.f=_xlpm.k)))</f>
        <v>0.65580361094388184</v>
      </c>
      <c r="I42" s="2" cm="1">
        <f t="array" ref="I42">_xlfn.LET(_xlpm.d,I$2:I$36,_xlpm.f,$A$2:$A$36,_xlpm.k,$F42,AVERAGE(_xlfn._xlws.FILTER(_xlpm.d,_xlpm.f=_xlpm.k)))</f>
        <v>0.67260612012547794</v>
      </c>
      <c r="J42" s="2" cm="1">
        <f t="array" ref="J42">_xlfn.LET(_xlpm.d,J$2:J$36,_xlpm.f,$A$2:$A$36,_xlpm.k,$F42,AVERAGE(_xlfn._xlws.FILTER(_xlpm.d,_xlpm.f=_xlpm.k)))</f>
        <v>0.5463211221271469</v>
      </c>
      <c r="K42" s="2" cm="1">
        <f t="array" ref="K42">_xlfn.LET(_xlpm.d,K$2:K$36,_xlpm.f,$A$2:$A$36,_xlpm.k,$F42,AVERAGE(_xlfn._xlws.FILTER(_xlpm.d,_xlpm.f=_xlpm.k)))</f>
        <v>0.544701912164266</v>
      </c>
      <c r="L42" s="2" cm="1">
        <f t="array" ref="L42">_xlfn.LET(_xlpm.d,L$2:L$36,_xlpm.f,$A$2:$A$36,_xlpm.k,$F42,AVERAGE(_xlfn._xlws.FILTER(_xlpm.d,_xlpm.f=_xlpm.k)))</f>
        <v>0.58118217395033933</v>
      </c>
      <c r="M42" s="2" cm="1">
        <f t="array" ref="M42">_xlfn.LET(_xlpm.d,M$2:M$36,_xlpm.f,$A$2:$A$36,_xlpm.k,$F42,AVERAGE(_xlfn._xlws.FILTER(_xlpm.d,_xlpm.f=_xlpm.k)))</f>
        <v>0.52486860502650601</v>
      </c>
      <c r="N42" s="2" cm="1">
        <f t="array" ref="N42">_xlfn.LET(_xlpm.d,N$2:N$36,_xlpm.f,$A$2:$A$36,_xlpm.k,$F42,AVERAGE(_xlfn._xlws.FILTER(_xlpm.d,_xlpm.f=_xlpm.k)))</f>
        <v>0.47442554530926334</v>
      </c>
      <c r="O42" s="2" cm="1">
        <f t="array" ref="O42">_xlfn.LET(_xlpm.d,O$2:O$36,_xlpm.f,$A$2:$A$36,_xlpm.k,$F42,AVERAGE(_xlfn._xlws.FILTER(_xlpm.d,_xlpm.f=_xlpm.k)))</f>
        <v>0.5361801535403965</v>
      </c>
      <c r="P42" s="2" cm="1">
        <f t="array" ref="P42">_xlfn.LET(_xlpm.d,P$2:P$36,_xlpm.f,$A$2:$A$36,_xlpm.k,$F42,AVERAGE(_xlfn._xlws.FILTER(_xlpm.d,_xlpm.f=_xlpm.k)))</f>
        <v>0.45070168683801676</v>
      </c>
      <c r="Q42" s="2" cm="1">
        <f t="array" ref="Q42">_xlfn.LET(_xlpm.d,Q$2:Q$36,_xlpm.f,$A$2:$A$36,_xlpm.k,$F42,AVERAGE(_xlfn._xlws.FILTER(_xlpm.d,_xlpm.f=_xlpm.k)))</f>
        <v>0.55706199938009981</v>
      </c>
      <c r="R42" s="2" cm="1">
        <f t="array" ref="R42">_xlfn.LET(_xlpm.d,R$2:R$36,_xlpm.f,$A$2:$A$36,_xlpm.k,$F42,AVERAGE(_xlfn._xlws.FILTER(_xlpm.d,_xlpm.f=_xlpm.k)))</f>
        <v>0.47182778156700655</v>
      </c>
      <c r="S42" s="2" cm="1">
        <f t="array" ref="S42">_xlfn.LET(_xlpm.d,S$2:S$36,_xlpm.f,$A$2:$A$36,_xlpm.k,$F42,AVERAGE(_xlfn._xlws.FILTER(_xlpm.d,_xlpm.f=_xlpm.k)))</f>
        <v>0.46012114757629946</v>
      </c>
      <c r="T42" s="2" cm="1">
        <f t="array" ref="T42">_xlfn.LET(_xlpm.d,T$2:T$36,_xlpm.f,$A$2:$A$36,_xlpm.k,$F42,AVERAGE(_xlfn._xlws.FILTER(_xlpm.d,_xlpm.f=_xlpm.k)))</f>
        <v>0.55184222368048375</v>
      </c>
    </row>
    <row r="43" spans="1:20" ht="30" customHeight="1">
      <c r="F43" t="s">
        <v>41</v>
      </c>
      <c r="G43" s="2" cm="1">
        <f t="array" ref="G43">_xlfn.LET(_xlpm.d,G$2:G$36,_xlpm.f,$A$2:$A$36,_xlpm.k,$F43,AVERAGE(_xlfn._xlws.FILTER(_xlpm.d,_xlpm.f=_xlpm.k)))</f>
        <v>0.75398632458909332</v>
      </c>
      <c r="H43" s="2" cm="1">
        <f t="array" ref="H43">_xlfn.LET(_xlpm.d,H$2:H$36,_xlpm.f,$A$2:$A$36,_xlpm.k,$F43,AVERAGE(_xlfn._xlws.FILTER(_xlpm.d,_xlpm.f=_xlpm.k)))</f>
        <v>0.71673885013356353</v>
      </c>
      <c r="I43" s="2" cm="1">
        <f t="array" ref="I43">_xlfn.LET(_xlpm.d,I$2:I$36,_xlpm.f,$A$2:$A$36,_xlpm.k,$F43,AVERAGE(_xlfn._xlws.FILTER(_xlpm.d,_xlpm.f=_xlpm.k)))</f>
        <v>0.68155941763121486</v>
      </c>
      <c r="J43" s="2" cm="1">
        <f t="array" ref="J43">_xlfn.LET(_xlpm.d,J$2:J$36,_xlpm.f,$A$2:$A$36,_xlpm.k,$F43,AVERAGE(_xlfn._xlws.FILTER(_xlpm.d,_xlpm.f=_xlpm.k)))</f>
        <v>0.61356845642400581</v>
      </c>
      <c r="K43" s="2" cm="1">
        <f t="array" ref="K43">_xlfn.LET(_xlpm.d,K$2:K$36,_xlpm.f,$A$2:$A$36,_xlpm.k,$F43,AVERAGE(_xlfn._xlws.FILTER(_xlpm.d,_xlpm.f=_xlpm.k)))</f>
        <v>0.68490506147940466</v>
      </c>
      <c r="L43" s="2" cm="1">
        <f t="array" ref="L43">_xlfn.LET(_xlpm.d,L$2:L$36,_xlpm.f,$A$2:$A$36,_xlpm.k,$F43,AVERAGE(_xlfn._xlws.FILTER(_xlpm.d,_xlpm.f=_xlpm.k)))</f>
        <v>0.62249314958438173</v>
      </c>
      <c r="M43" s="2" cm="1">
        <f t="array" ref="M43">_xlfn.LET(_xlpm.d,M$2:M$36,_xlpm.f,$A$2:$A$36,_xlpm.k,$F43,AVERAGE(_xlfn._xlws.FILTER(_xlpm.d,_xlpm.f=_xlpm.k)))</f>
        <v>0.54868033874188027</v>
      </c>
      <c r="N43" s="2" cm="1">
        <f t="array" ref="N43">_xlfn.LET(_xlpm.d,N$2:N$36,_xlpm.f,$A$2:$A$36,_xlpm.k,$F43,AVERAGE(_xlfn._xlws.FILTER(_xlpm.d,_xlpm.f=_xlpm.k)))</f>
        <v>0.51276090676026331</v>
      </c>
      <c r="O43" s="2" cm="1">
        <f t="array" ref="O43">_xlfn.LET(_xlpm.d,O$2:O$36,_xlpm.f,$A$2:$A$36,_xlpm.k,$F43,AVERAGE(_xlfn._xlws.FILTER(_xlpm.d,_xlpm.f=_xlpm.k)))</f>
        <v>0.4997936457972057</v>
      </c>
      <c r="P43" s="2" cm="1">
        <f t="array" ref="P43">_xlfn.LET(_xlpm.d,P$2:P$36,_xlpm.f,$A$2:$A$36,_xlpm.k,$F43,AVERAGE(_xlfn._xlws.FILTER(_xlpm.d,_xlpm.f=_xlpm.k)))</f>
        <v>0.52423060396442689</v>
      </c>
      <c r="Q43" s="2" cm="1">
        <f t="array" ref="Q43">_xlfn.LET(_xlpm.d,Q$2:Q$36,_xlpm.f,$A$2:$A$36,_xlpm.k,$F43,AVERAGE(_xlfn._xlws.FILTER(_xlpm.d,_xlpm.f=_xlpm.k)))</f>
        <v>0.48106248395008461</v>
      </c>
      <c r="R43" s="2" cm="1">
        <f t="array" ref="R43">_xlfn.LET(_xlpm.d,R$2:R$36,_xlpm.f,$A$2:$A$36,_xlpm.k,$F43,AVERAGE(_xlfn._xlws.FILTER(_xlpm.d,_xlpm.f=_xlpm.k)))</f>
        <v>0.50307234593966976</v>
      </c>
      <c r="S43" s="2" cm="1">
        <f t="array" ref="S43">_xlfn.LET(_xlpm.d,S$2:S$36,_xlpm.f,$A$2:$A$36,_xlpm.k,$F43,AVERAGE(_xlfn._xlws.FILTER(_xlpm.d,_xlpm.f=_xlpm.k)))</f>
        <v>0.48683990086516099</v>
      </c>
      <c r="T43" s="2" cm="1">
        <f t="array" ref="T43">_xlfn.LET(_xlpm.d,T$2:T$36,_xlpm.f,$A$2:$A$36,_xlpm.k,$F43,AVERAGE(_xlfn._xlws.FILTER(_xlpm.d,_xlpm.f=_xlpm.k)))</f>
        <v>0.58689934506618113</v>
      </c>
    </row>
    <row r="44" spans="1:20" ht="30" customHeight="1">
      <c r="F44" t="s">
        <v>42</v>
      </c>
      <c r="G44" s="2" cm="1">
        <f t="array" ref="G44">_xlfn.LET(_xlpm.d,G$2:G$36,_xlpm.f,$A$2:$A$36,_xlpm.k,$F44,AVERAGE(_xlfn._xlws.FILTER(_xlpm.d,_xlpm.f=_xlpm.k)))</f>
        <v>0.99855100405520081</v>
      </c>
      <c r="H44" s="2" cm="1">
        <f t="array" ref="H44">_xlfn.LET(_xlpm.d,H$2:H$36,_xlpm.f,$A$2:$A$36,_xlpm.k,$F44,AVERAGE(_xlfn._xlws.FILTER(_xlpm.d,_xlpm.f=_xlpm.k)))</f>
        <v>0.99966303341080509</v>
      </c>
      <c r="I44" s="2" cm="1">
        <f t="array" ref="I44">_xlfn.LET(_xlpm.d,I$2:I$36,_xlpm.f,$A$2:$A$36,_xlpm.k,$F44,AVERAGE(_xlfn._xlws.FILTER(_xlpm.d,_xlpm.f=_xlpm.k)))</f>
        <v>0.96113195252917705</v>
      </c>
      <c r="J44" s="2" cm="1">
        <f t="array" ref="J44">_xlfn.LET(_xlpm.d,J$2:J$36,_xlpm.f,$A$2:$A$36,_xlpm.k,$F44,AVERAGE(_xlfn._xlws.FILTER(_xlpm.d,_xlpm.f=_xlpm.k)))</f>
        <v>0.99183785665881763</v>
      </c>
      <c r="K44" s="2" cm="1">
        <f t="array" ref="K44">_xlfn.LET(_xlpm.d,K$2:K$36,_xlpm.f,$A$2:$A$36,_xlpm.k,$F44,AVERAGE(_xlfn._xlws.FILTER(_xlpm.d,_xlpm.f=_xlpm.k)))</f>
        <v>0.98960451311756048</v>
      </c>
      <c r="L44" s="2" cm="1">
        <f t="array" ref="L44">_xlfn.LET(_xlpm.d,L$2:L$36,_xlpm.f,$A$2:$A$36,_xlpm.k,$F44,AVERAGE(_xlfn._xlws.FILTER(_xlpm.d,_xlpm.f=_xlpm.k)))</f>
        <v>0.98453431958017357</v>
      </c>
      <c r="M44" s="2" cm="1">
        <f t="array" ref="M44">_xlfn.LET(_xlpm.d,M$2:M$36,_xlpm.f,$A$2:$A$36,_xlpm.k,$F44,AVERAGE(_xlfn._xlws.FILTER(_xlpm.d,_xlpm.f=_xlpm.k)))</f>
        <v>0.99134684303378617</v>
      </c>
      <c r="N44" s="2" cm="1">
        <f t="array" ref="N44">_xlfn.LET(_xlpm.d,N$2:N$36,_xlpm.f,$A$2:$A$36,_xlpm.k,$F44,AVERAGE(_xlfn._xlws.FILTER(_xlpm.d,_xlpm.f=_xlpm.k)))</f>
        <v>0.99418653192321549</v>
      </c>
      <c r="O44" s="2" cm="1">
        <f t="array" ref="O44">_xlfn.LET(_xlpm.d,O$2:O$36,_xlpm.f,$A$2:$A$36,_xlpm.k,$F44,AVERAGE(_xlfn._xlws.FILTER(_xlpm.d,_xlpm.f=_xlpm.k)))</f>
        <v>0.95997520562119376</v>
      </c>
      <c r="P44" s="2" cm="1">
        <f t="array" ref="P44">_xlfn.LET(_xlpm.d,P$2:P$36,_xlpm.f,$A$2:$A$36,_xlpm.k,$F44,AVERAGE(_xlfn._xlws.FILTER(_xlpm.d,_xlpm.f=_xlpm.k)))</f>
        <v>0.97492383400562654</v>
      </c>
      <c r="Q44" s="2" cm="1">
        <f t="array" ref="Q44">_xlfn.LET(_xlpm.d,Q$2:Q$36,_xlpm.f,$A$2:$A$36,_xlpm.k,$F44,AVERAGE(_xlfn._xlws.FILTER(_xlpm.d,_xlpm.f=_xlpm.k)))</f>
        <v>0.93874367808426695</v>
      </c>
      <c r="R44" s="2" cm="1">
        <f t="array" ref="R44">_xlfn.LET(_xlpm.d,R$2:R$36,_xlpm.f,$A$2:$A$36,_xlpm.k,$F44,AVERAGE(_xlfn._xlws.FILTER(_xlpm.d,_xlpm.f=_xlpm.k)))</f>
        <v>0.97717712915313715</v>
      </c>
      <c r="S44" s="2" cm="1">
        <f t="array" ref="S44">_xlfn.LET(_xlpm.d,S$2:S$36,_xlpm.f,$A$2:$A$36,_xlpm.k,$F44,AVERAGE(_xlfn._xlws.FILTER(_xlpm.d,_xlpm.f=_xlpm.k)))</f>
        <v>0.96711447473486578</v>
      </c>
      <c r="T44" s="2" cm="1">
        <f t="array" ref="T44">_xlfn.LET(_xlpm.d,T$2:T$36,_xlpm.f,$A$2:$A$36,_xlpm.k,$F44,AVERAGE(_xlfn._xlws.FILTER(_xlpm.d,_xlpm.f=_xlpm.k)))</f>
        <v>0.9791377212236787</v>
      </c>
    </row>
    <row r="46" spans="1:20" ht="30" customHeight="1">
      <c r="F46" t="s">
        <v>44</v>
      </c>
    </row>
    <row r="47" spans="1:20" ht="30" customHeight="1">
      <c r="F47" t="s">
        <v>37</v>
      </c>
      <c r="G47" s="2" cm="1">
        <f t="array" ref="G47">_xlfn.LET(_xlpm.d,G$2:G$36,_xlpm.g,$B$2:$B$36,AVERAGE(_xlfn._xlws.FILTER(_xlpm.d,(_xlpm.g=0))))</f>
        <v>0.83815531142770183</v>
      </c>
      <c r="H47" s="2" cm="1">
        <f t="array" ref="H47">_xlfn.LET(_xlpm.d,H$2:H$36,_xlpm.g,$B$2:$B$36,AVERAGE(_xlfn._xlws.FILTER(_xlpm.d,(_xlpm.g=0))))</f>
        <v>0.82048967566487396</v>
      </c>
      <c r="I47" s="2" cm="1">
        <f t="array" ref="I47">_xlfn.LET(_xlpm.d,I$2:I$36,_xlpm.g,$B$2:$B$36,AVERAGE(_xlfn._xlws.FILTER(_xlpm.d,(_xlpm.g=0))))</f>
        <v>0.80519754339915262</v>
      </c>
      <c r="J47" s="2" cm="1">
        <f t="array" ref="J47">_xlfn.LET(_xlpm.d,J$2:J$36,_xlpm.g,$B$2:$B$36,AVERAGE(_xlfn._xlws.FILTER(_xlpm.d,(_xlpm.g=0))))</f>
        <v>0.771625524282332</v>
      </c>
      <c r="K47" s="2" cm="1">
        <f t="array" ref="K47">_xlfn.LET(_xlpm.d,K$2:K$36,_xlpm.g,$B$2:$B$36,AVERAGE(_xlfn._xlws.FILTER(_xlpm.d,(_xlpm.g=0))))</f>
        <v>0.78275834857315141</v>
      </c>
      <c r="L47" s="2" cm="1">
        <f t="array" ref="L47">_xlfn.LET(_xlpm.d,L$2:L$36,_xlpm.g,$B$2:$B$36,AVERAGE(_xlfn._xlws.FILTER(_xlpm.d,(_xlpm.g=0))))</f>
        <v>0.77683894125356501</v>
      </c>
      <c r="M47" s="2" cm="1">
        <f t="array" ref="M47">_xlfn.LET(_xlpm.d,M$2:M$36,_xlpm.g,$B$2:$B$36,AVERAGE(_xlfn._xlws.FILTER(_xlpm.d,(_xlpm.g=0))))</f>
        <v>0.73541472664037832</v>
      </c>
      <c r="N47" s="2" cm="1">
        <f t="array" ref="N47">_xlfn.LET(_xlpm.d,N$2:N$36,_xlpm.g,$B$2:$B$36,AVERAGE(_xlfn._xlws.FILTER(_xlpm.d,(_xlpm.g=0))))</f>
        <v>0.73684593711822965</v>
      </c>
      <c r="O47" s="2" cm="1">
        <f t="array" ref="O47">_xlfn.LET(_xlpm.d,O$2:O$36,_xlpm.g,$B$2:$B$36,AVERAGE(_xlfn._xlws.FILTER(_xlpm.d,(_xlpm.g=0))))</f>
        <v>0.71046720579501055</v>
      </c>
      <c r="P47" s="2" cm="1">
        <f t="array" ref="P47">_xlfn.LET(_xlpm.d,P$2:P$36,_xlpm.g,$B$2:$B$36,AVERAGE(_xlfn._xlws.FILTER(_xlpm.d,(_xlpm.g=0))))</f>
        <v>0.71645131210468371</v>
      </c>
      <c r="Q47" s="2" cm="1">
        <f t="array" ref="Q47">_xlfn.LET(_xlpm.d,Q$2:Q$36,_xlpm.g,$B$2:$B$36,AVERAGE(_xlfn._xlws.FILTER(_xlpm.d,(_xlpm.g=0))))</f>
        <v>0.71277299627647228</v>
      </c>
      <c r="R47" s="2" cm="1">
        <f t="array" ref="R47">_xlfn.LET(_xlpm.d,R$2:R$36,_xlpm.g,$B$2:$B$36,AVERAGE(_xlfn._xlws.FILTER(_xlpm.d,(_xlpm.g=0))))</f>
        <v>0.70260534246634043</v>
      </c>
      <c r="S47" s="2" cm="1">
        <f t="array" ref="S47">_xlfn.LET(_xlpm.d,S$2:S$36,_xlpm.g,$B$2:$B$36,AVERAGE(_xlfn._xlws.FILTER(_xlpm.d,(_xlpm.g=0))))</f>
        <v>0.70358511348451847</v>
      </c>
      <c r="T47" s="2" cm="1">
        <f t="array" ref="T47">_xlfn.LET(_xlpm.d,T$2:T$36,_xlpm.g,$B$2:$B$36,AVERAGE(_xlfn._xlws.FILTER(_xlpm.d,(_xlpm.g=0))))</f>
        <v>0.75486215219126218</v>
      </c>
    </row>
    <row r="48" spans="1:20" ht="30" customHeight="1">
      <c r="F48" t="s">
        <v>38</v>
      </c>
      <c r="G48" s="2" cm="1">
        <f t="array" ref="G48">_xlfn.LET(_xlpm.d,G$2:G$36,_xlpm.f,$A$2:$A$36,_xlpm.g,$B$2:$B$36,_xlpm.k,$F48,AVERAGE(_xlfn._xlws.FILTER(_xlpm.d,(_xlpm.f=_xlpm.k)*(_xlpm.g=0))))</f>
        <v>0.99988858702111705</v>
      </c>
      <c r="H48" s="2" cm="1">
        <f t="array" ref="H48">_xlfn.LET(_xlpm.d,H$2:H$36,_xlpm.f,$A$2:$A$36,_xlpm.g,$B$2:$B$36,_xlpm.k,$F48,AVERAGE(_xlfn._xlws.FILTER(_xlpm.d,(_xlpm.f=_xlpm.k)*(_xlpm.g=0))))</f>
        <v>0.99537893908139863</v>
      </c>
      <c r="I48" s="2" cm="1">
        <f t="array" ref="I48">_xlfn.LET(_xlpm.d,I$2:I$36,_xlpm.f,$A$2:$A$36,_xlpm.g,$B$2:$B$36,_xlpm.k,$F48,AVERAGE(_xlfn._xlws.FILTER(_xlpm.d,(_xlpm.f=_xlpm.k)*(_xlpm.g=0))))</f>
        <v>0.99938249009879876</v>
      </c>
      <c r="J48" s="2" cm="1">
        <f t="array" ref="J48">_xlfn.LET(_xlpm.d,J$2:J$36,_xlpm.f,$A$2:$A$36,_xlpm.g,$B$2:$B$36,_xlpm.k,$F48,AVERAGE(_xlfn._xlws.FILTER(_xlpm.d,(_xlpm.f=_xlpm.k)*(_xlpm.g=0))))</f>
        <v>0.9958061999155059</v>
      </c>
      <c r="K48" s="2" cm="1">
        <f t="array" ref="K48">_xlfn.LET(_xlpm.d,K$2:K$36,_xlpm.f,$A$2:$A$36,_xlpm.g,$B$2:$B$36,_xlpm.k,$F48,AVERAGE(_xlfn._xlws.FILTER(_xlpm.d,(_xlpm.f=_xlpm.k)*(_xlpm.g=0))))</f>
        <v>0.99727294996583893</v>
      </c>
      <c r="L48" s="2" cm="1">
        <f t="array" ref="L48">_xlfn.LET(_xlpm.d,L$2:L$36,_xlpm.f,$A$2:$A$36,_xlpm.g,$B$2:$B$36,_xlpm.k,$F48,AVERAGE(_xlfn._xlws.FILTER(_xlpm.d,(_xlpm.f=_xlpm.k)*(_xlpm.g=0))))</f>
        <v>0.99980819850903302</v>
      </c>
      <c r="M48" s="2" cm="1">
        <f t="array" ref="M48">_xlfn.LET(_xlpm.d,M$2:M$36,_xlpm.f,$A$2:$A$36,_xlpm.g,$B$2:$B$36,_xlpm.k,$F48,AVERAGE(_xlfn._xlws.FILTER(_xlpm.d,(_xlpm.f=_xlpm.k)*(_xlpm.g=0))))</f>
        <v>0.99992536139557286</v>
      </c>
      <c r="N48" s="2" cm="1">
        <f t="array" ref="N48">_xlfn.LET(_xlpm.d,N$2:N$36,_xlpm.f,$A$2:$A$36,_xlpm.g,$B$2:$B$36,_xlpm.k,$F48,AVERAGE(_xlfn._xlws.FILTER(_xlpm.d,(_xlpm.f=_xlpm.k)*(_xlpm.g=0))))</f>
        <v>1</v>
      </c>
      <c r="O48" s="2" cm="1">
        <f t="array" ref="O48">_xlfn.LET(_xlpm.d,O$2:O$36,_xlpm.f,$A$2:$A$36,_xlpm.g,$B$2:$B$36,_xlpm.k,$F48,AVERAGE(_xlfn._xlws.FILTER(_xlpm.d,(_xlpm.f=_xlpm.k)*(_xlpm.g=0))))</f>
        <v>0.99772567408045987</v>
      </c>
      <c r="P48" s="2" cm="1">
        <f t="array" ref="P48">_xlfn.LET(_xlpm.d,P$2:P$36,_xlpm.f,$A$2:$A$36,_xlpm.g,$B$2:$B$36,_xlpm.k,$F48,AVERAGE(_xlfn._xlws.FILTER(_xlpm.d,(_xlpm.f=_xlpm.k)*(_xlpm.g=0))))</f>
        <v>0.99628155796610873</v>
      </c>
      <c r="Q48" s="2" cm="1">
        <f t="array" ref="Q48">_xlfn.LET(_xlpm.d,Q$2:Q$36,_xlpm.f,$A$2:$A$36,_xlpm.g,$B$2:$B$36,_xlpm.k,$F48,AVERAGE(_xlfn._xlws.FILTER(_xlpm.d,(_xlpm.f=_xlpm.k)*(_xlpm.g=0))))</f>
        <v>0.98206646130448905</v>
      </c>
      <c r="R48" s="2" cm="1">
        <f t="array" ref="R48">_xlfn.LET(_xlpm.d,R$2:R$36,_xlpm.f,$A$2:$A$36,_xlpm.g,$B$2:$B$36,_xlpm.k,$F48,AVERAGE(_xlfn._xlws.FILTER(_xlpm.d,(_xlpm.f=_xlpm.k)*(_xlpm.g=0))))</f>
        <v>1</v>
      </c>
      <c r="S48" s="2" cm="1">
        <f t="array" ref="S48">_xlfn.LET(_xlpm.d,S$2:S$36,_xlpm.f,$A$2:$A$36,_xlpm.g,$B$2:$B$36,_xlpm.k,$F48,AVERAGE(_xlfn._xlws.FILTER(_xlpm.d,(_xlpm.f=_xlpm.k)*(_xlpm.g=0))))</f>
        <v>0.95787427550411108</v>
      </c>
      <c r="T48" s="2" cm="1">
        <f t="array" ref="T48">_xlfn.LET(_xlpm.d,T$2:T$36,_xlpm.f,$A$2:$A$36,_xlpm.g,$B$2:$B$36,_xlpm.k,$F48,AVERAGE(_xlfn._xlws.FILTER(_xlpm.d,(_xlpm.f=_xlpm.k)*(_xlpm.g=0))))</f>
        <v>0.99395466883403338</v>
      </c>
    </row>
    <row r="49" spans="6:20" ht="30" customHeight="1">
      <c r="F49" t="s">
        <v>40</v>
      </c>
      <c r="G49" s="2" cm="1">
        <f t="array" ref="G49">_xlfn.LET(_xlpm.d,G$2:G$36,_xlpm.f,$A$2:$A$36,_xlpm.g,$B$2:$B$36,_xlpm.k,$F49,AVERAGE(_xlfn._xlws.FILTER(_xlpm.d,(_xlpm.f=_xlpm.k)*(_xlpm.g=0))))</f>
        <v>0.65531597126715702</v>
      </c>
      <c r="H49" s="2" cm="1">
        <f t="array" ref="H49">_xlfn.LET(_xlpm.d,H$2:H$36,_xlpm.f,$A$2:$A$36,_xlpm.g,$B$2:$B$36,_xlpm.k,$F49,AVERAGE(_xlfn._xlws.FILTER(_xlpm.d,(_xlpm.f=_xlpm.k)*(_xlpm.g=0))))</f>
        <v>0.62599618648549349</v>
      </c>
      <c r="I49" s="2" cm="1">
        <f t="array" ref="I49">_xlfn.LET(_xlpm.d,I$2:I$36,_xlpm.f,$A$2:$A$36,_xlpm.g,$B$2:$B$36,_xlpm.k,$F49,AVERAGE(_xlfn._xlws.FILTER(_xlpm.d,(_xlpm.f=_xlpm.k)*(_xlpm.g=0))))</f>
        <v>0.66570554760817313</v>
      </c>
      <c r="J49" s="2" cm="1">
        <f t="array" ref="J49">_xlfn.LET(_xlpm.d,J$2:J$36,_xlpm.f,$A$2:$A$36,_xlpm.g,$B$2:$B$36,_xlpm.k,$F49,AVERAGE(_xlfn._xlws.FILTER(_xlpm.d,(_xlpm.f=_xlpm.k)*(_xlpm.g=0))))</f>
        <v>0.53220800083955278</v>
      </c>
      <c r="K49" s="2" cm="1">
        <f t="array" ref="K49">_xlfn.LET(_xlpm.d,K$2:K$36,_xlpm.f,$A$2:$A$36,_xlpm.g,$B$2:$B$36,_xlpm.k,$F49,AVERAGE(_xlfn._xlws.FILTER(_xlpm.d,(_xlpm.f=_xlpm.k)*(_xlpm.g=0))))</f>
        <v>0.53012964885029568</v>
      </c>
      <c r="L49" s="2" cm="1">
        <f t="array" ref="L49">_xlfn.LET(_xlpm.d,L$2:L$36,_xlpm.f,$A$2:$A$36,_xlpm.g,$B$2:$B$36,_xlpm.k,$F49,AVERAGE(_xlfn._xlws.FILTER(_xlpm.d,(_xlpm.f=_xlpm.k)*(_xlpm.g=0))))</f>
        <v>0.60612187647803017</v>
      </c>
      <c r="M49" s="2" cm="1">
        <f t="array" ref="M49">_xlfn.LET(_xlpm.d,M$2:M$36,_xlpm.f,$A$2:$A$36,_xlpm.g,$B$2:$B$36,_xlpm.k,$F49,AVERAGE(_xlfn._xlws.FILTER(_xlpm.d,(_xlpm.f=_xlpm.k)*(_xlpm.g=0))))</f>
        <v>0.48748398478951266</v>
      </c>
      <c r="N49" s="2" cm="1">
        <f t="array" ref="N49">_xlfn.LET(_xlpm.d,N$2:N$36,_xlpm.f,$A$2:$A$36,_xlpm.g,$B$2:$B$36,_xlpm.k,$F49,AVERAGE(_xlfn._xlws.FILTER(_xlpm.d,(_xlpm.f=_xlpm.k)*(_xlpm.g=0))))</f>
        <v>0.50309390295902789</v>
      </c>
      <c r="O49" s="2" cm="1">
        <f t="array" ref="O49">_xlfn.LET(_xlpm.d,O$2:O$36,_xlpm.f,$A$2:$A$36,_xlpm.g,$B$2:$B$36,_xlpm.k,$F49,AVERAGE(_xlfn._xlws.FILTER(_xlpm.d,(_xlpm.f=_xlpm.k)*(_xlpm.g=0))))</f>
        <v>0.5394705708706552</v>
      </c>
      <c r="P49" s="2" cm="1">
        <f t="array" ref="P49">_xlfn.LET(_xlpm.d,P$2:P$36,_xlpm.f,$A$2:$A$36,_xlpm.g,$B$2:$B$36,_xlpm.k,$F49,AVERAGE(_xlfn._xlws.FILTER(_xlpm.d,(_xlpm.f=_xlpm.k)*(_xlpm.g=0))))</f>
        <v>0.48580169110357224</v>
      </c>
      <c r="Q49" s="2" cm="1">
        <f t="array" ref="Q49">_xlfn.LET(_xlpm.d,Q$2:Q$36,_xlpm.f,$A$2:$A$36,_xlpm.g,$B$2:$B$36,_xlpm.k,$F49,AVERAGE(_xlfn._xlws.FILTER(_xlpm.d,(_xlpm.f=_xlpm.k)*(_xlpm.g=0))))</f>
        <v>0.5444672548834667</v>
      </c>
      <c r="R49" s="2" cm="1">
        <f t="array" ref="R49">_xlfn.LET(_xlpm.d,R$2:R$36,_xlpm.f,$A$2:$A$36,_xlpm.g,$B$2:$B$36,_xlpm.k,$F49,AVERAGE(_xlfn._xlws.FILTER(_xlpm.d,(_xlpm.f=_xlpm.k)*(_xlpm.g=0))))</f>
        <v>0.45298513112608685</v>
      </c>
      <c r="S49" s="2" cm="1">
        <f t="array" ref="S49">_xlfn.LET(_xlpm.d,S$2:S$36,_xlpm.f,$A$2:$A$36,_xlpm.g,$B$2:$B$36,_xlpm.k,$F49,AVERAGE(_xlfn._xlws.FILTER(_xlpm.d,(_xlpm.f=_xlpm.k)*(_xlpm.g=0))))</f>
        <v>0.46895154507954184</v>
      </c>
      <c r="T49" s="2" cm="1">
        <f t="array" ref="T49">_xlfn.LET(_xlpm.d,T$2:T$36,_xlpm.f,$A$2:$A$36,_xlpm.g,$B$2:$B$36,_xlpm.k,$F49,AVERAGE(_xlfn._xlws.FILTER(_xlpm.d,(_xlpm.f=_xlpm.k)*(_xlpm.g=0))))</f>
        <v>0.54597933171850499</v>
      </c>
    </row>
    <row r="50" spans="6:20" ht="30" customHeight="1">
      <c r="F50" t="s">
        <v>41</v>
      </c>
      <c r="G50" s="2" cm="1">
        <f t="array" ref="G50">_xlfn.LET(_xlpm.d,G$2:G$36,_xlpm.f,$A$2:$A$36,_xlpm.g,$B$2:$B$36,_xlpm.k,$F50,AVERAGE(_xlfn._xlws.FILTER(_xlpm.d,(_xlpm.f=_xlpm.k)*(_xlpm.g=0))))</f>
        <v>0.72077550442048965</v>
      </c>
      <c r="H50" s="2" cm="1">
        <f t="array" ref="H50">_xlfn.LET(_xlpm.d,H$2:H$36,_xlpm.f,$A$2:$A$36,_xlpm.g,$B$2:$B$36,_xlpm.k,$F50,AVERAGE(_xlfn._xlws.FILTER(_xlpm.d,(_xlpm.f=_xlpm.k)*(_xlpm.g=0))))</f>
        <v>0.68765575842471316</v>
      </c>
      <c r="I50" s="2" cm="1">
        <f t="array" ref="I50">_xlfn.LET(_xlpm.d,I$2:I$36,_xlpm.f,$A$2:$A$36,_xlpm.g,$B$2:$B$36,_xlpm.k,$F50,AVERAGE(_xlfn._xlws.FILTER(_xlpm.d,(_xlpm.f=_xlpm.k)*(_xlpm.g=0))))</f>
        <v>0.66224521642295897</v>
      </c>
      <c r="J50" s="2" cm="1">
        <f t="array" ref="J50">_xlfn.LET(_xlpm.d,J$2:J$36,_xlpm.f,$A$2:$A$36,_xlpm.g,$B$2:$B$36,_xlpm.k,$F50,AVERAGE(_xlfn._xlws.FILTER(_xlpm.d,(_xlpm.f=_xlpm.k)*(_xlpm.g=0))))</f>
        <v>0.59961891760121355</v>
      </c>
      <c r="K50" s="2" cm="1">
        <f t="array" ref="K50">_xlfn.LET(_xlpm.d,K$2:K$36,_xlpm.f,$A$2:$A$36,_xlpm.g,$B$2:$B$36,_xlpm.k,$F50,AVERAGE(_xlfn._xlws.FILTER(_xlpm.d,(_xlpm.f=_xlpm.k)*(_xlpm.g=0))))</f>
        <v>0.66469781749628198</v>
      </c>
      <c r="L50" s="2" cm="1">
        <f t="array" ref="L50">_xlfn.LET(_xlpm.d,L$2:L$36,_xlpm.f,$A$2:$A$36,_xlpm.g,$B$2:$B$36,_xlpm.k,$F50,AVERAGE(_xlfn._xlws.FILTER(_xlpm.d,(_xlpm.f=_xlpm.k)*(_xlpm.g=0))))</f>
        <v>0.62421105411188715</v>
      </c>
      <c r="M50" s="2" cm="1">
        <f t="array" ref="M50">_xlfn.LET(_xlpm.d,M$2:M$36,_xlpm.f,$A$2:$A$36,_xlpm.g,$B$2:$B$36,_xlpm.k,$F50,AVERAGE(_xlfn._xlws.FILTER(_xlpm.d,(_xlpm.f=_xlpm.k)*(_xlpm.g=0))))</f>
        <v>0.52889079794111338</v>
      </c>
      <c r="N50" s="2" cm="1">
        <f t="array" ref="N50">_xlfn.LET(_xlpm.d,N$2:N$36,_xlpm.f,$A$2:$A$36,_xlpm.g,$B$2:$B$36,_xlpm.k,$F50,AVERAGE(_xlfn._xlws.FILTER(_xlpm.d,(_xlpm.f=_xlpm.k)*(_xlpm.g=0))))</f>
        <v>0.53931273274280001</v>
      </c>
      <c r="O50" s="2" cm="1">
        <f t="array" ref="O50">_xlfn.LET(_xlpm.d,O$2:O$36,_xlpm.f,$A$2:$A$36,_xlpm.g,$B$2:$B$36,_xlpm.k,$F50,AVERAGE(_xlfn._xlws.FILTER(_xlpm.d,(_xlpm.f=_xlpm.k)*(_xlpm.g=0))))</f>
        <v>0.48798898014829178</v>
      </c>
      <c r="P50" s="2" cm="1">
        <f t="array" ref="P50">_xlfn.LET(_xlpm.d,P$2:P$36,_xlpm.f,$A$2:$A$36,_xlpm.g,$B$2:$B$36,_xlpm.k,$F50,AVERAGE(_xlfn._xlws.FILTER(_xlpm.d,(_xlpm.f=_xlpm.k)*(_xlpm.g=0))))</f>
        <v>0.51237784678142495</v>
      </c>
      <c r="Q50" s="2" cm="1">
        <f t="array" ref="Q50">_xlfn.LET(_xlpm.d,Q$2:Q$36,_xlpm.f,$A$2:$A$36,_xlpm.g,$B$2:$B$36,_xlpm.k,$F50,AVERAGE(_xlfn._xlws.FILTER(_xlpm.d,(_xlpm.f=_xlpm.k)*(_xlpm.g=0))))</f>
        <v>0.48806972715933483</v>
      </c>
      <c r="R50" s="2" cm="1">
        <f t="array" ref="R50">_xlfn.LET(_xlpm.d,R$2:R$36,_xlpm.f,$A$2:$A$36,_xlpm.g,$B$2:$B$36,_xlpm.k,$F50,AVERAGE(_xlfn._xlws.FILTER(_xlpm.d,(_xlpm.f=_xlpm.k)*(_xlpm.g=0))))</f>
        <v>0.49431449830961821</v>
      </c>
      <c r="S50" s="2" cm="1">
        <f t="array" ref="S50">_xlfn.LET(_xlpm.d,S$2:S$36,_xlpm.f,$A$2:$A$36,_xlpm.g,$B$2:$B$36,_xlpm.k,$F50,AVERAGE(_xlfn._xlws.FILTER(_xlpm.d,(_xlpm.f=_xlpm.k)*(_xlpm.g=0))))</f>
        <v>0.53518878563024852</v>
      </c>
      <c r="T50" s="2" cm="1">
        <f t="array" ref="T50">_xlfn.LET(_xlpm.d,T$2:T$36,_xlpm.f,$A$2:$A$36,_xlpm.g,$B$2:$B$36,_xlpm.k,$F50,AVERAGE(_xlfn._xlws.FILTER(_xlpm.d,(_xlpm.f=_xlpm.k)*(_xlpm.g=0))))</f>
        <v>0.5804113567069521</v>
      </c>
    </row>
    <row r="51" spans="6:20" ht="30" customHeight="1">
      <c r="F51" t="s">
        <v>39</v>
      </c>
      <c r="G51" s="2" cm="1">
        <f t="array" ref="G51">_xlfn.LET(_xlpm.d,G$2:G$36,_xlpm.f,$A$2:$A$36,_xlpm.g,$B$2:$B$36,_xlpm.k,$F51,AVERAGE(_xlfn._xlws.FILTER(_xlpm.d,(_xlpm.f=_xlpm.k)*(_xlpm.g=0))))</f>
        <v>0.81648698969867739</v>
      </c>
      <c r="H51" s="2" cm="1">
        <f t="array" ref="H51">_xlfn.LET(_xlpm.d,H$2:H$36,_xlpm.f,$A$2:$A$36,_xlpm.g,$B$2:$B$36,_xlpm.k,$F51,AVERAGE(_xlfn._xlws.FILTER(_xlpm.d,(_xlpm.f=_xlpm.k)*(_xlpm.g=0))))</f>
        <v>0.79381062202015829</v>
      </c>
      <c r="I51" s="2" cm="1">
        <f t="array" ref="I51">_xlfn.LET(_xlpm.d,I$2:I$36,_xlpm.f,$A$2:$A$36,_xlpm.g,$B$2:$B$36,_xlpm.k,$F51,AVERAGE(_xlfn._xlws.FILTER(_xlpm.d,(_xlpm.f=_xlpm.k)*(_xlpm.g=0))))</f>
        <v>0.74400051824845903</v>
      </c>
      <c r="J51" s="2" cm="1">
        <f t="array" ref="J51">_xlfn.LET(_xlpm.d,J$2:J$36,_xlpm.f,$A$2:$A$36,_xlpm.g,$B$2:$B$36,_xlpm.k,$F51,AVERAGE(_xlfn._xlws.FILTER(_xlpm.d,(_xlpm.f=_xlpm.k)*(_xlpm.g=0))))</f>
        <v>0.74001700362009981</v>
      </c>
      <c r="K51" s="2" cm="1">
        <f t="array" ref="K51">_xlfn.LET(_xlpm.d,K$2:K$36,_xlpm.f,$A$2:$A$36,_xlpm.g,$B$2:$B$36,_xlpm.k,$F51,AVERAGE(_xlfn._xlws.FILTER(_xlpm.d,(_xlpm.f=_xlpm.k)*(_xlpm.g=0))))</f>
        <v>0.73381939458285317</v>
      </c>
      <c r="L51" s="2" cm="1">
        <f t="array" ref="L51">_xlfn.LET(_xlpm.d,L$2:L$36,_xlpm.f,$A$2:$A$36,_xlpm.g,$B$2:$B$36,_xlpm.k,$F51,AVERAGE(_xlfn._xlws.FILTER(_xlpm.d,(_xlpm.f=_xlpm.k)*(_xlpm.g=0))))</f>
        <v>0.67209687099200532</v>
      </c>
      <c r="M51" s="2" cm="1">
        <f t="array" ref="M51">_xlfn.LET(_xlpm.d,M$2:M$36,_xlpm.f,$A$2:$A$36,_xlpm.g,$B$2:$B$36,_xlpm.k,$F51,AVERAGE(_xlfn._xlws.FILTER(_xlpm.d,(_xlpm.f=_xlpm.k)*(_xlpm.g=0))))</f>
        <v>0.67086883886960813</v>
      </c>
      <c r="N51" s="2" cm="1">
        <f t="array" ref="N51">_xlfn.LET(_xlpm.d,N$2:N$36,_xlpm.f,$A$2:$A$36,_xlpm.g,$B$2:$B$36,_xlpm.k,$F51,AVERAGE(_xlfn._xlws.FILTER(_xlpm.d,(_xlpm.f=_xlpm.k)*(_xlpm.g=0))))</f>
        <v>0.64860542931223619</v>
      </c>
      <c r="O51" s="2" cm="1">
        <f t="array" ref="O51">_xlfn.LET(_xlpm.d,O$2:O$36,_xlpm.f,$A$2:$A$36,_xlpm.g,$B$2:$B$36,_xlpm.k,$F51,AVERAGE(_xlfn._xlws.FILTER(_xlpm.d,(_xlpm.f=_xlpm.k)*(_xlpm.g=0))))</f>
        <v>0.5738463973175868</v>
      </c>
      <c r="P51" s="2" cm="1">
        <f t="array" ref="P51">_xlfn.LET(_xlpm.d,P$2:P$36,_xlpm.f,$A$2:$A$36,_xlpm.g,$B$2:$B$36,_xlpm.k,$F51,AVERAGE(_xlfn._xlws.FILTER(_xlpm.d,(_xlpm.f=_xlpm.k)*(_xlpm.g=0))))</f>
        <v>0.61705099166574884</v>
      </c>
      <c r="Q51" s="2" cm="1">
        <f t="array" ref="Q51">_xlfn.LET(_xlpm.d,Q$2:Q$36,_xlpm.f,$A$2:$A$36,_xlpm.g,$B$2:$B$36,_xlpm.k,$F51,AVERAGE(_xlfn._xlws.FILTER(_xlpm.d,(_xlpm.f=_xlpm.k)*(_xlpm.g=0))))</f>
        <v>0.62072724693675962</v>
      </c>
      <c r="R51" s="2" cm="1">
        <f t="array" ref="R51">_xlfn.LET(_xlpm.d,R$2:R$36,_xlpm.f,$A$2:$A$36,_xlpm.g,$B$2:$B$36,_xlpm.k,$F51,AVERAGE(_xlfn._xlws.FILTER(_xlpm.d,(_xlpm.f=_xlpm.k)*(_xlpm.g=0))))</f>
        <v>0.59235376555067187</v>
      </c>
      <c r="S51" s="2" cm="1">
        <f t="array" ref="S51">_xlfn.LET(_xlpm.d,S$2:S$36,_xlpm.f,$A$2:$A$36,_xlpm.g,$B$2:$B$36,_xlpm.k,$F51,AVERAGE(_xlfn._xlws.FILTER(_xlpm.d,(_xlpm.f=_xlpm.k)*(_xlpm.g=0))))</f>
        <v>0.59427740735134738</v>
      </c>
      <c r="T51" s="2" cm="1">
        <f t="array" ref="T51">_xlfn.LET(_xlpm.d,T$2:T$36,_xlpm.f,$A$2:$A$36,_xlpm.g,$B$2:$B$36,_xlpm.k,$F51,AVERAGE(_xlfn._xlws.FILTER(_xlpm.d,(_xlpm.f=_xlpm.k)*(_xlpm.g=0))))</f>
        <v>0.67830472893586258</v>
      </c>
    </row>
    <row r="52" spans="6:20" ht="30" customHeight="1">
      <c r="F52" t="s">
        <v>42</v>
      </c>
      <c r="G52" s="2" cm="1">
        <f t="array" ref="G52">_xlfn.LET(_xlpm.d,G$2:G$36,_xlpm.f,$A$2:$A$36,_xlpm.g,$B$2:$B$36,_xlpm.k,$F52,AVERAGE(_xlfn._xlws.FILTER(_xlpm.d,(_xlpm.f=_xlpm.k)*(_xlpm.g=0))))</f>
        <v>0.99830950473106761</v>
      </c>
      <c r="H52" s="2" cm="1">
        <f t="array" ref="H52">_xlfn.LET(_xlpm.d,H$2:H$36,_xlpm.f,$A$2:$A$36,_xlpm.g,$B$2:$B$36,_xlpm.k,$F52,AVERAGE(_xlfn._xlws.FILTER(_xlpm.d,(_xlpm.f=_xlpm.k)*(_xlpm.g=0))))</f>
        <v>0.99960687231260603</v>
      </c>
      <c r="I52" s="2" cm="1">
        <f t="array" ref="I52">_xlfn.LET(_xlpm.d,I$2:I$36,_xlpm.f,$A$2:$A$36,_xlpm.g,$B$2:$B$36,_xlpm.k,$F52,AVERAGE(_xlfn._xlws.FILTER(_xlpm.d,(_xlpm.f=_xlpm.k)*(_xlpm.g=0))))</f>
        <v>0.95465394461737318</v>
      </c>
      <c r="J52" s="2" cm="1">
        <f t="array" ref="J52">_xlfn.LET(_xlpm.d,J$2:J$36,_xlpm.f,$A$2:$A$36,_xlpm.g,$B$2:$B$36,_xlpm.k,$F52,AVERAGE(_xlfn._xlws.FILTER(_xlpm.d,(_xlpm.f=_xlpm.k)*(_xlpm.g=0))))</f>
        <v>0.99047749943528718</v>
      </c>
      <c r="K52" s="2" cm="1">
        <f t="array" ref="K52">_xlfn.LET(_xlpm.d,K$2:K$36,_xlpm.f,$A$2:$A$36,_xlpm.g,$B$2:$B$36,_xlpm.k,$F52,AVERAGE(_xlfn._xlws.FILTER(_xlpm.d,(_xlpm.f=_xlpm.k)*(_xlpm.g=0))))</f>
        <v>0.98787193197048706</v>
      </c>
      <c r="L52" s="2" cm="1">
        <f t="array" ref="L52">_xlfn.LET(_xlpm.d,L$2:L$36,_xlpm.f,$A$2:$A$36,_xlpm.g,$B$2:$B$36,_xlpm.k,$F52,AVERAGE(_xlfn._xlws.FILTER(_xlpm.d,(_xlpm.f=_xlpm.k)*(_xlpm.g=0))))</f>
        <v>0.98195670617686914</v>
      </c>
      <c r="M52" s="2" cm="1">
        <f t="array" ref="M52">_xlfn.LET(_xlpm.d,M$2:M$36,_xlpm.f,$A$2:$A$36,_xlpm.g,$B$2:$B$36,_xlpm.k,$F52,AVERAGE(_xlfn._xlws.FILTER(_xlpm.d,(_xlpm.f=_xlpm.k)*(_xlpm.g=0))))</f>
        <v>0.98990465020608387</v>
      </c>
      <c r="N52" s="2" cm="1">
        <f t="array" ref="N52">_xlfn.LET(_xlpm.d,N$2:N$36,_xlpm.f,$A$2:$A$36,_xlpm.g,$B$2:$B$36,_xlpm.k,$F52,AVERAGE(_xlfn._xlws.FILTER(_xlpm.d,(_xlpm.f=_xlpm.k)*(_xlpm.g=0))))</f>
        <v>0.99321762057708474</v>
      </c>
      <c r="O52" s="2" cm="1">
        <f t="array" ref="O52">_xlfn.LET(_xlpm.d,O$2:O$36,_xlpm.f,$A$2:$A$36,_xlpm.g,$B$2:$B$36,_xlpm.k,$F52,AVERAGE(_xlfn._xlws.FILTER(_xlpm.d,(_xlpm.f=_xlpm.k)*(_xlpm.g=0))))</f>
        <v>0.95330440655805937</v>
      </c>
      <c r="P52" s="2" cm="1">
        <f t="array" ref="P52">_xlfn.LET(_xlpm.d,P$2:P$36,_xlpm.f,$A$2:$A$36,_xlpm.g,$B$2:$B$36,_xlpm.k,$F52,AVERAGE(_xlfn._xlws.FILTER(_xlpm.d,(_xlpm.f=_xlpm.k)*(_xlpm.g=0))))</f>
        <v>0.9707444730065643</v>
      </c>
      <c r="Q52" s="2" cm="1">
        <f t="array" ref="Q52">_xlfn.LET(_xlpm.d,Q$2:Q$36,_xlpm.f,$A$2:$A$36,_xlpm.g,$B$2:$B$36,_xlpm.k,$F52,AVERAGE(_xlfn._xlws.FILTER(_xlpm.d,(_xlpm.f=_xlpm.k)*(_xlpm.g=0))))</f>
        <v>0.92853429109831154</v>
      </c>
      <c r="R52" s="2" cm="1">
        <f t="array" ref="R52">_xlfn.LET(_xlpm.d,R$2:R$36,_xlpm.f,$A$2:$A$36,_xlpm.g,$B$2:$B$36,_xlpm.k,$F52,AVERAGE(_xlfn._xlws.FILTER(_xlpm.d,(_xlpm.f=_xlpm.k)*(_xlpm.g=0))))</f>
        <v>0.97337331734532662</v>
      </c>
      <c r="S52" s="2" cm="1">
        <f t="array" ref="S52">_xlfn.LET(_xlpm.d,S$2:S$36,_xlpm.f,$A$2:$A$36,_xlpm.g,$B$2:$B$36,_xlpm.k,$F52,AVERAGE(_xlfn._xlws.FILTER(_xlpm.d,(_xlpm.f=_xlpm.k)*(_xlpm.g=0))))</f>
        <v>0.96163355385734317</v>
      </c>
      <c r="T52" s="2" cm="1">
        <f t="array" ref="T52">_xlfn.LET(_xlpm.d,T$2:T$36,_xlpm.f,$A$2:$A$36,_xlpm.g,$B$2:$B$36,_xlpm.k,$F52,AVERAGE(_xlfn._xlws.FILTER(_xlpm.d,(_xlpm.f=_xlpm.k)*(_xlpm.g=0))))</f>
        <v>0.97566067476095863</v>
      </c>
    </row>
    <row r="54" spans="6:20" ht="30" customHeight="1">
      <c r="F54" t="s">
        <v>44</v>
      </c>
    </row>
    <row r="55" spans="6:20" ht="30" customHeight="1">
      <c r="F55" t="s">
        <v>37</v>
      </c>
      <c r="G55" s="2" cm="1">
        <f t="array" ref="G55">_xlfn.LET(_xlpm.d,G$2:G$36,_xlpm.g,$B$2:$B$36,AVERAGE(_xlfn._xlws.FILTER(_xlpm.d,(_xlpm.g=0))))</f>
        <v>0.83815531142770183</v>
      </c>
      <c r="H55" s="2" cm="1">
        <f t="array" ref="H55">_xlfn.LET(_xlpm.d,H$2:H$36,_xlpm.g,$B$2:$B$36,AVERAGE(_xlfn._xlws.FILTER(_xlpm.d,(_xlpm.g=0))))</f>
        <v>0.82048967566487396</v>
      </c>
      <c r="I55" s="2" cm="1">
        <f t="array" ref="I55">_xlfn.LET(_xlpm.d,I$2:I$36,_xlpm.g,$B$2:$B$36,AVERAGE(_xlfn._xlws.FILTER(_xlpm.d,(_xlpm.g=0))))</f>
        <v>0.80519754339915262</v>
      </c>
      <c r="J55" s="2" cm="1">
        <f t="array" ref="J55">_xlfn.LET(_xlpm.d,J$2:J$36,_xlpm.g,$B$2:$B$36,AVERAGE(_xlfn._xlws.FILTER(_xlpm.d,(_xlpm.g=0))))</f>
        <v>0.771625524282332</v>
      </c>
      <c r="K55" s="2" cm="1">
        <f t="array" ref="K55">_xlfn.LET(_xlpm.d,K$2:K$36,_xlpm.g,$B$2:$B$36,AVERAGE(_xlfn._xlws.FILTER(_xlpm.d,(_xlpm.g=0))))</f>
        <v>0.78275834857315141</v>
      </c>
      <c r="L55" s="2" cm="1">
        <f t="array" ref="L55">_xlfn.LET(_xlpm.d,L$2:L$36,_xlpm.g,$B$2:$B$36,AVERAGE(_xlfn._xlws.FILTER(_xlpm.d,(_xlpm.g=0))))</f>
        <v>0.77683894125356501</v>
      </c>
      <c r="M55" s="2" cm="1">
        <f t="array" ref="M55">_xlfn.LET(_xlpm.d,M$2:M$36,_xlpm.g,$B$2:$B$36,AVERAGE(_xlfn._xlws.FILTER(_xlpm.d,(_xlpm.g=0))))</f>
        <v>0.73541472664037832</v>
      </c>
      <c r="N55" s="2" cm="1">
        <f t="array" ref="N55">_xlfn.LET(_xlpm.d,N$2:N$36,_xlpm.g,$B$2:$B$36,AVERAGE(_xlfn._xlws.FILTER(_xlpm.d,(_xlpm.g=0))))</f>
        <v>0.73684593711822965</v>
      </c>
      <c r="O55" s="2" cm="1">
        <f t="array" ref="O55">_xlfn.LET(_xlpm.d,O$2:O$36,_xlpm.g,$B$2:$B$36,AVERAGE(_xlfn._xlws.FILTER(_xlpm.d,(_xlpm.g=0))))</f>
        <v>0.71046720579501055</v>
      </c>
      <c r="P55" s="2" cm="1">
        <f t="array" ref="P55">_xlfn.LET(_xlpm.d,P$2:P$36,_xlpm.g,$B$2:$B$36,AVERAGE(_xlfn._xlws.FILTER(_xlpm.d,(_xlpm.g=0))))</f>
        <v>0.71645131210468371</v>
      </c>
      <c r="Q55" s="2" cm="1">
        <f t="array" ref="Q55">_xlfn.LET(_xlpm.d,Q$2:Q$36,_xlpm.g,$B$2:$B$36,AVERAGE(_xlfn._xlws.FILTER(_xlpm.d,(_xlpm.g=0))))</f>
        <v>0.71277299627647228</v>
      </c>
      <c r="R55" s="2" cm="1">
        <f t="array" ref="R55">_xlfn.LET(_xlpm.d,R$2:R$36,_xlpm.g,$B$2:$B$36,AVERAGE(_xlfn._xlws.FILTER(_xlpm.d,(_xlpm.g=0))))</f>
        <v>0.70260534246634043</v>
      </c>
      <c r="S55" s="2" cm="1">
        <f t="array" ref="S55">_xlfn.LET(_xlpm.d,S$2:S$36,_xlpm.g,$B$2:$B$36,AVERAGE(_xlfn._xlws.FILTER(_xlpm.d,(_xlpm.g=0))))</f>
        <v>0.70358511348451847</v>
      </c>
      <c r="T55" s="2" cm="1">
        <f t="array" ref="T55">_xlfn.LET(_xlpm.d,T$2:T$36,_xlpm.g,$B$2:$B$36,AVERAGE(_xlfn._xlws.FILTER(_xlpm.d,(_xlpm.g=0))))</f>
        <v>0.75486215219126218</v>
      </c>
    </row>
    <row r="56" spans="6:20" ht="30" customHeight="1">
      <c r="F56" t="s">
        <v>57</v>
      </c>
      <c r="G56" s="2" cm="1">
        <f t="array" ref="G56">_xlfn.LET(_xlpm.d,G$2:G$36,_xlpm.f,$C$2:$C$36,AVERAGE(_xlfn._xlws.FILTER(_xlpm.d,(_xlpm.f=1))))</f>
        <v>0.86141297542533413</v>
      </c>
      <c r="H56" s="2" cm="1">
        <f t="array" ref="H56">_xlfn.LET(_xlpm.d,H$2:H$36,_xlpm.f,$C$2:$C$36,AVERAGE(_xlfn._xlws.FILTER(_xlpm.d,(_xlpm.f=1))))</f>
        <v>0.8464590699846084</v>
      </c>
      <c r="I56" s="2" cm="1">
        <f t="array" ref="I56">_xlfn.LET(_xlpm.d,I$2:I$36,_xlpm.f,$C$2:$C$36,AVERAGE(_xlfn._xlws.FILTER(_xlpm.d,(_xlpm.f=1))))</f>
        <v>0.81925784596260898</v>
      </c>
      <c r="J56" s="2" cm="1">
        <f t="array" ref="J56">_xlfn.LET(_xlpm.d,J$2:J$36,_xlpm.f,$C$2:$C$36,AVERAGE(_xlfn._xlws.FILTER(_xlpm.d,(_xlpm.f=1))))</f>
        <v>0.80456497814994088</v>
      </c>
      <c r="K56" s="2" cm="1">
        <f t="array" ref="K56">_xlfn.LET(_xlpm.d,K$2:K$36,_xlpm.f,$C$2:$C$36,AVERAGE(_xlfn._xlws.FILTER(_xlpm.d,(_xlpm.f=1))))</f>
        <v>0.76897057926753665</v>
      </c>
      <c r="L56" s="2" cm="1">
        <f t="array" ref="L56">_xlfn.LET(_xlpm.d,L$2:L$36,_xlpm.f,$C$2:$C$36,AVERAGE(_xlfn._xlws.FILTER(_xlpm.d,(_xlpm.f=1))))</f>
        <v>0.79425910988178372</v>
      </c>
      <c r="M56" s="2" cm="1">
        <f t="array" ref="M56">_xlfn.LET(_xlpm.d,M$2:M$36,_xlpm.f,$C$2:$C$36,AVERAGE(_xlfn._xlws.FILTER(_xlpm.d,(_xlpm.f=1))))</f>
        <v>0.73036061360131543</v>
      </c>
      <c r="N56" s="2" cm="1">
        <f t="array" ref="N56">_xlfn.LET(_xlpm.d,N$2:N$36,_xlpm.f,$C$2:$C$36,AVERAGE(_xlfn._xlws.FILTER(_xlpm.d,(_xlpm.f=1))))</f>
        <v>0.77347485113931891</v>
      </c>
      <c r="O56" s="2" cm="1">
        <f t="array" ref="O56">_xlfn.LET(_xlpm.d,O$2:O$36,_xlpm.f,$C$2:$C$36,AVERAGE(_xlfn._xlws.FILTER(_xlpm.d,(_xlpm.f=1))))</f>
        <v>0.69474473677058535</v>
      </c>
      <c r="P56" s="2" cm="1">
        <f t="array" ref="P56">_xlfn.LET(_xlpm.d,P$2:P$36,_xlpm.f,$C$2:$C$36,AVERAGE(_xlfn._xlws.FILTER(_xlpm.d,(_xlpm.f=1))))</f>
        <v>0.7275843041799217</v>
      </c>
      <c r="Q56" s="2" cm="1">
        <f t="array" ref="Q56">_xlfn.LET(_xlpm.d,Q$2:Q$36,_xlpm.f,$C$2:$C$36,AVERAGE(_xlfn._xlws.FILTER(_xlpm.d,(_xlpm.f=1))))</f>
        <v>0.67721873347324124</v>
      </c>
      <c r="R56" s="2" cm="1">
        <f t="array" ref="R56">_xlfn.LET(_xlpm.d,R$2:R$36,_xlpm.f,$C$2:$C$36,AVERAGE(_xlfn._xlws.FILTER(_xlpm.d,(_xlpm.f=1))))</f>
        <v>0.69322221368663883</v>
      </c>
      <c r="S56" s="2" cm="1">
        <f t="array" ref="S56">_xlfn.LET(_xlpm.d,S$2:S$36,_xlpm.f,$C$2:$C$36,AVERAGE(_xlfn._xlws.FILTER(_xlpm.d,(_xlpm.f=1))))</f>
        <v>0.64810888435026792</v>
      </c>
      <c r="T56" s="2" cm="1">
        <f t="array" ref="T56">_xlfn.LET(_xlpm.d,T$2:T$36,_xlpm.f,$C$2:$C$36,AVERAGE(_xlfn._xlws.FILTER(_xlpm.d,(_xlpm.f=1))))</f>
        <v>0.75689529968254621</v>
      </c>
    </row>
    <row r="57" spans="6:20" ht="30" customHeight="1">
      <c r="F57" t="s">
        <v>58</v>
      </c>
      <c r="G57" s="2" cm="1">
        <f t="array" ref="G57">_xlfn.LET(_xlpm.d,G$2:G$36,_xlpm.f,$D$2:$D$36,AVERAGE(_xlfn._xlws.FILTER(_xlpm.d,(_xlpm.f=1))))</f>
        <v>0.83553710696293648</v>
      </c>
      <c r="H57" s="2" cm="1">
        <f t="array" ref="H57">_xlfn.LET(_xlpm.d,H$2:H$36,_xlpm.f,$D$2:$D$36,AVERAGE(_xlfn._xlws.FILTER(_xlpm.d,(_xlpm.f=1))))</f>
        <v>0.82573871800440313</v>
      </c>
      <c r="I57" s="2" cm="1">
        <f t="array" ref="I57">_xlfn.LET(_xlpm.d,I$2:I$36,_xlpm.f,$D$2:$D$36,AVERAGE(_xlfn._xlws.FILTER(_xlpm.d,(_xlpm.f=1))))</f>
        <v>0.80589279951897108</v>
      </c>
      <c r="J57" s="2" cm="1">
        <f t="array" ref="J57">_xlfn.LET(_xlpm.d,J$2:J$36,_xlpm.f,$D$2:$D$36,AVERAGE(_xlfn._xlws.FILTER(_xlpm.d,(_xlpm.f=1))))</f>
        <v>0.76893077666938603</v>
      </c>
      <c r="K57" s="2" cm="1">
        <f t="array" ref="K57">_xlfn.LET(_xlpm.d,K$2:K$36,_xlpm.f,$D$2:$D$36,AVERAGE(_xlfn._xlws.FILTER(_xlpm.d,(_xlpm.f=1))))</f>
        <v>0.81743803219732247</v>
      </c>
      <c r="L57" s="2" cm="1">
        <f t="array" ref="L57">_xlfn.LET(_xlpm.d,L$2:L$36,_xlpm.f,$D$2:$D$36,AVERAGE(_xlfn._xlws.FILTER(_xlpm.d,(_xlpm.f=1))))</f>
        <v>0.77079319943515956</v>
      </c>
      <c r="M57" s="2" cm="1">
        <f t="array" ref="M57">_xlfn.LET(_xlpm.d,M$2:M$36,_xlpm.f,$D$2:$D$36,AVERAGE(_xlfn._xlws.FILTER(_xlpm.d,(_xlpm.f=1))))</f>
        <v>0.73844152910000882</v>
      </c>
      <c r="N57" s="2" cm="1">
        <f t="array" ref="N57">_xlfn.LET(_xlpm.d,N$2:N$36,_xlpm.f,$D$2:$D$36,AVERAGE(_xlfn._xlws.FILTER(_xlpm.d,(_xlpm.f=1))))</f>
        <v>0.75508561579410505</v>
      </c>
      <c r="O57" s="2" cm="1">
        <f t="array" ref="O57">_xlfn.LET(_xlpm.d,O$2:O$36,_xlpm.f,$D$2:$D$36,AVERAGE(_xlfn._xlws.FILTER(_xlpm.d,(_xlpm.f=1))))</f>
        <v>0.68868982162044778</v>
      </c>
      <c r="P57" s="2" cm="1">
        <f t="array" ref="P57">_xlfn.LET(_xlpm.d,P$2:P$36,_xlpm.f,$D$2:$D$36,AVERAGE(_xlfn._xlws.FILTER(_xlpm.d,(_xlpm.f=1))))</f>
        <v>0.70042639240118942</v>
      </c>
      <c r="Q57" s="2" cm="1">
        <f t="array" ref="Q57">_xlfn.LET(_xlpm.d,Q$2:Q$36,_xlpm.f,$D$2:$D$36,AVERAGE(_xlfn._xlws.FILTER(_xlpm.d,(_xlpm.f=1))))</f>
        <v>0.74681901681091845</v>
      </c>
      <c r="R57" s="2" cm="1">
        <f t="array" ref="R57">_xlfn.LET(_xlpm.d,R$2:R$36,_xlpm.f,$D$2:$D$36,AVERAGE(_xlfn._xlws.FILTER(_xlpm.d,(_xlpm.f=1))))</f>
        <v>0.71847744858340312</v>
      </c>
      <c r="S57" s="2" cm="1">
        <f t="array" ref="S57">_xlfn.LET(_xlpm.d,S$2:S$36,_xlpm.f,$D$2:$D$36,AVERAGE(_xlfn._xlws.FILTER(_xlpm.d,(_xlpm.f=1))))</f>
        <v>0.72825104784835692</v>
      </c>
      <c r="T57" s="2" cm="1">
        <f t="array" ref="T57">_xlfn.LET(_xlpm.d,T$2:T$36,_xlpm.f,$D$2:$D$36,AVERAGE(_xlfn._xlws.FILTER(_xlpm.d,(_xlpm.f=1))))</f>
        <v>0.76157857730358525</v>
      </c>
    </row>
    <row r="58" spans="6:20" ht="30" customHeight="1">
      <c r="F58" t="s">
        <v>56</v>
      </c>
      <c r="G58" s="2" cm="1">
        <f t="array" ref="G58">_xlfn.LET(_xlpm.d,G$2:G$36,_xlpm.f,$E$2:$E$36,AVERAGE(_xlfn._xlws.FILTER(_xlpm.d,(_xlpm.f=1))))</f>
        <v>0.85865840302605534</v>
      </c>
      <c r="H58" s="2" cm="1">
        <f t="array" ref="H58">_xlfn.LET(_xlpm.d,H$2:H$36,_xlpm.f,$E$2:$E$36,AVERAGE(_xlfn._xlws.FILTER(_xlpm.d,(_xlpm.f=1))))</f>
        <v>0.83513862911928805</v>
      </c>
      <c r="I58" s="2" cm="1">
        <f t="array" ref="I58">_xlfn.LET(_xlpm.d,I$2:I$36,_xlpm.f,$E$2:$E$36,AVERAGE(_xlfn._xlws.FILTER(_xlpm.d,(_xlpm.f=1))))</f>
        <v>0.81458096957150128</v>
      </c>
      <c r="J58" s="2" cm="1">
        <f t="array" ref="J58">_xlfn.LET(_xlpm.d,J$2:J$36,_xlpm.f,$E$2:$E$36,AVERAGE(_xlfn._xlws.FILTER(_xlpm.d,(_xlpm.f=1))))</f>
        <v>0.78114658063951659</v>
      </c>
      <c r="K58" s="2" cm="1">
        <f t="array" ref="K58">_xlfn.LET(_xlpm.d,K$2:K$36,_xlpm.f,$E$2:$E$36,AVERAGE(_xlfn._xlws.FILTER(_xlpm.d,(_xlpm.f=1))))</f>
        <v>0.79107897805628657</v>
      </c>
      <c r="L58" s="2" cm="1">
        <f t="array" ref="L58">_xlfn.LET(_xlpm.d,L$2:L$36,_xlpm.f,$E$2:$E$36,AVERAGE(_xlfn._xlws.FILTER(_xlpm.d,(_xlpm.f=1))))</f>
        <v>0.77312501258457844</v>
      </c>
      <c r="M58" s="2" cm="1">
        <f t="array" ref="M58">_xlfn.LET(_xlpm.d,M$2:M$36,_xlpm.f,$E$2:$E$36,AVERAGE(_xlfn._xlws.FILTER(_xlpm.d,(_xlpm.f=1))))</f>
        <v>0.75079325932619634</v>
      </c>
      <c r="N58" s="2" cm="1">
        <f t="array" ref="N58">_xlfn.LET(_xlpm.d,N$2:N$36,_xlpm.f,$E$2:$E$36,AVERAGE(_xlfn._xlws.FILTER(_xlpm.d,(_xlpm.f=1))))</f>
        <v>0.720615025538896</v>
      </c>
      <c r="O58" s="2" cm="1">
        <f t="array" ref="O58">_xlfn.LET(_xlpm.d,O$2:O$36,_xlpm.f,$E$2:$E$36,AVERAGE(_xlfn._xlws.FILTER(_xlpm.d,(_xlpm.f=1))))</f>
        <v>0.71212685702601042</v>
      </c>
      <c r="P58" s="2" cm="1">
        <f t="array" ref="P58">_xlfn.LET(_xlpm.d,P$2:P$36,_xlpm.f,$E$2:$E$36,AVERAGE(_xlfn._xlws.FILTER(_xlpm.d,(_xlpm.f=1))))</f>
        <v>0.70872284116744289</v>
      </c>
      <c r="Q58" s="2" cm="1">
        <f t="array" ref="Q58">_xlfn.LET(_xlpm.d,Q$2:Q$36,_xlpm.f,$E$2:$E$36,AVERAGE(_xlfn._xlws.FILTER(_xlpm.d,(_xlpm.f=1))))</f>
        <v>0.71696466222743527</v>
      </c>
      <c r="R58" s="2" cm="1">
        <f t="array" ref="R58">_xlfn.LET(_xlpm.d,R$2:R$36,_xlpm.f,$E$2:$E$36,AVERAGE(_xlfn._xlws.FILTER(_xlpm.d,(_xlpm.f=1))))</f>
        <v>0.71032676174615894</v>
      </c>
      <c r="S58" s="2" cm="1">
        <f t="array" ref="S58">_xlfn.LET(_xlpm.d,S$2:S$36,_xlpm.f,$E$2:$E$36,AVERAGE(_xlfn._xlws.FILTER(_xlpm.d,(_xlpm.f=1))))</f>
        <v>0.69634357016759385</v>
      </c>
      <c r="T58" s="2" cm="1">
        <f t="array" ref="T58">_xlfn.LET(_xlpm.d,T$2:T$36,_xlpm.f,$E$2:$E$36,AVERAGE(_xlfn._xlws.FILTER(_xlpm.d,(_xlpm.f=1))))</f>
        <v>0.75920165770745829</v>
      </c>
    </row>
  </sheetData>
  <phoneticPr fontId="1" type="noConversion"/>
  <conditionalFormatting sqref="G2:S36">
    <cfRule type="colorScale" priority="7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39:T44">
    <cfRule type="colorScale" priority="6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7:T47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48:T52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T2:T36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55:T55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G56:T58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aNA.xsk-free</vt:lpstr>
      <vt:lpstr>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2025-07-10T05:42:18Z</dcterms:created>
  <dcterms:modified xsi:type="dcterms:W3CDTF">2025-09-11T03:45:22Z</dcterms:modified>
  <cp:category/>
</cp:coreProperties>
</file>