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 (Personal)/GitHub/self-supervised-word-classification/results/spell/AEFGR/comparisons/lda(labeled)/"/>
    </mc:Choice>
  </mc:AlternateContent>
  <xr:revisionPtr revIDLastSave="0" documentId="8_{86A6F603-A564-A445-A781-1A6F33F1A618}" xr6:coauthVersionLast="47" xr6:coauthVersionMax="47" xr10:uidLastSave="{00000000-0000-0000-0000-000000000000}"/>
  <bookViews>
    <workbookView xWindow="8020" yWindow="2480" windowWidth="24980" windowHeight="17580" xr2:uid="{0EF48C08-A403-5446-8878-F8589D058D21}"/>
  </bookViews>
  <sheets>
    <sheet name="aNA.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  <c r="N26" i="1"/>
  <c r="B26" i="1"/>
  <c r="A26" i="1"/>
  <c r="N25" i="1"/>
  <c r="B25" i="1"/>
  <c r="A25" i="1"/>
  <c r="N24" i="1"/>
  <c r="B24" i="1"/>
  <c r="A24" i="1"/>
  <c r="N23" i="1"/>
  <c r="B23" i="1"/>
  <c r="A23" i="1"/>
  <c r="N22" i="1"/>
  <c r="B22" i="1"/>
  <c r="A22" i="1"/>
  <c r="N21" i="1"/>
  <c r="B21" i="1"/>
  <c r="A21" i="1"/>
  <c r="N20" i="1"/>
  <c r="B20" i="1"/>
  <c r="A20" i="1"/>
  <c r="N19" i="1"/>
  <c r="B19" i="1"/>
  <c r="A19" i="1"/>
  <c r="N18" i="1"/>
  <c r="B18" i="1"/>
  <c r="A18" i="1"/>
  <c r="N17" i="1"/>
  <c r="B17" i="1"/>
  <c r="A17" i="1"/>
  <c r="N16" i="1"/>
  <c r="B16" i="1"/>
  <c r="A16" i="1"/>
  <c r="N15" i="1"/>
  <c r="B15" i="1"/>
  <c r="A15" i="1"/>
  <c r="N14" i="1"/>
  <c r="B14" i="1"/>
  <c r="A14" i="1"/>
  <c r="N13" i="1"/>
  <c r="B13" i="1"/>
  <c r="A13" i="1"/>
  <c r="N12" i="1"/>
  <c r="B12" i="1"/>
  <c r="A12" i="1"/>
  <c r="N11" i="1"/>
  <c r="B11" i="1"/>
  <c r="A11" i="1"/>
  <c r="N10" i="1"/>
  <c r="B10" i="1"/>
  <c r="A10" i="1"/>
  <c r="N9" i="1"/>
  <c r="B9" i="1"/>
  <c r="A9" i="1"/>
  <c r="N8" i="1"/>
  <c r="B8" i="1"/>
  <c r="A8" i="1"/>
  <c r="N7" i="1"/>
  <c r="B7" i="1"/>
  <c r="A7" i="1"/>
  <c r="N6" i="1"/>
  <c r="B6" i="1"/>
  <c r="A6" i="1"/>
  <c r="N5" i="1"/>
  <c r="B5" i="1"/>
  <c r="A5" i="1"/>
  <c r="N4" i="1"/>
  <c r="B4" i="1"/>
  <c r="A4" i="1"/>
  <c r="N3" i="1"/>
  <c r="B3" i="1"/>
  <c r="A3" i="1"/>
  <c r="N2" i="1"/>
  <c r="B2" i="1"/>
  <c r="A2" i="1"/>
  <c r="M37" i="1" l="1" a="1"/>
  <c r="M37" i="1" s="1"/>
  <c r="N42" i="1" a="1"/>
  <c r="N42" i="1" s="1"/>
  <c r="N29" i="1"/>
  <c r="E30" i="1" a="1"/>
  <c r="E30" i="1" s="1"/>
  <c r="I30" i="1" a="1"/>
  <c r="I30" i="1" s="1"/>
  <c r="M30" i="1" a="1"/>
  <c r="M30" i="1" s="1"/>
  <c r="F31" i="1" a="1"/>
  <c r="F31" i="1" s="1"/>
  <c r="J31" i="1" a="1"/>
  <c r="J31" i="1" s="1"/>
  <c r="N31" i="1" a="1"/>
  <c r="N31" i="1" s="1"/>
  <c r="G32" i="1" a="1"/>
  <c r="G32" i="1" s="1"/>
  <c r="K32" i="1" a="1"/>
  <c r="K32" i="1" s="1"/>
  <c r="D33" i="1" a="1"/>
  <c r="D33" i="1" s="1"/>
  <c r="H33" i="1" a="1"/>
  <c r="H33" i="1" s="1"/>
  <c r="L33" i="1" a="1"/>
  <c r="L33" i="1" s="1"/>
  <c r="E34" i="1" a="1"/>
  <c r="E34" i="1" s="1"/>
  <c r="I34" i="1" a="1"/>
  <c r="I34" i="1" s="1"/>
  <c r="M34" i="1" a="1"/>
  <c r="M34" i="1" s="1"/>
  <c r="F37" i="1" a="1"/>
  <c r="F37" i="1" s="1"/>
  <c r="J37" i="1" a="1"/>
  <c r="J37" i="1" s="1"/>
  <c r="N37" i="1" a="1"/>
  <c r="N37" i="1" s="1"/>
  <c r="G38" i="1" a="1"/>
  <c r="G38" i="1" s="1"/>
  <c r="K38" i="1" a="1"/>
  <c r="K38" i="1" s="1"/>
  <c r="D39" i="1" a="1"/>
  <c r="D39" i="1" s="1"/>
  <c r="H39" i="1" a="1"/>
  <c r="H39" i="1" s="1"/>
  <c r="L39" i="1" a="1"/>
  <c r="L39" i="1" s="1"/>
  <c r="E40" i="1" a="1"/>
  <c r="E40" i="1" s="1"/>
  <c r="I40" i="1" a="1"/>
  <c r="I40" i="1" s="1"/>
  <c r="M40" i="1" a="1"/>
  <c r="M40" i="1" s="1"/>
  <c r="F41" i="1" a="1"/>
  <c r="F41" i="1" s="1"/>
  <c r="J41" i="1" a="1"/>
  <c r="J41" i="1" s="1"/>
  <c r="N41" i="1" a="1"/>
  <c r="N41" i="1" s="1"/>
  <c r="G42" i="1" a="1"/>
  <c r="G42" i="1" s="1"/>
  <c r="K42" i="1" a="1"/>
  <c r="K42" i="1" s="1"/>
  <c r="F30" i="1" a="1"/>
  <c r="F30" i="1" s="1"/>
  <c r="J30" i="1" a="1"/>
  <c r="J30" i="1" s="1"/>
  <c r="N30" i="1" a="1"/>
  <c r="N30" i="1" s="1"/>
  <c r="G31" i="1" a="1"/>
  <c r="G31" i="1" s="1"/>
  <c r="K31" i="1" a="1"/>
  <c r="K31" i="1" s="1"/>
  <c r="D32" i="1" a="1"/>
  <c r="D32" i="1" s="1"/>
  <c r="H32" i="1" a="1"/>
  <c r="H32" i="1" s="1"/>
  <c r="L32" i="1" a="1"/>
  <c r="L32" i="1" s="1"/>
  <c r="E33" i="1" a="1"/>
  <c r="E33" i="1" s="1"/>
  <c r="I33" i="1" a="1"/>
  <c r="I33" i="1" s="1"/>
  <c r="M33" i="1" a="1"/>
  <c r="M33" i="1" s="1"/>
  <c r="F34" i="1" a="1"/>
  <c r="F34" i="1" s="1"/>
  <c r="J34" i="1" a="1"/>
  <c r="J34" i="1" s="1"/>
  <c r="N34" i="1" a="1"/>
  <c r="N34" i="1" s="1"/>
  <c r="G37" i="1" a="1"/>
  <c r="G37" i="1" s="1"/>
  <c r="K37" i="1" a="1"/>
  <c r="K37" i="1" s="1"/>
  <c r="D38" i="1" a="1"/>
  <c r="D38" i="1" s="1"/>
  <c r="H38" i="1" a="1"/>
  <c r="H38" i="1" s="1"/>
  <c r="L38" i="1" a="1"/>
  <c r="L38" i="1" s="1"/>
  <c r="E39" i="1" a="1"/>
  <c r="E39" i="1" s="1"/>
  <c r="I39" i="1" a="1"/>
  <c r="I39" i="1" s="1"/>
  <c r="M39" i="1" a="1"/>
  <c r="M39" i="1" s="1"/>
  <c r="F40" i="1" a="1"/>
  <c r="F40" i="1" s="1"/>
  <c r="J40" i="1" a="1"/>
  <c r="J40" i="1" s="1"/>
  <c r="N40" i="1" a="1"/>
  <c r="N40" i="1" s="1"/>
  <c r="G41" i="1" a="1"/>
  <c r="G41" i="1" s="1"/>
  <c r="K41" i="1" a="1"/>
  <c r="K41" i="1" s="1"/>
  <c r="D42" i="1" a="1"/>
  <c r="D42" i="1" s="1"/>
  <c r="H42" i="1" a="1"/>
  <c r="H42" i="1" s="1"/>
  <c r="L42" i="1" a="1"/>
  <c r="L42" i="1" s="1"/>
  <c r="G30" i="1" a="1"/>
  <c r="G30" i="1" s="1"/>
  <c r="K30" i="1" a="1"/>
  <c r="K30" i="1" s="1"/>
  <c r="D31" i="1" a="1"/>
  <c r="D31" i="1" s="1"/>
  <c r="H31" i="1" a="1"/>
  <c r="H31" i="1" s="1"/>
  <c r="L31" i="1" a="1"/>
  <c r="L31" i="1" s="1"/>
  <c r="E32" i="1" a="1"/>
  <c r="E32" i="1" s="1"/>
  <c r="I32" i="1" a="1"/>
  <c r="I32" i="1" s="1"/>
  <c r="M32" i="1" a="1"/>
  <c r="M32" i="1" s="1"/>
  <c r="F33" i="1" a="1"/>
  <c r="F33" i="1" s="1"/>
  <c r="J33" i="1" a="1"/>
  <c r="J33" i="1" s="1"/>
  <c r="N33" i="1" a="1"/>
  <c r="N33" i="1" s="1"/>
  <c r="G34" i="1" a="1"/>
  <c r="G34" i="1" s="1"/>
  <c r="K34" i="1" a="1"/>
  <c r="K34" i="1" s="1"/>
  <c r="D37" i="1" a="1"/>
  <c r="D37" i="1" s="1"/>
  <c r="H37" i="1" a="1"/>
  <c r="H37" i="1" s="1"/>
  <c r="L37" i="1" a="1"/>
  <c r="L37" i="1" s="1"/>
  <c r="E38" i="1" a="1"/>
  <c r="E38" i="1" s="1"/>
  <c r="I38" i="1" a="1"/>
  <c r="I38" i="1" s="1"/>
  <c r="M38" i="1" a="1"/>
  <c r="M38" i="1" s="1"/>
  <c r="F39" i="1" a="1"/>
  <c r="F39" i="1" s="1"/>
  <c r="J39" i="1" a="1"/>
  <c r="J39" i="1" s="1"/>
  <c r="N39" i="1" a="1"/>
  <c r="N39" i="1" s="1"/>
  <c r="G40" i="1" a="1"/>
  <c r="G40" i="1" s="1"/>
  <c r="K40" i="1" a="1"/>
  <c r="K40" i="1" s="1"/>
  <c r="D41" i="1" a="1"/>
  <c r="D41" i="1" s="1"/>
  <c r="H41" i="1" a="1"/>
  <c r="H41" i="1" s="1"/>
  <c r="L41" i="1" a="1"/>
  <c r="L41" i="1" s="1"/>
  <c r="E42" i="1" a="1"/>
  <c r="E42" i="1" s="1"/>
  <c r="I42" i="1" a="1"/>
  <c r="I42" i="1" s="1"/>
  <c r="M42" i="1" a="1"/>
  <c r="M42" i="1" s="1"/>
  <c r="D30" i="1" a="1"/>
  <c r="D30" i="1" s="1"/>
  <c r="H30" i="1" a="1"/>
  <c r="H30" i="1" s="1"/>
  <c r="L30" i="1" a="1"/>
  <c r="L30" i="1" s="1"/>
  <c r="E31" i="1" a="1"/>
  <c r="E31" i="1" s="1"/>
  <c r="I31" i="1" a="1"/>
  <c r="I31" i="1" s="1"/>
  <c r="M31" i="1" a="1"/>
  <c r="M31" i="1" s="1"/>
  <c r="F32" i="1" a="1"/>
  <c r="F32" i="1" s="1"/>
  <c r="J32" i="1" a="1"/>
  <c r="J32" i="1" s="1"/>
  <c r="N32" i="1" a="1"/>
  <c r="N32" i="1" s="1"/>
  <c r="G33" i="1" a="1"/>
  <c r="G33" i="1" s="1"/>
  <c r="K33" i="1" a="1"/>
  <c r="K33" i="1" s="1"/>
  <c r="D34" i="1" a="1"/>
  <c r="D34" i="1" s="1"/>
  <c r="H34" i="1" a="1"/>
  <c r="H34" i="1" s="1"/>
  <c r="L34" i="1" a="1"/>
  <c r="L34" i="1" s="1"/>
  <c r="E37" i="1" a="1"/>
  <c r="E37" i="1" s="1"/>
  <c r="I37" i="1" a="1"/>
  <c r="I37" i="1" s="1"/>
  <c r="F38" i="1" a="1"/>
  <c r="F38" i="1" s="1"/>
  <c r="J38" i="1" a="1"/>
  <c r="J38" i="1" s="1"/>
  <c r="N38" i="1" a="1"/>
  <c r="N38" i="1" s="1"/>
  <c r="G39" i="1" a="1"/>
  <c r="G39" i="1" s="1"/>
  <c r="K39" i="1" a="1"/>
  <c r="K39" i="1" s="1"/>
  <c r="D40" i="1" a="1"/>
  <c r="D40" i="1" s="1"/>
  <c r="H40" i="1" a="1"/>
  <c r="H40" i="1" s="1"/>
  <c r="L40" i="1" a="1"/>
  <c r="L40" i="1" s="1"/>
  <c r="E41" i="1" a="1"/>
  <c r="E41" i="1" s="1"/>
  <c r="I41" i="1" a="1"/>
  <c r="I41" i="1" s="1"/>
  <c r="M41" i="1" a="1"/>
  <c r="M41" i="1" s="1"/>
  <c r="F42" i="1" a="1"/>
  <c r="F42" i="1" s="1"/>
  <c r="J42" i="1" a="1"/>
  <c r="J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<sst xmlns="http://schemas.openxmlformats.org/spreadsheetml/2006/main" count="53" uniqueCount="47">
  <si>
    <t>lang</t>
  </si>
  <si>
    <t>1g</t>
  </si>
  <si>
    <t>condition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</si>
  <si>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</si>
  <si>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</si>
  <si>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</si>
  <si>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</si>
  <si>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</si>
  <si>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</si>
  <si>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</si>
  <si>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</si>
  <si>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</si>
  <si>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15</t>
  </si>
  <si>
    <t>average</t>
  </si>
  <si>
    <t>arabic-1g</t>
  </si>
  <si>
    <t>arabic-2g</t>
  </si>
  <si>
    <t>arabic-3g</t>
  </si>
  <si>
    <t>arabic-sk2g</t>
  </si>
  <si>
    <t>arabic-sk3g</t>
  </si>
  <si>
    <t>english-1g</t>
  </si>
  <si>
    <t>english-2g</t>
  </si>
  <si>
    <t>english-3g</t>
  </si>
  <si>
    <t>english-sk2g</t>
  </si>
  <si>
    <t>english-sk3g</t>
  </si>
  <si>
    <t>french-1g</t>
  </si>
  <si>
    <t>french-2g</t>
  </si>
  <si>
    <t>french-3g</t>
  </si>
  <si>
    <t>french-sk2g</t>
  </si>
  <si>
    <t>french-sk3g</t>
  </si>
  <si>
    <t>german-1g</t>
  </si>
  <si>
    <t>german-2g</t>
  </si>
  <si>
    <t>german-3g</t>
  </si>
  <si>
    <t>german-sk2g</t>
  </si>
  <si>
    <t>german-sk3g</t>
  </si>
  <si>
    <t>russian-1g</t>
  </si>
  <si>
    <t>russian-2g</t>
  </si>
  <si>
    <t>russian-3g</t>
  </si>
  <si>
    <t>russian-sk2g</t>
  </si>
  <si>
    <t>russian-sk3g</t>
  </si>
  <si>
    <t>1g incluede</t>
  </si>
  <si>
    <t>all</t>
  </si>
  <si>
    <t>arabic</t>
  </si>
  <si>
    <t>german</t>
  </si>
  <si>
    <t>english</t>
  </si>
  <si>
    <t>french</t>
  </si>
  <si>
    <t>russian</t>
  </si>
  <si>
    <t>1g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</si>
</sst>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38A06-5A87-D642-B77C-4ECA313FE679}" name="Table1" displayName="Table1" ref="A1:N26" totalsRowShown="0">
  <autoFilter ref="A1:N26" xr:uid="{CFFBF5C2-C562-4A4E-B95B-091D1721BBE3}"/>
  <tableColumns count="14">
    <tableColumn id="1" xr3:uid="{70736A6E-56B2-0040-9F2E-3400A571A494}" name="lang">
      <calculatedColumnFormula>_xlfn.LET(_xlpm.c,$C2,_xlfn.TEXTBEFORE(_xlpm.c,"-"))</calculatedColumnFormula>
    </tableColumn>
    <tableColumn id="13" xr3:uid="{0E4B8114-9554-2342-B3F6-9F4AE7AE47C1}" name="1g" dataDxfId="11">
      <calculatedColumnFormula>_xlfn.LET(_xlpm.c,_xlfn.SINGLE(Table1[condition]),IF(RIGHT(_xlpm.c,2)="1g",1,0))</calculatedColumnFormula>
    </tableColumn>
    <tableColumn id="12" xr3:uid="{74FA5119-814A-764E-8B7B-D4946585D977}" name="condition"/>
    <tableColumn id="2" xr3:uid="{7F1BC133-B524-FD4B-BAF8-7BC2667226D9}" name="3" dataDxfId="10"/>
    <tableColumn id="3" xr3:uid="{CC551B75-8E17-E640-8542-0CAA033DD2CF}" name="4" dataDxfId="9"/>
    <tableColumn id="4" xr3:uid="{DDFE7D4E-C85C-F046-8FBB-99A759F73BBD}" name="5" dataDxfId="8"/>
    <tableColumn id="5" xr3:uid="{E083D66A-6DBE-8F49-9002-6398081CD479}" name="6" dataDxfId="7"/>
    <tableColumn id="6" xr3:uid="{39FDE9C8-A1BB-804F-8020-508C7C8AD9D5}" name="7" dataDxfId="6"/>
    <tableColumn id="7" xr3:uid="{C0637A43-418E-DB43-BBFB-89D2320C82AB}" name="8" dataDxfId="5"/>
    <tableColumn id="8" xr3:uid="{064430CB-90FD-4149-BDF3-907AEC39CD55}" name="9" dataDxfId="4"/>
    <tableColumn id="9" xr3:uid="{C7144DD8-B64F-624B-B209-B6A1824EDB45}" name="10" dataDxfId="3"/>
    <tableColumn id="10" xr3:uid="{2D657580-0696-8447-95DA-8D3F047C1D6A}" name="12" dataDxfId="2"/>
    <tableColumn id="11" xr3:uid="{BD53E442-FE85-C644-9B48-3912CD5C5098}" name="15" dataDxfId="1"/>
    <tableColumn id="14" xr3:uid="{2F370DBD-F8E8-BB41-86B5-1BA919B51C69}" name="average" dataDxfId="0">
      <calculatedColumnFormula>_xlfn.LET(_xlpm.d,$D2:$M2,AVERAGE(_xlpm.d))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603F-0355-3F4B-903A-C07139D2662A}">
  <dimension ref="A1:N42"/>
  <sheetViews>
    <sheetView tabSelected="1" workbookViewId="0">
      <pane xSplit="9080" ySplit="3520" activePane="bottomRight"/>
      <selection activeCell="B3" sqref="B3"/>
      <selection pane="topRight" activeCell="D1" sqref="D1:N1048576"/>
      <selection pane="bottomLeft" activeCell="C12" sqref="C12"/>
      <selection pane="bottomRight" activeCell="A7" sqref="A7"/>
    </sheetView>
  </sheetViews>
  <sheetFormatPr baseColWidth="10" defaultRowHeight="30" customHeight="1"/>
  <cols>
    <col min="1" max="1" width="10.375" customWidth="1"/>
    <col min="2" max="2" width="7.875" customWidth="1"/>
    <col min="3" max="3" width="14" customWidth="1"/>
    <col min="4" max="14" width="6.875" customWidth="1"/>
  </cols>
  <sheetData>
    <row r="1" spans="1:14" ht="3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30" customHeight="1">
      <c r="A2" t="str">
        <f>_xlfn.LET(_xlpm.c,$C2,_xlfn.TEXTBEFORE(_xlpm.c,"-"))</f>
        <v>arabic</v>
      </c>
      <c r="B2">
        <f>_xlfn.LET(_xlpm.c,_xlfn.SINGLE(Table1[condition]),IF(RIGHT(_xlpm.c,2)="1g",1,0))</f>
        <v>1</v>
      </c>
      <c r="C2" t="s">
        <v>14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f t="shared" ref="N2:N26" si="0">_xlfn.LET(_xlpm.d,$D2:$M2,AVERAGE(_xlpm.d))</f>
        <v>1</v>
      </c>
    </row>
    <row r="3" spans="1:14" ht="30" customHeight="1">
      <c r="A3" t="str">
        <f t="shared" ref="A3:A26" si="1">_xlfn.LET(_xlpm.c,$C3,_xlfn.TEXTBEFORE(_xlpm.c,"-"))</f>
        <v>arabic</v>
      </c>
      <c r="B3">
        <f>_xlfn.LET(_xlpm.c,_xlfn.SINGLE(Table1[condition]),IF(RIGHT(_xlpm.c,2)="1g",1,0))</f>
        <v>0</v>
      </c>
      <c r="C3" t="s">
        <v>15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f t="shared" si="0"/>
        <v>1</v>
      </c>
    </row>
    <row r="4" spans="1:14" ht="30" customHeight="1">
      <c r="A4" t="str">
        <f t="shared" si="1"/>
        <v>arabic</v>
      </c>
      <c r="B4">
        <f>_xlfn.LET(_xlpm.c,_xlfn.SINGLE(Table1[condition]),IF(RIGHT(_xlpm.c,2)="1g",1,0))</f>
        <v>0</v>
      </c>
      <c r="C4" t="s">
        <v>16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f t="shared" si="0"/>
        <v>1</v>
      </c>
    </row>
    <row r="5" spans="1:14" ht="30" customHeight="1">
      <c r="A5" t="str">
        <f t="shared" si="1"/>
        <v>arabic</v>
      </c>
      <c r="B5">
        <f>_xlfn.LET(_xlpm.c,_xlfn.SINGLE(Table1[condition]),IF(RIGHT(_xlpm.c,2)="1g",1,0))</f>
        <v>0</v>
      </c>
      <c r="C5" t="s">
        <v>17</v>
      </c>
      <c r="D5" s="1">
        <v>0.99798317394899605</v>
      </c>
      <c r="E5" s="1">
        <v>0.99948373003309299</v>
      </c>
      <c r="F5" s="1">
        <v>0.99955256601878695</v>
      </c>
      <c r="G5" s="1">
        <v>0.99961962503332102</v>
      </c>
      <c r="H5" s="1">
        <v>0.99957805659274701</v>
      </c>
      <c r="I5" s="1">
        <v>0.99953509727402001</v>
      </c>
      <c r="J5" s="1">
        <v>0.99948559384933999</v>
      </c>
      <c r="K5" s="1">
        <v>0.99953509727402001</v>
      </c>
      <c r="L5" s="1">
        <v>0.99947698444328203</v>
      </c>
      <c r="M5" s="1">
        <v>0.99889255855730597</v>
      </c>
      <c r="N5" s="1">
        <f t="shared" si="0"/>
        <v>0.99931424830249127</v>
      </c>
    </row>
    <row r="6" spans="1:14" ht="30" customHeight="1">
      <c r="A6" t="str">
        <f t="shared" si="1"/>
        <v>arabic</v>
      </c>
      <c r="B6">
        <f>_xlfn.LET(_xlpm.c,_xlfn.SINGLE(Table1[condition]),IF(RIGHT(_xlpm.c,2)="1g",1,0))</f>
        <v>0</v>
      </c>
      <c r="C6" t="s">
        <v>18</v>
      </c>
      <c r="D6" s="1">
        <v>0.97852580489589303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f t="shared" si="0"/>
        <v>0.99785258048958936</v>
      </c>
    </row>
    <row r="7" spans="1:14" ht="30" customHeight="1">
      <c r="A7" t="str">
        <f t="shared" si="1"/>
        <v>english</v>
      </c>
      <c r="B7">
        <f>_xlfn.LET(_xlpm.c,_xlfn.SINGLE(Table1[condition]),IF(RIGHT(_xlpm.c,2)="1g",1,0))</f>
        <v>1</v>
      </c>
      <c r="C7" t="s">
        <v>19</v>
      </c>
      <c r="D7" s="1">
        <v>1</v>
      </c>
      <c r="E7" s="1">
        <v>0.96946081042770105</v>
      </c>
      <c r="F7" s="1">
        <v>0.96082854675429996</v>
      </c>
      <c r="G7" s="1">
        <v>0.95125105083807904</v>
      </c>
      <c r="H7" s="1">
        <v>0.94994841461430302</v>
      </c>
      <c r="I7" s="1">
        <v>0.95288014676997002</v>
      </c>
      <c r="J7" s="1">
        <v>0.946613173559404</v>
      </c>
      <c r="K7" s="1">
        <v>0.96669218364978504</v>
      </c>
      <c r="L7" s="1">
        <v>0.98159279631073104</v>
      </c>
      <c r="M7" s="1">
        <v>0.94422304625884701</v>
      </c>
      <c r="N7" s="1">
        <f t="shared" si="0"/>
        <v>0.96234901691831198</v>
      </c>
    </row>
    <row r="8" spans="1:14" ht="30" customHeight="1">
      <c r="A8" t="str">
        <f t="shared" si="1"/>
        <v>english</v>
      </c>
      <c r="B8">
        <f>_xlfn.LET(_xlpm.c,_xlfn.SINGLE(Table1[condition]),IF(RIGHT(_xlpm.c,2)="1g",1,0))</f>
        <v>0</v>
      </c>
      <c r="C8" t="s">
        <v>20</v>
      </c>
      <c r="D8" s="1">
        <v>0.85098055651089499</v>
      </c>
      <c r="E8" s="1">
        <v>0.81493780952593398</v>
      </c>
      <c r="F8" s="1">
        <v>0.84759655522680599</v>
      </c>
      <c r="G8" s="1">
        <v>0.831441606284548</v>
      </c>
      <c r="H8" s="1">
        <v>0.85355186412713902</v>
      </c>
      <c r="I8" s="1">
        <v>0.84539128735268099</v>
      </c>
      <c r="J8" s="1">
        <v>0.84037478212009797</v>
      </c>
      <c r="K8" s="1">
        <v>0.86287415026409198</v>
      </c>
      <c r="L8" s="1">
        <v>0.82751370182745598</v>
      </c>
      <c r="M8" s="1">
        <v>0.80674476207128998</v>
      </c>
      <c r="N8" s="1">
        <f t="shared" si="0"/>
        <v>0.83814070753109393</v>
      </c>
    </row>
    <row r="9" spans="1:14" ht="30" customHeight="1">
      <c r="A9" t="str">
        <f t="shared" si="1"/>
        <v>english</v>
      </c>
      <c r="B9">
        <f>_xlfn.LET(_xlpm.c,_xlfn.SINGLE(Table1[condition]),IF(RIGHT(_xlpm.c,2)="1g",1,0))</f>
        <v>0</v>
      </c>
      <c r="C9" t="s">
        <v>21</v>
      </c>
      <c r="D9" s="1">
        <v>0.89513593245534195</v>
      </c>
      <c r="E9" s="1">
        <v>0.914679640695643</v>
      </c>
      <c r="F9" s="1">
        <v>0.92319557848946598</v>
      </c>
      <c r="G9" s="1">
        <v>0.88560876175666503</v>
      </c>
      <c r="H9" s="1">
        <v>0.88502225837294202</v>
      </c>
      <c r="I9" s="1">
        <v>0.860811218248836</v>
      </c>
      <c r="J9" s="1">
        <v>0.88714693282707102</v>
      </c>
      <c r="K9" s="1">
        <v>0.88714693282707102</v>
      </c>
      <c r="L9" s="1">
        <v>0.85807989037473997</v>
      </c>
      <c r="M9" s="1">
        <v>0.73384003943241305</v>
      </c>
      <c r="N9" s="1">
        <f t="shared" si="0"/>
        <v>0.87306671854801898</v>
      </c>
    </row>
    <row r="10" spans="1:14" ht="30" customHeight="1">
      <c r="A10" t="str">
        <f t="shared" si="1"/>
        <v>english</v>
      </c>
      <c r="B10">
        <f>_xlfn.LET(_xlpm.c,_xlfn.SINGLE(Table1[condition]),IF(RIGHT(_xlpm.c,2)="1g",1,0))</f>
        <v>0</v>
      </c>
      <c r="C10" t="s">
        <v>22</v>
      </c>
      <c r="D10" s="1">
        <v>0.84826872137943299</v>
      </c>
      <c r="E10" s="1">
        <v>0.92658806396075</v>
      </c>
      <c r="F10" s="1">
        <v>0.91440831852486304</v>
      </c>
      <c r="G10" s="1">
        <v>0.91440831852486304</v>
      </c>
      <c r="H10" s="1">
        <v>0.891353082578064</v>
      </c>
      <c r="I10" s="1">
        <v>0.90130134900724901</v>
      </c>
      <c r="J10" s="1">
        <v>0.91357276627410999</v>
      </c>
      <c r="K10" s="1">
        <v>0.952096102569568</v>
      </c>
      <c r="L10" s="1">
        <v>0.94599464419039403</v>
      </c>
      <c r="M10" s="1">
        <v>0.87986446417146302</v>
      </c>
      <c r="N10" s="1">
        <f t="shared" si="0"/>
        <v>0.90878558311807578</v>
      </c>
    </row>
    <row r="11" spans="1:14" ht="30" customHeight="1">
      <c r="A11" t="str">
        <f t="shared" si="1"/>
        <v>english</v>
      </c>
      <c r="B11">
        <f>_xlfn.LET(_xlpm.c,_xlfn.SINGLE(Table1[condition]),IF(RIGHT(_xlpm.c,2)="1g",1,0))</f>
        <v>0</v>
      </c>
      <c r="C11" t="s">
        <v>23</v>
      </c>
      <c r="D11" s="1">
        <v>0.85525828631021905</v>
      </c>
      <c r="E11" s="1">
        <v>0.87201862540605102</v>
      </c>
      <c r="F11" s="1">
        <v>0.86179503969202798</v>
      </c>
      <c r="G11" s="1">
        <v>0.88447369468367498</v>
      </c>
      <c r="H11" s="1">
        <v>0.87390196704440204</v>
      </c>
      <c r="I11" s="1">
        <v>0.85188551160463999</v>
      </c>
      <c r="J11" s="1">
        <v>0.83553081981538802</v>
      </c>
      <c r="K11" s="1">
        <v>0.89998311386974394</v>
      </c>
      <c r="L11" s="1">
        <v>0.94752162376734295</v>
      </c>
      <c r="M11" s="1">
        <v>0.81418227588358105</v>
      </c>
      <c r="N11" s="1">
        <f t="shared" si="0"/>
        <v>0.86965509580770706</v>
      </c>
    </row>
    <row r="12" spans="1:14" ht="30" customHeight="1">
      <c r="A12" t="str">
        <f t="shared" si="1"/>
        <v>french</v>
      </c>
      <c r="B12">
        <f>_xlfn.LET(_xlpm.c,_xlfn.SINGLE(Table1[condition]),IF(RIGHT(_xlpm.c,2)="1g",1,0))</f>
        <v>1</v>
      </c>
      <c r="C12" t="s">
        <v>24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0.98139854123331305</v>
      </c>
      <c r="L12" s="1">
        <v>0.98243173670420103</v>
      </c>
      <c r="M12" s="1">
        <v>0.97834253767377299</v>
      </c>
      <c r="N12" s="1">
        <f t="shared" si="0"/>
        <v>0.99421728156112876</v>
      </c>
    </row>
    <row r="13" spans="1:14" ht="30" customHeight="1">
      <c r="A13" t="str">
        <f t="shared" si="1"/>
        <v>french</v>
      </c>
      <c r="B13">
        <f>_xlfn.LET(_xlpm.c,_xlfn.SINGLE(Table1[condition]),IF(RIGHT(_xlpm.c,2)="1g",1,0))</f>
        <v>0</v>
      </c>
      <c r="C13" t="s">
        <v>25</v>
      </c>
      <c r="D13" s="1">
        <v>0.93945124900084698</v>
      </c>
      <c r="E13" s="1">
        <v>0.95009522955300896</v>
      </c>
      <c r="F13" s="1">
        <v>0.94638899900615203</v>
      </c>
      <c r="G13" s="1">
        <v>0.93671503878106099</v>
      </c>
      <c r="H13" s="1">
        <v>0.92442070628445805</v>
      </c>
      <c r="I13" s="1">
        <v>0.92470593710670301</v>
      </c>
      <c r="J13" s="1">
        <v>0.91817129633101002</v>
      </c>
      <c r="K13" s="1">
        <v>0.89422683121965696</v>
      </c>
      <c r="L13" s="1">
        <v>0.90276195529992798</v>
      </c>
      <c r="M13" s="1">
        <v>0.88914039956723601</v>
      </c>
      <c r="N13" s="1">
        <f t="shared" si="0"/>
        <v>0.9226077642150059</v>
      </c>
    </row>
    <row r="14" spans="1:14" ht="30" customHeight="1">
      <c r="A14" t="str">
        <f t="shared" si="1"/>
        <v>french</v>
      </c>
      <c r="B14">
        <f>_xlfn.LET(_xlpm.c,_xlfn.SINGLE(Table1[condition]),IF(RIGHT(_xlpm.c,2)="1g",1,0))</f>
        <v>0</v>
      </c>
      <c r="C14" t="s">
        <v>26</v>
      </c>
      <c r="D14" s="1">
        <v>0.89780260241174104</v>
      </c>
      <c r="E14" s="1">
        <v>0.87976679490615495</v>
      </c>
      <c r="F14" s="1">
        <v>0.85769713921443602</v>
      </c>
      <c r="G14" s="1">
        <v>0.83534407959332502</v>
      </c>
      <c r="H14" s="1">
        <v>0.89471772162333496</v>
      </c>
      <c r="I14" s="1">
        <v>0.89801569204898102</v>
      </c>
      <c r="J14" s="1">
        <v>0.864155837669349</v>
      </c>
      <c r="K14" s="1">
        <v>0.864155837669349</v>
      </c>
      <c r="L14" s="1">
        <v>0.86363896071286195</v>
      </c>
      <c r="M14" s="1">
        <v>0.74036581779347199</v>
      </c>
      <c r="N14" s="1">
        <f t="shared" si="0"/>
        <v>0.85956604836430051</v>
      </c>
    </row>
    <row r="15" spans="1:14" ht="30" customHeight="1">
      <c r="A15" t="str">
        <f t="shared" si="1"/>
        <v>french</v>
      </c>
      <c r="B15">
        <f>_xlfn.LET(_xlpm.c,_xlfn.SINGLE(Table1[condition]),IF(RIGHT(_xlpm.c,2)="1g",1,0))</f>
        <v>0</v>
      </c>
      <c r="C15" t="s">
        <v>27</v>
      </c>
      <c r="D15" s="1">
        <v>0.85669161435446906</v>
      </c>
      <c r="E15" s="1">
        <v>0.838644693032779</v>
      </c>
      <c r="F15" s="1">
        <v>0.85012698448119295</v>
      </c>
      <c r="G15" s="1">
        <v>0.86759161179400401</v>
      </c>
      <c r="H15" s="1">
        <v>0.86613575971874801</v>
      </c>
      <c r="I15" s="1">
        <v>0.87262214559311402</v>
      </c>
      <c r="J15" s="1">
        <v>0.86337497705924404</v>
      </c>
      <c r="K15" s="1">
        <v>0.81728922441556595</v>
      </c>
      <c r="L15" s="1">
        <v>0.82268790202403397</v>
      </c>
      <c r="M15" s="1">
        <v>0.79047881332599401</v>
      </c>
      <c r="N15" s="1">
        <f t="shared" si="0"/>
        <v>0.84456437257991457</v>
      </c>
    </row>
    <row r="16" spans="1:14" ht="30" customHeight="1">
      <c r="A16" t="str">
        <f t="shared" si="1"/>
        <v>french</v>
      </c>
      <c r="B16">
        <f>_xlfn.LET(_xlpm.c,_xlfn.SINGLE(Table1[condition]),IF(RIGHT(_xlpm.c,2)="1g",1,0))</f>
        <v>0</v>
      </c>
      <c r="C16" t="s">
        <v>28</v>
      </c>
      <c r="D16" s="1">
        <v>0.79046466551143002</v>
      </c>
      <c r="E16" s="1">
        <v>0.784658620092613</v>
      </c>
      <c r="F16" s="1">
        <v>0.84576497260354799</v>
      </c>
      <c r="G16" s="1">
        <v>0.82891324997125104</v>
      </c>
      <c r="H16" s="1">
        <v>0.87209095101488898</v>
      </c>
      <c r="I16" s="1">
        <v>0.90593434247825799</v>
      </c>
      <c r="J16" s="1">
        <v>0.83734250404166499</v>
      </c>
      <c r="K16" s="1">
        <v>0.82880716769434004</v>
      </c>
      <c r="L16" s="1">
        <v>0.71594287845623195</v>
      </c>
      <c r="M16" s="1">
        <v>0.74618449961972599</v>
      </c>
      <c r="N16" s="1">
        <f t="shared" si="0"/>
        <v>0.81561038514839512</v>
      </c>
    </row>
    <row r="17" spans="1:14" ht="30" customHeight="1">
      <c r="A17" t="str">
        <f t="shared" si="1"/>
        <v>german</v>
      </c>
      <c r="B17">
        <f>_xlfn.LET(_xlpm.c,_xlfn.SINGLE(Table1[condition]),IF(RIGHT(_xlpm.c,2)="1g",1,0))</f>
        <v>1</v>
      </c>
      <c r="C17" t="s">
        <v>29</v>
      </c>
      <c r="D17" s="1">
        <v>1</v>
      </c>
      <c r="E17" s="1">
        <v>0.99883832994708599</v>
      </c>
      <c r="F17" s="1">
        <v>0.98873755655256301</v>
      </c>
      <c r="G17" s="1">
        <v>0.99007153069425002</v>
      </c>
      <c r="H17" s="1">
        <v>0.985721328858714</v>
      </c>
      <c r="I17" s="1">
        <v>0.98807512094227101</v>
      </c>
      <c r="J17" s="1">
        <v>0.98873755655256301</v>
      </c>
      <c r="K17" s="1">
        <v>0.98986371946665197</v>
      </c>
      <c r="L17" s="1">
        <v>0.98732989342109301</v>
      </c>
      <c r="M17" s="1">
        <v>0.95542661577764898</v>
      </c>
      <c r="N17" s="1">
        <f t="shared" si="0"/>
        <v>0.98728016522128415</v>
      </c>
    </row>
    <row r="18" spans="1:14" ht="30" customHeight="1">
      <c r="A18" t="str">
        <f t="shared" si="1"/>
        <v>german</v>
      </c>
      <c r="B18">
        <f>_xlfn.LET(_xlpm.c,_xlfn.SINGLE(Table1[condition]),IF(RIGHT(_xlpm.c,2)="1g",1,0))</f>
        <v>0</v>
      </c>
      <c r="C18" t="s">
        <v>30</v>
      </c>
      <c r="D18" s="1">
        <v>0.92598860022979401</v>
      </c>
      <c r="E18" s="1">
        <v>0.94804174455023305</v>
      </c>
      <c r="F18" s="1">
        <v>0.94893777987496897</v>
      </c>
      <c r="G18" s="1">
        <v>0.93966256534443005</v>
      </c>
      <c r="H18" s="1">
        <v>0.91034273200807603</v>
      </c>
      <c r="I18" s="1">
        <v>0.92171061999343695</v>
      </c>
      <c r="J18" s="1">
        <v>0.90034403016042397</v>
      </c>
      <c r="K18" s="1">
        <v>0.92466245409723102</v>
      </c>
      <c r="L18" s="1">
        <v>0.95121769274241197</v>
      </c>
      <c r="M18" s="1">
        <v>0.86732767248023801</v>
      </c>
      <c r="N18" s="1">
        <f t="shared" si="0"/>
        <v>0.92382358914812457</v>
      </c>
    </row>
    <row r="19" spans="1:14" ht="30" customHeight="1">
      <c r="A19" t="str">
        <f t="shared" si="1"/>
        <v>german</v>
      </c>
      <c r="B19">
        <f>_xlfn.LET(_xlpm.c,_xlfn.SINGLE(Table1[condition]),IF(RIGHT(_xlpm.c,2)="1g",1,0))</f>
        <v>0</v>
      </c>
      <c r="C19" t="s">
        <v>31</v>
      </c>
      <c r="D19" s="1">
        <v>0.91435224311048702</v>
      </c>
      <c r="E19" s="1">
        <v>0.91166172727667805</v>
      </c>
      <c r="F19" s="1">
        <v>0.90982096593956396</v>
      </c>
      <c r="G19" s="1">
        <v>0.93615760069225396</v>
      </c>
      <c r="H19" s="1">
        <v>0.89837107143871398</v>
      </c>
      <c r="I19" s="1">
        <v>0.88558908752731402</v>
      </c>
      <c r="J19" s="1">
        <v>0.89881119388971398</v>
      </c>
      <c r="K19" s="1">
        <v>0.89772362222364999</v>
      </c>
      <c r="L19" s="1">
        <v>0.90079475497382999</v>
      </c>
      <c r="M19" s="1">
        <v>0.81062300791553199</v>
      </c>
      <c r="N19" s="1">
        <f t="shared" si="0"/>
        <v>0.89639052749877379</v>
      </c>
    </row>
    <row r="20" spans="1:14" ht="30" customHeight="1">
      <c r="A20" t="str">
        <f t="shared" si="1"/>
        <v>german</v>
      </c>
      <c r="B20">
        <f>_xlfn.LET(_xlpm.c,_xlfn.SINGLE(Table1[condition]),IF(RIGHT(_xlpm.c,2)="1g",1,0))</f>
        <v>0</v>
      </c>
      <c r="C20" t="s">
        <v>32</v>
      </c>
      <c r="D20" s="1">
        <v>0.80955243128630905</v>
      </c>
      <c r="E20" s="1">
        <v>0.83120690525700502</v>
      </c>
      <c r="F20" s="1">
        <v>0.83985623190169401</v>
      </c>
      <c r="G20" s="1">
        <v>0.83711461931919995</v>
      </c>
      <c r="H20" s="1">
        <v>0.87563651508646301</v>
      </c>
      <c r="I20" s="1">
        <v>0.846319007981849</v>
      </c>
      <c r="J20" s="1">
        <v>0.86113551826920398</v>
      </c>
      <c r="K20" s="1">
        <v>0.85229755378395</v>
      </c>
      <c r="L20" s="1">
        <v>0.85005894006516303</v>
      </c>
      <c r="M20" s="1">
        <v>0.79815385072790401</v>
      </c>
      <c r="N20" s="1">
        <f t="shared" si="0"/>
        <v>0.84013315736787431</v>
      </c>
    </row>
    <row r="21" spans="1:14" ht="30" customHeight="1">
      <c r="A21" t="str">
        <f t="shared" si="1"/>
        <v>german</v>
      </c>
      <c r="B21">
        <f>_xlfn.LET(_xlpm.c,_xlfn.SINGLE(Table1[condition]),IF(RIGHT(_xlpm.c,2)="1g",1,0))</f>
        <v>0</v>
      </c>
      <c r="C21" t="s">
        <v>33</v>
      </c>
      <c r="D21" s="1">
        <v>0.97291646899383299</v>
      </c>
      <c r="E21" s="1">
        <v>0.93999237257420099</v>
      </c>
      <c r="F21" s="1">
        <v>0.92297022850365695</v>
      </c>
      <c r="G21" s="1">
        <v>0.89055227115221502</v>
      </c>
      <c r="H21" s="1">
        <v>0.90473704774827601</v>
      </c>
      <c r="I21" s="1">
        <v>0.89959431138488599</v>
      </c>
      <c r="J21" s="1">
        <v>0.89702644212090199</v>
      </c>
      <c r="K21" s="1">
        <v>0.89259562760214595</v>
      </c>
      <c r="L21" s="1">
        <v>0.91158800898591996</v>
      </c>
      <c r="M21" s="1">
        <v>0.809480275596138</v>
      </c>
      <c r="N21" s="1">
        <f t="shared" si="0"/>
        <v>0.90414530546621763</v>
      </c>
    </row>
    <row r="22" spans="1:14" ht="30" customHeight="1">
      <c r="A22" t="str">
        <f t="shared" si="1"/>
        <v>russian</v>
      </c>
      <c r="B22">
        <f>_xlfn.LET(_xlpm.c,_xlfn.SINGLE(Table1[condition]),IF(RIGHT(_xlpm.c,2)="1g",1,0))</f>
        <v>1</v>
      </c>
      <c r="C22" t="s">
        <v>34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f t="shared" si="0"/>
        <v>1</v>
      </c>
    </row>
    <row r="23" spans="1:14" ht="30" customHeight="1">
      <c r="A23" t="str">
        <f t="shared" si="1"/>
        <v>russian</v>
      </c>
      <c r="B23">
        <f>_xlfn.LET(_xlpm.c,_xlfn.SINGLE(Table1[condition]),IF(RIGHT(_xlpm.c,2)="1g",1,0))</f>
        <v>0</v>
      </c>
      <c r="C23" t="s">
        <v>35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f t="shared" si="0"/>
        <v>1</v>
      </c>
    </row>
    <row r="24" spans="1:14" ht="30" customHeight="1">
      <c r="A24" t="str">
        <f t="shared" si="1"/>
        <v>russian</v>
      </c>
      <c r="B24">
        <f>_xlfn.LET(_xlpm.c,_xlfn.SINGLE(Table1[condition]),IF(RIGHT(_xlpm.c,2)="1g",1,0))</f>
        <v>0</v>
      </c>
      <c r="C24" t="s">
        <v>36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f t="shared" si="0"/>
        <v>1</v>
      </c>
    </row>
    <row r="25" spans="1:14" ht="30" customHeight="1">
      <c r="A25" t="str">
        <f t="shared" si="1"/>
        <v>russian</v>
      </c>
      <c r="B25">
        <f>_xlfn.LET(_xlpm.c,_xlfn.SINGLE(Table1[condition]),IF(RIGHT(_xlpm.c,2)="1g",1,0))</f>
        <v>0</v>
      </c>
      <c r="C25" t="s">
        <v>37</v>
      </c>
      <c r="D25" s="1">
        <v>0.99670749578332596</v>
      </c>
      <c r="E25" s="1">
        <v>0.99623714220050097</v>
      </c>
      <c r="F25" s="1">
        <v>0.99594769465612698</v>
      </c>
      <c r="G25" s="1">
        <v>0.99521092226534402</v>
      </c>
      <c r="H25" s="1">
        <v>0.99521092226534402</v>
      </c>
      <c r="I25" s="1">
        <v>0.99521092226534402</v>
      </c>
      <c r="J25" s="1">
        <v>0.99521092226534402</v>
      </c>
      <c r="K25" s="1">
        <v>0.99521092226534402</v>
      </c>
      <c r="L25" s="1">
        <v>0.99521092226534402</v>
      </c>
      <c r="M25" s="1">
        <v>0.97972952160704596</v>
      </c>
      <c r="N25" s="1">
        <f t="shared" si="0"/>
        <v>0.99398873878390648</v>
      </c>
    </row>
    <row r="26" spans="1:14" ht="30" customHeight="1">
      <c r="A26" t="str">
        <f t="shared" si="1"/>
        <v>russian</v>
      </c>
      <c r="B26">
        <f>_xlfn.LET(_xlpm.c,_xlfn.SINGLE(Table1[condition]),IF(RIGHT(_xlpm.c,2)="1g",1,0))</f>
        <v>0</v>
      </c>
      <c r="C26" t="s">
        <v>38</v>
      </c>
      <c r="D26" s="1">
        <v>0.97793504482995897</v>
      </c>
      <c r="E26" s="1">
        <v>0.94293025738036695</v>
      </c>
      <c r="F26" s="1">
        <v>0.94346001452267303</v>
      </c>
      <c r="G26" s="1">
        <v>0.94346001452267303</v>
      </c>
      <c r="H26" s="1">
        <v>0.93641052567183403</v>
      </c>
      <c r="I26" s="1">
        <v>0.94314932174628296</v>
      </c>
      <c r="J26" s="1">
        <v>0.94656441697235805</v>
      </c>
      <c r="K26" s="1">
        <v>0.94656441697235805</v>
      </c>
      <c r="L26" s="1">
        <v>0.93697194287767904</v>
      </c>
      <c r="M26" s="1">
        <v>0.98453822147623404</v>
      </c>
      <c r="N26" s="1">
        <f t="shared" si="0"/>
        <v>0.95019841769724189</v>
      </c>
    </row>
    <row r="28" spans="1:14" ht="30" customHeight="1">
      <c r="C28" t="s">
        <v>39</v>
      </c>
    </row>
    <row r="29" spans="1:14" ht="30" customHeight="1">
      <c r="C29" t="s">
        <v>40</v>
      </c>
      <c r="D29" s="2">
        <f>_xlfn.LET(_xlpm.d,D$2:D$26,AVERAGE(_xlpm.d))</f>
        <v>0.94032059564051895</v>
      </c>
      <c r="E29" s="2">
        <f t="shared" ref="E29:N29" si="2">_xlfn.LET(_xlpm.d,E$2:E$26,AVERAGE(_xlpm.d))</f>
        <v>0.94076969987279169</v>
      </c>
      <c r="F29" s="2">
        <f t="shared" si="2"/>
        <v>0.9422834068785132</v>
      </c>
      <c r="G29" s="2">
        <f t="shared" si="2"/>
        <v>0.93870386245004633</v>
      </c>
      <c r="H29" s="2">
        <f t="shared" si="2"/>
        <v>0.94068603700193787</v>
      </c>
      <c r="I29" s="2">
        <f t="shared" si="2"/>
        <v>0.9397092447730333</v>
      </c>
      <c r="J29" s="2">
        <f t="shared" si="2"/>
        <v>0.93574395055108739</v>
      </c>
      <c r="K29" s="2">
        <f t="shared" si="2"/>
        <v>0.93812493996391322</v>
      </c>
      <c r="L29" s="2">
        <f t="shared" si="2"/>
        <v>0.9352326091777059</v>
      </c>
      <c r="M29" s="2">
        <f t="shared" si="2"/>
        <v>0.90110153519743363</v>
      </c>
      <c r="N29" s="2">
        <f t="shared" si="2"/>
        <v>0.9352675881506981</v>
      </c>
    </row>
    <row r="30" spans="1:14" ht="30" customHeight="1">
      <c r="C30" t="s">
        <v>41</v>
      </c>
      <c r="D30" s="2" cm="1">
        <f t="array" ref="D30">_xlfn.LET(_xlpm.d,D$2:D$26,_xlpm.f,$A$2:$A$26,_xlpm.k,$C30,AVERAGE(_xlfn._xlws.FILTER(_xlpm.d,_xlpm.f=_xlpm.k)))</f>
        <v>0.99530179576897793</v>
      </c>
      <c r="E30" s="2" cm="1">
        <f t="array" ref="E30">_xlfn.LET(_xlpm.d,E$2:E$26,_xlpm.f,$A$2:$A$26,_xlpm.k,$C30,AVERAGE(_xlfn._xlws.FILTER(_xlpm.d,_xlpm.f=_xlpm.k)))</f>
        <v>0.9998967460066186</v>
      </c>
      <c r="F30" s="2" cm="1">
        <f t="array" ref="F30">_xlfn.LET(_xlpm.d,F$2:F$26,_xlpm.f,$A$2:$A$26,_xlpm.k,$C30,AVERAGE(_xlfn._xlws.FILTER(_xlpm.d,_xlpm.f=_xlpm.k)))</f>
        <v>0.99991051320375735</v>
      </c>
      <c r="G30" s="2" cm="1">
        <f t="array" ref="G30">_xlfn.LET(_xlpm.d,G$2:G$26,_xlpm.f,$A$2:$A$26,_xlpm.k,$C30,AVERAGE(_xlfn._xlws.FILTER(_xlpm.d,_xlpm.f=_xlpm.k)))</f>
        <v>0.99992392500666427</v>
      </c>
      <c r="H30" s="2" cm="1">
        <f t="array" ref="H30">_xlfn.LET(_xlpm.d,H$2:H$26,_xlpm.f,$A$2:$A$26,_xlpm.k,$C30,AVERAGE(_xlfn._xlws.FILTER(_xlpm.d,_xlpm.f=_xlpm.k)))</f>
        <v>0.99991561131854945</v>
      </c>
      <c r="I30" s="2" cm="1">
        <f t="array" ref="I30">_xlfn.LET(_xlpm.d,I$2:I$26,_xlpm.f,$A$2:$A$26,_xlpm.k,$C30,AVERAGE(_xlfn._xlws.FILTER(_xlpm.d,_xlpm.f=_xlpm.k)))</f>
        <v>0.99990701945480398</v>
      </c>
      <c r="J30" s="2" cm="1">
        <f t="array" ref="J30">_xlfn.LET(_xlpm.d,J$2:J$26,_xlpm.f,$A$2:$A$26,_xlpm.k,$C30,AVERAGE(_xlfn._xlws.FILTER(_xlpm.d,_xlpm.f=_xlpm.k)))</f>
        <v>0.99989711876986787</v>
      </c>
      <c r="K30" s="2" cm="1">
        <f t="array" ref="K30">_xlfn.LET(_xlpm.d,K$2:K$26,_xlpm.f,$A$2:$A$26,_xlpm.k,$C30,AVERAGE(_xlfn._xlws.FILTER(_xlpm.d,_xlpm.f=_xlpm.k)))</f>
        <v>0.99990701945480398</v>
      </c>
      <c r="L30" s="2" cm="1">
        <f t="array" ref="L30">_xlfn.LET(_xlpm.d,L$2:L$26,_xlpm.f,$A$2:$A$26,_xlpm.k,$C30,AVERAGE(_xlfn._xlws.FILTER(_xlpm.d,_xlpm.f=_xlpm.k)))</f>
        <v>0.99989539688865636</v>
      </c>
      <c r="M30" s="2" cm="1">
        <f t="array" ref="M30">_xlfn.LET(_xlpm.d,M$2:M$26,_xlpm.f,$A$2:$A$26,_xlpm.k,$C30,AVERAGE(_xlfn._xlws.FILTER(_xlpm.d,_xlpm.f=_xlpm.k)))</f>
        <v>0.99977851171146115</v>
      </c>
      <c r="N30" s="2" cm="1">
        <f t="array" ref="N30">_xlfn.LET(_xlpm.d,N$2:N$26,_xlpm.f,$A$2:$A$26,_xlpm.k,$C30,AVERAGE(_xlfn._xlws.FILTER(_xlpm.d,_xlpm.f=_xlpm.k)))</f>
        <v>0.99943336575841624</v>
      </c>
    </row>
    <row r="31" spans="1:14" ht="30" customHeight="1">
      <c r="C31" t="s">
        <v>42</v>
      </c>
      <c r="D31" s="2" cm="1">
        <f t="array" ref="D31">_xlfn.LET(_xlpm.d,D$2:D$26,_xlpm.f,$A$2:$A$26,_xlpm.k,$C31,AVERAGE(_xlfn._xlws.FILTER(_xlpm.d,_xlpm.f=_xlpm.k)))</f>
        <v>0.92456194872408459</v>
      </c>
      <c r="E31" s="2" cm="1">
        <f t="array" ref="E31">_xlfn.LET(_xlpm.d,E$2:E$26,_xlpm.f,$A$2:$A$26,_xlpm.k,$C31,AVERAGE(_xlfn._xlws.FILTER(_xlpm.d,_xlpm.f=_xlpm.k)))</f>
        <v>0.92594821592104071</v>
      </c>
      <c r="F31" s="2" cm="1">
        <f t="array" ref="F31">_xlfn.LET(_xlpm.d,F$2:F$26,_xlpm.f,$A$2:$A$26,_xlpm.k,$C31,AVERAGE(_xlfn._xlws.FILTER(_xlpm.d,_xlpm.f=_xlpm.k)))</f>
        <v>0.92206455255448938</v>
      </c>
      <c r="G31" s="2" cm="1">
        <f t="array" ref="G31">_xlfn.LET(_xlpm.d,G$2:G$26,_xlpm.f,$A$2:$A$26,_xlpm.k,$C31,AVERAGE(_xlfn._xlws.FILTER(_xlpm.d,_xlpm.f=_xlpm.k)))</f>
        <v>0.91871171744046976</v>
      </c>
      <c r="H31" s="2" cm="1">
        <f t="array" ref="H31">_xlfn.LET(_xlpm.d,H$2:H$26,_xlpm.f,$A$2:$A$26,_xlpm.k,$C31,AVERAGE(_xlfn._xlws.FILTER(_xlpm.d,_xlpm.f=_xlpm.k)))</f>
        <v>0.91496173902804867</v>
      </c>
      <c r="I31" s="2" cm="1">
        <f t="array" ref="I31">_xlfn.LET(_xlpm.d,I$2:I$26,_xlpm.f,$A$2:$A$26,_xlpm.k,$C31,AVERAGE(_xlfn._xlws.FILTER(_xlpm.d,_xlpm.f=_xlpm.k)))</f>
        <v>0.90825762956595146</v>
      </c>
      <c r="J31" s="2" cm="1">
        <f t="array" ref="J31">_xlfn.LET(_xlpm.d,J$2:J$26,_xlpm.f,$A$2:$A$26,_xlpm.k,$C31,AVERAGE(_xlfn._xlws.FILTER(_xlpm.d,_xlpm.f=_xlpm.k)))</f>
        <v>0.9092109481985613</v>
      </c>
      <c r="K31" s="2" cm="1">
        <f t="array" ref="K31">_xlfn.LET(_xlpm.d,K$2:K$26,_xlpm.f,$A$2:$A$26,_xlpm.k,$C31,AVERAGE(_xlfn._xlws.FILTER(_xlpm.d,_xlpm.f=_xlpm.k)))</f>
        <v>0.91142859543472576</v>
      </c>
      <c r="L31" s="2" cm="1">
        <f t="array" ref="L31">_xlfn.LET(_xlpm.d,L$2:L$26,_xlpm.f,$A$2:$A$26,_xlpm.k,$C31,AVERAGE(_xlfn._xlws.FILTER(_xlpm.d,_xlpm.f=_xlpm.k)))</f>
        <v>0.9201978580376835</v>
      </c>
      <c r="M31" s="2" cm="1">
        <f t="array" ref="M31">_xlfn.LET(_xlpm.d,M$2:M$26,_xlpm.f,$A$2:$A$26,_xlpm.k,$C31,AVERAGE(_xlfn._xlws.FILTER(_xlpm.d,_xlpm.f=_xlpm.k)))</f>
        <v>0.84820228449949209</v>
      </c>
      <c r="N31" s="2" cm="1">
        <f t="array" ref="N31">_xlfn.LET(_xlpm.d,N$2:N$26,_xlpm.f,$A$2:$A$26,_xlpm.k,$C31,AVERAGE(_xlfn._xlws.FILTER(_xlpm.d,_xlpm.f=_xlpm.k)))</f>
        <v>0.91035454894045476</v>
      </c>
    </row>
    <row r="32" spans="1:14" ht="30" customHeight="1">
      <c r="C32" t="s">
        <v>43</v>
      </c>
      <c r="D32" s="2" cm="1">
        <f t="array" ref="D32">_xlfn.LET(_xlpm.d,D$2:D$26,_xlpm.f,$A$2:$A$26,_xlpm.k,$C32,AVERAGE(_xlfn._xlws.FILTER(_xlpm.d,_xlpm.f=_xlpm.k)))</f>
        <v>0.8899286993311778</v>
      </c>
      <c r="E32" s="2" cm="1">
        <f t="array" ref="E32">_xlfn.LET(_xlpm.d,E$2:E$26,_xlpm.f,$A$2:$A$26,_xlpm.k,$C32,AVERAGE(_xlfn._xlws.FILTER(_xlpm.d,_xlpm.f=_xlpm.k)))</f>
        <v>0.89953699000321596</v>
      </c>
      <c r="F32" s="2" cm="1">
        <f t="array" ref="F32">_xlfn.LET(_xlpm.d,F$2:F$26,_xlpm.f,$A$2:$A$26,_xlpm.k,$C32,AVERAGE(_xlfn._xlws.FILTER(_xlpm.d,_xlpm.f=_xlpm.k)))</f>
        <v>0.9015648077374927</v>
      </c>
      <c r="G32" s="2" cm="1">
        <f t="array" ref="G32">_xlfn.LET(_xlpm.d,G$2:G$26,_xlpm.f,$A$2:$A$26,_xlpm.k,$C32,AVERAGE(_xlfn._xlws.FILTER(_xlpm.d,_xlpm.f=_xlpm.k)))</f>
        <v>0.89343668641756602</v>
      </c>
      <c r="H32" s="2" cm="1">
        <f t="array" ref="H32">_xlfn.LET(_xlpm.d,H$2:H$26,_xlpm.f,$A$2:$A$26,_xlpm.k,$C32,AVERAGE(_xlfn._xlws.FILTER(_xlpm.d,_xlpm.f=_xlpm.k)))</f>
        <v>0.89075551734737002</v>
      </c>
      <c r="I32" s="2" cm="1">
        <f t="array" ref="I32">_xlfn.LET(_xlpm.d,I$2:I$26,_xlpm.f,$A$2:$A$26,_xlpm.k,$C32,AVERAGE(_xlfn._xlws.FILTER(_xlpm.d,_xlpm.f=_xlpm.k)))</f>
        <v>0.88245390259667522</v>
      </c>
      <c r="J32" s="2" cm="1">
        <f t="array" ref="J32">_xlfn.LET(_xlpm.d,J$2:J$26,_xlpm.f,$A$2:$A$26,_xlpm.k,$C32,AVERAGE(_xlfn._xlws.FILTER(_xlpm.d,_xlpm.f=_xlpm.k)))</f>
        <v>0.88464769491921424</v>
      </c>
      <c r="K32" s="2" cm="1">
        <f t="array" ref="K32">_xlfn.LET(_xlpm.d,K$2:K$26,_xlpm.f,$A$2:$A$26,_xlpm.k,$C32,AVERAGE(_xlfn._xlws.FILTER(_xlpm.d,_xlpm.f=_xlpm.k)))</f>
        <v>0.91375849663605191</v>
      </c>
      <c r="L32" s="2" cm="1">
        <f t="array" ref="L32">_xlfn.LET(_xlpm.d,L$2:L$26,_xlpm.f,$A$2:$A$26,_xlpm.k,$C32,AVERAGE(_xlfn._xlws.FILTER(_xlpm.d,_xlpm.f=_xlpm.k)))</f>
        <v>0.91214053129413275</v>
      </c>
      <c r="M32" s="2" cm="1">
        <f t="array" ref="M32">_xlfn.LET(_xlpm.d,M$2:M$26,_xlpm.f,$A$2:$A$26,_xlpm.k,$C32,AVERAGE(_xlfn._xlws.FILTER(_xlpm.d,_xlpm.f=_xlpm.k)))</f>
        <v>0.83577091756351884</v>
      </c>
      <c r="N32" s="2" cm="1">
        <f t="array" ref="N32">_xlfn.LET(_xlpm.d,N$2:N$26,_xlpm.f,$A$2:$A$26,_xlpm.k,$C32,AVERAGE(_xlfn._xlws.FILTER(_xlpm.d,_xlpm.f=_xlpm.k)))</f>
        <v>0.89039942438464159</v>
      </c>
    </row>
    <row r="33" spans="3:14" ht="30" customHeight="1">
      <c r="C33" t="s">
        <v>44</v>
      </c>
      <c r="D33" s="2" cm="1">
        <f t="array" ref="D33">_xlfn.LET(_xlpm.d,D$2:D$26,_xlpm.f,$A$2:$A$26,_xlpm.k,$C33,AVERAGE(_xlfn._xlws.FILTER(_xlpm.d,_xlpm.f=_xlpm.k)))</f>
        <v>0.89688202625569746</v>
      </c>
      <c r="E33" s="2" cm="1">
        <f t="array" ref="E33">_xlfn.LET(_xlpm.d,E$2:E$26,_xlpm.f,$A$2:$A$26,_xlpm.k,$C33,AVERAGE(_xlfn._xlws.FILTER(_xlpm.d,_xlpm.f=_xlpm.k)))</f>
        <v>0.89063306751691118</v>
      </c>
      <c r="F33" s="2" cm="1">
        <f t="array" ref="F33">_xlfn.LET(_xlpm.d,F$2:F$26,_xlpm.f,$A$2:$A$26,_xlpm.k,$C33,AVERAGE(_xlfn._xlws.FILTER(_xlpm.d,_xlpm.f=_xlpm.k)))</f>
        <v>0.89999561906106584</v>
      </c>
      <c r="G33" s="2" cm="1">
        <f t="array" ref="G33">_xlfn.LET(_xlpm.d,G$2:G$26,_xlpm.f,$A$2:$A$26,_xlpm.k,$C33,AVERAGE(_xlfn._xlws.FILTER(_xlpm.d,_xlpm.f=_xlpm.k)))</f>
        <v>0.89371279602792819</v>
      </c>
      <c r="H33" s="2" cm="1">
        <f t="array" ref="H33">_xlfn.LET(_xlpm.d,H$2:H$26,_xlpm.f,$A$2:$A$26,_xlpm.k,$C33,AVERAGE(_xlfn._xlws.FILTER(_xlpm.d,_xlpm.f=_xlpm.k)))</f>
        <v>0.91147302772828598</v>
      </c>
      <c r="I33" s="2" cm="1">
        <f t="array" ref="I33">_xlfn.LET(_xlpm.d,I$2:I$26,_xlpm.f,$A$2:$A$26,_xlpm.k,$C33,AVERAGE(_xlfn._xlws.FILTER(_xlpm.d,_xlpm.f=_xlpm.k)))</f>
        <v>0.92025562344541112</v>
      </c>
      <c r="J33" s="2" cm="1">
        <f t="array" ref="J33">_xlfn.LET(_xlpm.d,J$2:J$26,_xlpm.f,$A$2:$A$26,_xlpm.k,$C33,AVERAGE(_xlfn._xlws.FILTER(_xlpm.d,_xlpm.f=_xlpm.k)))</f>
        <v>0.89660892302025363</v>
      </c>
      <c r="K33" s="2" cm="1">
        <f t="array" ref="K33">_xlfn.LET(_xlpm.d,K$2:K$26,_xlpm.f,$A$2:$A$26,_xlpm.k,$C33,AVERAGE(_xlfn._xlws.FILTER(_xlpm.d,_xlpm.f=_xlpm.k)))</f>
        <v>0.87717552044644509</v>
      </c>
      <c r="L33" s="2" cm="1">
        <f t="array" ref="L33">_xlfn.LET(_xlpm.d,L$2:L$26,_xlpm.f,$A$2:$A$26,_xlpm.k,$C33,AVERAGE(_xlfn._xlws.FILTER(_xlpm.d,_xlpm.f=_xlpm.k)))</f>
        <v>0.85749268663945133</v>
      </c>
      <c r="M33" s="2" cm="1">
        <f t="array" ref="M33">_xlfn.LET(_xlpm.d,M$2:M$26,_xlpm.f,$A$2:$A$26,_xlpm.k,$C33,AVERAGE(_xlfn._xlws.FILTER(_xlpm.d,_xlpm.f=_xlpm.k)))</f>
        <v>0.82890241359604011</v>
      </c>
      <c r="N33" s="2" cm="1">
        <f t="array" ref="N33">_xlfn.LET(_xlpm.d,N$2:N$26,_xlpm.f,$A$2:$A$26,_xlpm.k,$C33,AVERAGE(_xlfn._xlws.FILTER(_xlpm.d,_xlpm.f=_xlpm.k)))</f>
        <v>0.88731317037374902</v>
      </c>
    </row>
    <row r="34" spans="3:14" ht="30" customHeight="1">
      <c r="C34" t="s">
        <v>45</v>
      </c>
      <c r="D34" s="2" cm="1">
        <f t="array" ref="D34">_xlfn.LET(_xlpm.d,D$2:D$26,_xlpm.f,$A$2:$A$26,_xlpm.k,$C34,AVERAGE(_xlfn._xlws.FILTER(_xlpm.d,_xlpm.f=_xlpm.k)))</f>
        <v>0.99492850812265698</v>
      </c>
      <c r="E34" s="2" cm="1">
        <f t="array" ref="E34">_xlfn.LET(_xlpm.d,E$2:E$26,_xlpm.f,$A$2:$A$26,_xlpm.k,$C34,AVERAGE(_xlfn._xlws.FILTER(_xlpm.d,_xlpm.f=_xlpm.k)))</f>
        <v>0.98783347991617365</v>
      </c>
      <c r="F34" s="2" cm="1">
        <f t="array" ref="F34">_xlfn.LET(_xlpm.d,F$2:F$26,_xlpm.f,$A$2:$A$26,_xlpm.k,$C34,AVERAGE(_xlfn._xlws.FILTER(_xlpm.d,_xlpm.f=_xlpm.k)))</f>
        <v>0.98788154183576005</v>
      </c>
      <c r="G34" s="2" cm="1">
        <f t="array" ref="G34">_xlfn.LET(_xlpm.d,G$2:G$26,_xlpm.f,$A$2:$A$26,_xlpm.k,$C34,AVERAGE(_xlfn._xlws.FILTER(_xlpm.d,_xlpm.f=_xlpm.k)))</f>
        <v>0.98773418735760343</v>
      </c>
      <c r="H34" s="2" cm="1">
        <f t="array" ref="H34">_xlfn.LET(_xlpm.d,H$2:H$26,_xlpm.f,$A$2:$A$26,_xlpm.k,$C34,AVERAGE(_xlfn._xlws.FILTER(_xlpm.d,_xlpm.f=_xlpm.k)))</f>
        <v>0.98632428958743579</v>
      </c>
      <c r="I34" s="2" cm="1">
        <f t="array" ref="I34">_xlfn.LET(_xlpm.d,I$2:I$26,_xlpm.f,$A$2:$A$26,_xlpm.k,$C34,AVERAGE(_xlfn._xlws.FILTER(_xlpm.d,_xlpm.f=_xlpm.k)))</f>
        <v>0.9876720488023254</v>
      </c>
      <c r="J34" s="2" cm="1">
        <f t="array" ref="J34">_xlfn.LET(_xlpm.d,J$2:J$26,_xlpm.f,$A$2:$A$26,_xlpm.k,$C34,AVERAGE(_xlfn._xlws.FILTER(_xlpm.d,_xlpm.f=_xlpm.k)))</f>
        <v>0.98835506784754057</v>
      </c>
      <c r="K34" s="2" cm="1">
        <f t="array" ref="K34">_xlfn.LET(_xlpm.d,K$2:K$26,_xlpm.f,$A$2:$A$26,_xlpm.k,$C34,AVERAGE(_xlfn._xlws.FILTER(_xlpm.d,_xlpm.f=_xlpm.k)))</f>
        <v>0.98835506784754057</v>
      </c>
      <c r="L34" s="2" cm="1">
        <f t="array" ref="L34">_xlfn.LET(_xlpm.d,L$2:L$26,_xlpm.f,$A$2:$A$26,_xlpm.k,$C34,AVERAGE(_xlfn._xlws.FILTER(_xlpm.d,_xlpm.f=_xlpm.k)))</f>
        <v>0.98643657302860466</v>
      </c>
      <c r="M34" s="2" cm="1">
        <f t="array" ref="M34">_xlfn.LET(_xlpm.d,M$2:M$26,_xlpm.f,$A$2:$A$26,_xlpm.k,$C34,AVERAGE(_xlfn._xlws.FILTER(_xlpm.d,_xlpm.f=_xlpm.k)))</f>
        <v>0.99285354861665598</v>
      </c>
      <c r="N34" s="2" cm="1">
        <f t="array" ref="N34">_xlfn.LET(_xlpm.d,N$2:N$26,_xlpm.f,$A$2:$A$26,_xlpm.k,$C34,AVERAGE(_xlfn._xlws.FILTER(_xlpm.d,_xlpm.f=_xlpm.k)))</f>
        <v>0.9888374312962297</v>
      </c>
    </row>
    <row r="36" spans="3:14" ht="30" customHeight="1">
      <c r="C36" t="s">
        <v>46</v>
      </c>
    </row>
    <row r="37" spans="3:14" ht="30" customHeight="1">
      <c r="C37" t="s">
        <v>40</v>
      </c>
      <c r="D37" s="2" cm="1">
        <f t="array" ref="D37">_xlfn.LET(_xlpm.d,D$2:D$26,_xlpm.g,$B$2:$B$26,AVERAGE(_xlfn._xlws.FILTER(_xlpm.d,(_xlpm.g=0))))</f>
        <v>0.92540074455064869</v>
      </c>
      <c r="E37" s="2" cm="1">
        <f t="array" ref="E37">_xlfn.LET(_xlpm.d,E$2:E$26,_xlpm.g,$B$2:$B$26,AVERAGE(_xlfn._xlws.FILTER(_xlpm.d,(_xlpm.g=0))))</f>
        <v>0.92754716782225055</v>
      </c>
      <c r="F37" s="2" cm="1">
        <f t="array" ref="F37">_xlfn.LET(_xlpm.d,F$2:F$26,_xlpm.g,$B$2:$B$26,AVERAGE(_xlfn._xlws.FILTER(_xlpm.d,(_xlpm.g=0))))</f>
        <v>0.93037595343279822</v>
      </c>
      <c r="G37" s="2" cm="1">
        <f t="array" ref="G37">_xlfn.LET(_xlpm.d,G$2:G$26,_xlpm.g,$B$2:$B$26,AVERAGE(_xlfn._xlws.FILTER(_xlpm.d,(_xlpm.g=0))))</f>
        <v>0.92631369898594151</v>
      </c>
      <c r="H37" s="2" cm="1">
        <f t="array" ref="H37">_xlfn.LET(_xlpm.d,H$2:H$26,_xlpm.g,$B$2:$B$26,AVERAGE(_xlfn._xlws.FILTER(_xlpm.d,(_xlpm.g=0))))</f>
        <v>0.9290740590787715</v>
      </c>
      <c r="I37" s="2" cm="1">
        <f t="array" ref="I37">_xlfn.LET(_xlpm.d,I$2:I$26,_xlpm.g,$B$2:$B$26,AVERAGE(_xlfn._xlws.FILTER(_xlpm.d,(_xlpm.g=0))))</f>
        <v>0.92758879258067972</v>
      </c>
      <c r="J37" s="2" cm="1">
        <f t="array" ref="J37">_xlfn.LET(_xlpm.d,J$2:J$26,_xlpm.g,$B$2:$B$26,AVERAGE(_xlfn._xlws.FILTER(_xlpm.d,(_xlpm.g=0))))</f>
        <v>0.92291240168326105</v>
      </c>
      <c r="K37" s="2" cm="1">
        <f t="array" ref="K37">_xlfn.LET(_xlpm.d,K$2:K$26,_xlpm.g,$B$2:$B$26,AVERAGE(_xlfn._xlws.FILTER(_xlpm.d,(_xlpm.g=0))))</f>
        <v>0.92575845273740431</v>
      </c>
      <c r="L37" s="2" cm="1">
        <f t="array" ref="L37">_xlfn.LET(_xlpm.d,L$2:L$26,_xlpm.g,$B$2:$B$26,AVERAGE(_xlfn._xlws.FILTER(_xlpm.d,(_xlpm.g=0))))</f>
        <v>0.92147304015033105</v>
      </c>
      <c r="M37" s="2" cm="1">
        <f t="array" ref="M37">_xlfn.LET(_xlpm.d,M$2:M$26,_xlpm.g,$B$2:$B$26,AVERAGE(_xlfn._xlws.FILTER(_xlpm.d,(_xlpm.g=0))))</f>
        <v>0.88247730901127874</v>
      </c>
      <c r="N37" s="2" cm="1">
        <f t="array" ref="N37">_xlfn.LET(_xlpm.d,N$2:N$26,_xlpm.g,$B$2:$B$26,AVERAGE(_xlfn._xlws.FILTER(_xlpm.d,(_xlpm.g=0))))</f>
        <v>0.92189216200333646</v>
      </c>
    </row>
    <row r="38" spans="3:14" ht="30" customHeight="1">
      <c r="C38" t="s">
        <v>41</v>
      </c>
      <c r="D38" s="2" cm="1">
        <f t="array" ref="D38">_xlfn.LET(_xlpm.d,D$2:D$26,_xlpm.f,$A$2:$A$26,_xlpm.g,$B$2:$B$26,_xlpm.k,$C38,AVERAGE(_xlfn._xlws.FILTER(_xlpm.d,(_xlpm.f=_xlpm.k)*(_xlpm.g=0))))</f>
        <v>0.99412724471122227</v>
      </c>
      <c r="E38" s="2" cm="1">
        <f t="array" ref="E38">_xlfn.LET(_xlpm.d,E$2:E$26,_xlpm.f,$A$2:$A$26,_xlpm.g,$B$2:$B$26,_xlpm.k,$C38,AVERAGE(_xlfn._xlws.FILTER(_xlpm.d,(_xlpm.f=_xlpm.k)*(_xlpm.g=0))))</f>
        <v>0.9998709325082733</v>
      </c>
      <c r="F38" s="2" cm="1">
        <f t="array" ref="F38">_xlfn.LET(_xlpm.d,F$2:F$26,_xlpm.f,$A$2:$A$26,_xlpm.g,$B$2:$B$26,_xlpm.k,$C38,AVERAGE(_xlfn._xlws.FILTER(_xlpm.d,(_xlpm.f=_xlpm.k)*(_xlpm.g=0))))</f>
        <v>0.99988814150469674</v>
      </c>
      <c r="G38" s="2" cm="1">
        <f t="array" ref="G38">_xlfn.LET(_xlpm.d,G$2:G$26,_xlpm.f,$A$2:$A$26,_xlpm.g,$B$2:$B$26,_xlpm.k,$C38,AVERAGE(_xlfn._xlws.FILTER(_xlpm.d,(_xlpm.f=_xlpm.k)*(_xlpm.g=0))))</f>
        <v>0.99990490625833028</v>
      </c>
      <c r="H38" s="2" cm="1">
        <f t="array" ref="H38">_xlfn.LET(_xlpm.d,H$2:H$26,_xlpm.f,$A$2:$A$26,_xlpm.g,$B$2:$B$26,_xlpm.k,$C38,AVERAGE(_xlfn._xlws.FILTER(_xlpm.d,(_xlpm.f=_xlpm.k)*(_xlpm.g=0))))</f>
        <v>0.99989451414818675</v>
      </c>
      <c r="I38" s="2" cm="1">
        <f t="array" ref="I38">_xlfn.LET(_xlpm.d,I$2:I$26,_xlpm.f,$A$2:$A$26,_xlpm.g,$B$2:$B$26,_xlpm.k,$C38,AVERAGE(_xlfn._xlws.FILTER(_xlpm.d,(_xlpm.f=_xlpm.k)*(_xlpm.g=0))))</f>
        <v>0.99988377431850495</v>
      </c>
      <c r="J38" s="2" cm="1">
        <f t="array" ref="J38">_xlfn.LET(_xlpm.d,J$2:J$26,_xlpm.f,$A$2:$A$26,_xlpm.g,$B$2:$B$26,_xlpm.k,$C38,AVERAGE(_xlfn._xlws.FILTER(_xlpm.d,(_xlpm.f=_xlpm.k)*(_xlpm.g=0))))</f>
        <v>0.99987139846233497</v>
      </c>
      <c r="K38" s="2" cm="1">
        <f t="array" ref="K38">_xlfn.LET(_xlpm.d,K$2:K$26,_xlpm.f,$A$2:$A$26,_xlpm.g,$B$2:$B$26,_xlpm.k,$C38,AVERAGE(_xlfn._xlws.FILTER(_xlpm.d,(_xlpm.f=_xlpm.k)*(_xlpm.g=0))))</f>
        <v>0.99988377431850495</v>
      </c>
      <c r="L38" s="2" cm="1">
        <f t="array" ref="L38">_xlfn.LET(_xlpm.d,L$2:L$26,_xlpm.f,$A$2:$A$26,_xlpm.g,$B$2:$B$26,_xlpm.k,$C38,AVERAGE(_xlfn._xlws.FILTER(_xlpm.d,(_xlpm.f=_xlpm.k)*(_xlpm.g=0))))</f>
        <v>0.99986924611082051</v>
      </c>
      <c r="M38" s="2" cm="1">
        <f t="array" ref="M38">_xlfn.LET(_xlpm.d,M$2:M$26,_xlpm.f,$A$2:$A$26,_xlpm.g,$B$2:$B$26,_xlpm.k,$C38,AVERAGE(_xlfn._xlws.FILTER(_xlpm.d,(_xlpm.f=_xlpm.k)*(_xlpm.g=0))))</f>
        <v>0.99972313963932646</v>
      </c>
      <c r="N38" s="2" cm="1">
        <f t="array" ref="N38">_xlfn.LET(_xlpm.d,N$2:N$26,_xlpm.f,$A$2:$A$26,_xlpm.g,$B$2:$B$26,_xlpm.k,$C38,AVERAGE(_xlfn._xlws.FILTER(_xlpm.d,(_xlpm.f=_xlpm.k)*(_xlpm.g=0))))</f>
        <v>0.99929170719802018</v>
      </c>
    </row>
    <row r="39" spans="3:14" ht="30" customHeight="1">
      <c r="C39" t="s">
        <v>43</v>
      </c>
      <c r="D39" s="2" cm="1">
        <f t="array" ref="D39">_xlfn.LET(_xlpm.d,D$2:D$26,_xlpm.f,$A$2:$A$26,_xlpm.g,$B$2:$B$26,_xlpm.k,$C39,AVERAGE(_xlfn._xlws.FILTER(_xlpm.d,(_xlpm.f=_xlpm.k)*(_xlpm.g=0))))</f>
        <v>0.86241087416397233</v>
      </c>
      <c r="E39" s="2" cm="1">
        <f t="array" ref="E39">_xlfn.LET(_xlpm.d,E$2:E$26,_xlpm.f,$A$2:$A$26,_xlpm.g,$B$2:$B$26,_xlpm.k,$C39,AVERAGE(_xlfn._xlws.FILTER(_xlpm.d,(_xlpm.f=_xlpm.k)*(_xlpm.g=0))))</f>
        <v>0.8820560348970945</v>
      </c>
      <c r="F39" s="2" cm="1">
        <f t="array" ref="F39">_xlfn.LET(_xlpm.d,F$2:F$26,_xlpm.f,$A$2:$A$26,_xlpm.g,$B$2:$B$26,_xlpm.k,$C39,AVERAGE(_xlfn._xlws.FILTER(_xlpm.d,(_xlpm.f=_xlpm.k)*(_xlpm.g=0))))</f>
        <v>0.88674887298329086</v>
      </c>
      <c r="G39" s="2" cm="1">
        <f t="array" ref="G39">_xlfn.LET(_xlpm.d,G$2:G$26,_xlpm.f,$A$2:$A$26,_xlpm.g,$B$2:$B$26,_xlpm.k,$C39,AVERAGE(_xlfn._xlws.FILTER(_xlpm.d,(_xlpm.f=_xlpm.k)*(_xlpm.g=0))))</f>
        <v>0.87898309531243779</v>
      </c>
      <c r="H39" s="2" cm="1">
        <f t="array" ref="H39">_xlfn.LET(_xlpm.d,H$2:H$26,_xlpm.f,$A$2:$A$26,_xlpm.g,$B$2:$B$26,_xlpm.k,$C39,AVERAGE(_xlfn._xlws.FILTER(_xlpm.d,(_xlpm.f=_xlpm.k)*(_xlpm.g=0))))</f>
        <v>0.87595729303063674</v>
      </c>
      <c r="I39" s="2" cm="1">
        <f t="array" ref="I39">_xlfn.LET(_xlpm.d,I$2:I$26,_xlpm.f,$A$2:$A$26,_xlpm.g,$B$2:$B$26,_xlpm.k,$C39,AVERAGE(_xlfn._xlws.FILTER(_xlpm.d,(_xlpm.f=_xlpm.k)*(_xlpm.g=0))))</f>
        <v>0.86484734155335152</v>
      </c>
      <c r="J39" s="2" cm="1">
        <f t="array" ref="J39">_xlfn.LET(_xlpm.d,J$2:J$26,_xlpm.f,$A$2:$A$26,_xlpm.g,$B$2:$B$26,_xlpm.k,$C39,AVERAGE(_xlfn._xlws.FILTER(_xlpm.d,(_xlpm.f=_xlpm.k)*(_xlpm.g=0))))</f>
        <v>0.86915632525916664</v>
      </c>
      <c r="K39" s="2" cm="1">
        <f t="array" ref="K39">_xlfn.LET(_xlpm.d,K$2:K$26,_xlpm.f,$A$2:$A$26,_xlpm.g,$B$2:$B$26,_xlpm.k,$C39,AVERAGE(_xlfn._xlws.FILTER(_xlpm.d,(_xlpm.f=_xlpm.k)*(_xlpm.g=0))))</f>
        <v>0.90052507488261879</v>
      </c>
      <c r="L39" s="2" cm="1">
        <f t="array" ref="L39">_xlfn.LET(_xlpm.d,L$2:L$26,_xlpm.f,$A$2:$A$26,_xlpm.g,$B$2:$B$26,_xlpm.k,$C39,AVERAGE(_xlfn._xlws.FILTER(_xlpm.d,(_xlpm.f=_xlpm.k)*(_xlpm.g=0))))</f>
        <v>0.89477746503998334</v>
      </c>
      <c r="M39" s="2" cm="1">
        <f t="array" ref="M39">_xlfn.LET(_xlpm.d,M$2:M$26,_xlpm.f,$A$2:$A$26,_xlpm.g,$B$2:$B$26,_xlpm.k,$C39,AVERAGE(_xlfn._xlws.FILTER(_xlpm.d,(_xlpm.f=_xlpm.k)*(_xlpm.g=0))))</f>
        <v>0.80865788538968675</v>
      </c>
      <c r="N39" s="2" cm="1">
        <f t="array" ref="N39">_xlfn.LET(_xlpm.d,N$2:N$26,_xlpm.f,$A$2:$A$26,_xlpm.g,$B$2:$B$26,_xlpm.k,$C39,AVERAGE(_xlfn._xlws.FILTER(_xlpm.d,(_xlpm.f=_xlpm.k)*(_xlpm.g=0))))</f>
        <v>0.87241202625122394</v>
      </c>
    </row>
    <row r="40" spans="3:14" ht="30" customHeight="1">
      <c r="C40" t="s">
        <v>44</v>
      </c>
      <c r="D40" s="2" cm="1">
        <f t="array" ref="D40">_xlfn.LET(_xlpm.d,D$2:D$26,_xlpm.f,$A$2:$A$26,_xlpm.g,$B$2:$B$26,_xlpm.k,$C40,AVERAGE(_xlfn._xlws.FILTER(_xlpm.d,(_xlpm.f=_xlpm.k)*(_xlpm.g=0))))</f>
        <v>0.8711025328196218</v>
      </c>
      <c r="E40" s="2" cm="1">
        <f t="array" ref="E40">_xlfn.LET(_xlpm.d,E$2:E$26,_xlpm.f,$A$2:$A$26,_xlpm.g,$B$2:$B$26,_xlpm.k,$C40,AVERAGE(_xlfn._xlws.FILTER(_xlpm.d,(_xlpm.f=_xlpm.k)*(_xlpm.g=0))))</f>
        <v>0.86329133439613903</v>
      </c>
      <c r="F40" s="2" cm="1">
        <f t="array" ref="F40">_xlfn.LET(_xlpm.d,F$2:F$26,_xlpm.f,$A$2:$A$26,_xlpm.g,$B$2:$B$26,_xlpm.k,$C40,AVERAGE(_xlfn._xlws.FILTER(_xlpm.d,(_xlpm.f=_xlpm.k)*(_xlpm.g=0))))</f>
        <v>0.87499452382633225</v>
      </c>
      <c r="G40" s="2" cm="1">
        <f t="array" ref="G40">_xlfn.LET(_xlpm.d,G$2:G$26,_xlpm.f,$A$2:$A$26,_xlpm.g,$B$2:$B$26,_xlpm.k,$C40,AVERAGE(_xlfn._xlws.FILTER(_xlpm.d,(_xlpm.f=_xlpm.k)*(_xlpm.g=0))))</f>
        <v>0.86714099503491027</v>
      </c>
      <c r="H40" s="2" cm="1">
        <f t="array" ref="H40">_xlfn.LET(_xlpm.d,H$2:H$26,_xlpm.f,$A$2:$A$26,_xlpm.g,$B$2:$B$26,_xlpm.k,$C40,AVERAGE(_xlfn._xlws.FILTER(_xlpm.d,(_xlpm.f=_xlpm.k)*(_xlpm.g=0))))</f>
        <v>0.88934128466035745</v>
      </c>
      <c r="I40" s="2" cm="1">
        <f t="array" ref="I40">_xlfn.LET(_xlpm.d,I$2:I$26,_xlpm.f,$A$2:$A$26,_xlpm.g,$B$2:$B$26,_xlpm.k,$C40,AVERAGE(_xlfn._xlws.FILTER(_xlpm.d,(_xlpm.f=_xlpm.k)*(_xlpm.g=0))))</f>
        <v>0.90031952930676395</v>
      </c>
      <c r="J40" s="2" cm="1">
        <f t="array" ref="J40">_xlfn.LET(_xlpm.d,J$2:J$26,_xlpm.f,$A$2:$A$26,_xlpm.g,$B$2:$B$26,_xlpm.k,$C40,AVERAGE(_xlfn._xlws.FILTER(_xlpm.d,(_xlpm.f=_xlpm.k)*(_xlpm.g=0))))</f>
        <v>0.87076115377531704</v>
      </c>
      <c r="K40" s="2" cm="1">
        <f t="array" ref="K40">_xlfn.LET(_xlpm.d,K$2:K$26,_xlpm.f,$A$2:$A$26,_xlpm.g,$B$2:$B$26,_xlpm.k,$C40,AVERAGE(_xlfn._xlws.FILTER(_xlpm.d,(_xlpm.f=_xlpm.k)*(_xlpm.g=0))))</f>
        <v>0.85111976524972799</v>
      </c>
      <c r="L40" s="2" cm="1">
        <f t="array" ref="L40">_xlfn.LET(_xlpm.d,L$2:L$26,_xlpm.f,$A$2:$A$26,_xlpm.g,$B$2:$B$26,_xlpm.k,$C40,AVERAGE(_xlfn._xlws.FILTER(_xlpm.d,(_xlpm.f=_xlpm.k)*(_xlpm.g=0))))</f>
        <v>0.82625792412326393</v>
      </c>
      <c r="M40" s="2" cm="1">
        <f t="array" ref="M40">_xlfn.LET(_xlpm.d,M$2:M$26,_xlpm.f,$A$2:$A$26,_xlpm.g,$B$2:$B$26,_xlpm.k,$C40,AVERAGE(_xlfn._xlws.FILTER(_xlpm.d,(_xlpm.f=_xlpm.k)*(_xlpm.g=0))))</f>
        <v>0.79154238257660703</v>
      </c>
      <c r="N40" s="2" cm="1">
        <f t="array" ref="N40">_xlfn.LET(_xlpm.d,N$2:N$26,_xlpm.f,$A$2:$A$26,_xlpm.g,$B$2:$B$26,_xlpm.k,$C40,AVERAGE(_xlfn._xlws.FILTER(_xlpm.d,(_xlpm.f=_xlpm.k)*(_xlpm.g=0))))</f>
        <v>0.86058714257690405</v>
      </c>
    </row>
    <row r="41" spans="3:14" ht="30" customHeight="1">
      <c r="C41" t="s">
        <v>42</v>
      </c>
      <c r="D41" s="2" cm="1">
        <f t="array" ref="D41">_xlfn.LET(_xlpm.d,D$2:D$26,_xlpm.f,$A$2:$A$26,_xlpm.g,$B$2:$B$26,_xlpm.k,$C41,AVERAGE(_xlfn._xlws.FILTER(_xlpm.d,(_xlpm.f=_xlpm.k)*(_xlpm.g=0))))</f>
        <v>0.9057024359051058</v>
      </c>
      <c r="E41" s="2" cm="1">
        <f t="array" ref="E41">_xlfn.LET(_xlpm.d,E$2:E$26,_xlpm.f,$A$2:$A$26,_xlpm.g,$B$2:$B$26,_xlpm.k,$C41,AVERAGE(_xlfn._xlws.FILTER(_xlpm.d,(_xlpm.f=_xlpm.k)*(_xlpm.g=0))))</f>
        <v>0.90772568741452919</v>
      </c>
      <c r="F41" s="2" cm="1">
        <f t="array" ref="F41">_xlfn.LET(_xlpm.d,F$2:F$26,_xlpm.f,$A$2:$A$26,_xlpm.g,$B$2:$B$26,_xlpm.k,$C41,AVERAGE(_xlfn._xlws.FILTER(_xlpm.d,(_xlpm.f=_xlpm.k)*(_xlpm.g=0))))</f>
        <v>0.90539630155497108</v>
      </c>
      <c r="G41" s="2" cm="1">
        <f t="array" ref="G41">_xlfn.LET(_xlpm.d,G$2:G$26,_xlpm.f,$A$2:$A$26,_xlpm.g,$B$2:$B$26,_xlpm.k,$C41,AVERAGE(_xlfn._xlws.FILTER(_xlpm.d,(_xlpm.f=_xlpm.k)*(_xlpm.g=0))))</f>
        <v>0.90087176412702474</v>
      </c>
      <c r="H41" s="2" cm="1">
        <f t="array" ref="H41">_xlfn.LET(_xlpm.d,H$2:H$26,_xlpm.f,$A$2:$A$26,_xlpm.g,$B$2:$B$26,_xlpm.k,$C41,AVERAGE(_xlfn._xlws.FILTER(_xlpm.d,(_xlpm.f=_xlpm.k)*(_xlpm.g=0))))</f>
        <v>0.8972718415703822</v>
      </c>
      <c r="I41" s="2" cm="1">
        <f t="array" ref="I41">_xlfn.LET(_xlpm.d,I$2:I$26,_xlpm.f,$A$2:$A$26,_xlpm.g,$B$2:$B$26,_xlpm.k,$C41,AVERAGE(_xlfn._xlws.FILTER(_xlpm.d,(_xlpm.f=_xlpm.k)*(_xlpm.g=0))))</f>
        <v>0.88830325672187149</v>
      </c>
      <c r="J41" s="2" cm="1">
        <f t="array" ref="J41">_xlfn.LET(_xlpm.d,J$2:J$26,_xlpm.f,$A$2:$A$26,_xlpm.g,$B$2:$B$26,_xlpm.k,$C41,AVERAGE(_xlfn._xlws.FILTER(_xlpm.d,(_xlpm.f=_xlpm.k)*(_xlpm.g=0))))</f>
        <v>0.88932929611006095</v>
      </c>
      <c r="K41" s="2" cm="1">
        <f t="array" ref="K41">_xlfn.LET(_xlpm.d,K$2:K$26,_xlpm.f,$A$2:$A$26,_xlpm.g,$B$2:$B$26,_xlpm.k,$C41,AVERAGE(_xlfn._xlws.FILTER(_xlpm.d,(_xlpm.f=_xlpm.k)*(_xlpm.g=0))))</f>
        <v>0.89181981442674418</v>
      </c>
      <c r="L41" s="2" cm="1">
        <f t="array" ref="L41">_xlfn.LET(_xlpm.d,L$2:L$26,_xlpm.f,$A$2:$A$26,_xlpm.g,$B$2:$B$26,_xlpm.k,$C41,AVERAGE(_xlfn._xlws.FILTER(_xlpm.d,(_xlpm.f=_xlpm.k)*(_xlpm.g=0))))</f>
        <v>0.90341484919183135</v>
      </c>
      <c r="M41" s="2" cm="1">
        <f t="array" ref="M41">_xlfn.LET(_xlpm.d,M$2:M$26,_xlpm.f,$A$2:$A$26,_xlpm.g,$B$2:$B$26,_xlpm.k,$C41,AVERAGE(_xlfn._xlws.FILTER(_xlpm.d,(_xlpm.f=_xlpm.k)*(_xlpm.g=0))))</f>
        <v>0.82139620167995309</v>
      </c>
      <c r="N41" s="2" cm="1">
        <f t="array" ref="N41">_xlfn.LET(_xlpm.d,N$2:N$26,_xlpm.f,$A$2:$A$26,_xlpm.g,$B$2:$B$26,_xlpm.k,$C41,AVERAGE(_xlfn._xlws.FILTER(_xlpm.d,(_xlpm.f=_xlpm.k)*(_xlpm.g=0))))</f>
        <v>0.89112314487024746</v>
      </c>
    </row>
    <row r="42" spans="3:14" ht="30" customHeight="1">
      <c r="C42" t="s">
        <v>45</v>
      </c>
      <c r="D42" s="2" cm="1">
        <f t="array" ref="D42">_xlfn.LET(_xlpm.d,D$2:D$26,_xlpm.f,$A$2:$A$26,_xlpm.g,$B$2:$B$26,_xlpm.k,$C42,AVERAGE(_xlfn._xlws.FILTER(_xlpm.d,(_xlpm.f=_xlpm.k)*(_xlpm.g=0))))</f>
        <v>0.99366063515332126</v>
      </c>
      <c r="E42" s="2" cm="1">
        <f t="array" ref="E42">_xlfn.LET(_xlpm.d,E$2:E$26,_xlpm.f,$A$2:$A$26,_xlpm.g,$B$2:$B$26,_xlpm.k,$C42,AVERAGE(_xlfn._xlws.FILTER(_xlpm.d,(_xlpm.f=_xlpm.k)*(_xlpm.g=0))))</f>
        <v>0.98479184989521695</v>
      </c>
      <c r="F42" s="2" cm="1">
        <f t="array" ref="F42">_xlfn.LET(_xlpm.d,F$2:F$26,_xlpm.f,$A$2:$A$26,_xlpm.g,$B$2:$B$26,_xlpm.k,$C42,AVERAGE(_xlfn._xlws.FILTER(_xlpm.d,(_xlpm.f=_xlpm.k)*(_xlpm.g=0))))</f>
        <v>0.98485192729470006</v>
      </c>
      <c r="G42" s="2" cm="1">
        <f t="array" ref="G42">_xlfn.LET(_xlpm.d,G$2:G$26,_xlpm.f,$A$2:$A$26,_xlpm.g,$B$2:$B$26,_xlpm.k,$C42,AVERAGE(_xlfn._xlws.FILTER(_xlpm.d,(_xlpm.f=_xlpm.k)*(_xlpm.g=0))))</f>
        <v>0.98466773419700426</v>
      </c>
      <c r="H42" s="2" cm="1">
        <f t="array" ref="H42">_xlfn.LET(_xlpm.d,H$2:H$26,_xlpm.f,$A$2:$A$26,_xlpm.g,$B$2:$B$26,_xlpm.k,$C42,AVERAGE(_xlfn._xlws.FILTER(_xlpm.d,(_xlpm.f=_xlpm.k)*(_xlpm.g=0))))</f>
        <v>0.98290536198429457</v>
      </c>
      <c r="I42" s="2" cm="1">
        <f t="array" ref="I42">_xlfn.LET(_xlpm.d,I$2:I$26,_xlpm.f,$A$2:$A$26,_xlpm.g,$B$2:$B$26,_xlpm.k,$C42,AVERAGE(_xlfn._xlws.FILTER(_xlpm.d,(_xlpm.f=_xlpm.k)*(_xlpm.g=0))))</f>
        <v>0.9845900610029068</v>
      </c>
      <c r="J42" s="2" cm="1">
        <f t="array" ref="J42">_xlfn.LET(_xlpm.d,J$2:J$26,_xlpm.f,$A$2:$A$26,_xlpm.g,$B$2:$B$26,_xlpm.k,$C42,AVERAGE(_xlfn._xlws.FILTER(_xlpm.d,(_xlpm.f=_xlpm.k)*(_xlpm.g=0))))</f>
        <v>0.98544383480942555</v>
      </c>
      <c r="K42" s="2" cm="1">
        <f t="array" ref="K42">_xlfn.LET(_xlpm.d,K$2:K$26,_xlpm.f,$A$2:$A$26,_xlpm.g,$B$2:$B$26,_xlpm.k,$C42,AVERAGE(_xlfn._xlws.FILTER(_xlpm.d,(_xlpm.f=_xlpm.k)*(_xlpm.g=0))))</f>
        <v>0.98544383480942555</v>
      </c>
      <c r="L42" s="2" cm="1">
        <f t="array" ref="L42">_xlfn.LET(_xlpm.d,L$2:L$26,_xlpm.f,$A$2:$A$26,_xlpm.g,$B$2:$B$26,_xlpm.k,$C42,AVERAGE(_xlfn._xlws.FILTER(_xlpm.d,(_xlpm.f=_xlpm.k)*(_xlpm.g=0))))</f>
        <v>0.98304571628575577</v>
      </c>
      <c r="M42" s="2" cm="1">
        <f t="array" ref="M42">_xlfn.LET(_xlpm.d,M$2:M$26,_xlpm.f,$A$2:$A$26,_xlpm.g,$B$2:$B$26,_xlpm.k,$C42,AVERAGE(_xlfn._xlws.FILTER(_xlpm.d,(_xlpm.f=_xlpm.k)*(_xlpm.g=0))))</f>
        <v>0.99106693577081995</v>
      </c>
      <c r="N42" s="2" cm="1">
        <f t="array" ref="N42">_xlfn.LET(_xlpm.d,N$2:N$26,_xlpm.f,$A$2:$A$26,_xlpm.g,$B$2:$B$26,_xlpm.k,$C42,AVERAGE(_xlfn._xlws.FILTER(_xlpm.d,(_xlpm.f=_xlpm.k)*(_xlpm.g=0))))</f>
        <v>0.98604678912028709</v>
      </c>
    </row>
  </sheetData>
  <conditionalFormatting sqref="D2:M26">
    <cfRule type="colorScale" priority="5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29:N34">
    <cfRule type="colorScale" priority="4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7:N37">
    <cfRule type="colorScale" priority="2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D38:N42">
    <cfRule type="colorScale" priority="3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conditionalFormatting sqref="N2:N26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aNA.r1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Kow Kuroda</dc:creator>
  <cp:keywords/>
  <dc:description/>
  <cp:lastModifiedBy>Kow Kuroda</cp:lastModifiedBy>
  <dcterms:created xsi:type="dcterms:W3CDTF">2025-09-11T04:45:09Z</dcterms:created>
  <dcterms:modified xsi:type="dcterms:W3CDTF">2025-09-11T04:45:38Z</dcterms:modified>
  <cp:category/>
</cp:coreProperties>
</file>