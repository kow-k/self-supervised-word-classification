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wk/Dropbox (Personal)/GitHub/self-supervised-word-classification/results/spell/AEFGR/comparisons/lda(labeled)/"/>
    </mc:Choice>
  </mc:AlternateContent>
  <xr:revisionPtr revIDLastSave="0" documentId="13_ncr:1_{DF718FF0-CF85-4146-8C2E-D6792189E804}" xr6:coauthVersionLast="47" xr6:coauthVersionMax="47" xr10:uidLastSave="{00000000-0000-0000-0000-000000000000}"/>
  <bookViews>
    <workbookView xWindow="7900" yWindow="1700" windowWidth="29320" windowHeight="17360" xr2:uid="{AAB55906-58C7-F940-B4CF-E7AFA13CA4FF}"/>
  </bookViews>
  <sheets>
    <sheet name="aNA.xsk-free" sheetId="2" r:id="rId1"/>
    <sheet name="aN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2" l="1"/>
  <c r="B5" i="2"/>
  <c r="Q5" i="2"/>
  <c r="A6" i="2"/>
  <c r="B6" i="2"/>
  <c r="Q6" i="2"/>
  <c r="A10" i="2"/>
  <c r="B10" i="2"/>
  <c r="Q10" i="2"/>
  <c r="A11" i="2"/>
  <c r="B11" i="2"/>
  <c r="Q11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Q26" i="2"/>
  <c r="B26" i="2"/>
  <c r="A26" i="2"/>
  <c r="Q25" i="2"/>
  <c r="B25" i="2"/>
  <c r="A25" i="2"/>
  <c r="Q24" i="2"/>
  <c r="B24" i="2"/>
  <c r="A24" i="2"/>
  <c r="Q23" i="2"/>
  <c r="B23" i="2"/>
  <c r="A23" i="2"/>
  <c r="Q22" i="2"/>
  <c r="B22" i="2"/>
  <c r="A22" i="2"/>
  <c r="Q21" i="2"/>
  <c r="B21" i="2"/>
  <c r="A21" i="2"/>
  <c r="Q20" i="2"/>
  <c r="B20" i="2"/>
  <c r="A20" i="2"/>
  <c r="Q19" i="2"/>
  <c r="B19" i="2"/>
  <c r="A19" i="2"/>
  <c r="Q18" i="2"/>
  <c r="B18" i="2"/>
  <c r="A18" i="2"/>
  <c r="Q17" i="2"/>
  <c r="B17" i="2"/>
  <c r="A17" i="2"/>
  <c r="Q16" i="2"/>
  <c r="B16" i="2"/>
  <c r="A16" i="2"/>
  <c r="Q15" i="2"/>
  <c r="B15" i="2"/>
  <c r="A15" i="2"/>
  <c r="Q14" i="2"/>
  <c r="B14" i="2"/>
  <c r="A14" i="2"/>
  <c r="Q13" i="2"/>
  <c r="B13" i="2"/>
  <c r="A13" i="2"/>
  <c r="Q12" i="2"/>
  <c r="B12" i="2"/>
  <c r="A12" i="2"/>
  <c r="Q9" i="2"/>
  <c r="B9" i="2"/>
  <c r="A9" i="2"/>
  <c r="Q8" i="2"/>
  <c r="B8" i="2"/>
  <c r="A8" i="2"/>
  <c r="Q7" i="2"/>
  <c r="B7" i="2"/>
  <c r="A7" i="2"/>
  <c r="Q4" i="2"/>
  <c r="B4" i="2"/>
  <c r="A4" i="2"/>
  <c r="Q3" i="2"/>
  <c r="B3" i="2"/>
  <c r="A3" i="2"/>
  <c r="Q2" i="2"/>
  <c r="B2" i="2"/>
  <c r="A2" i="2"/>
  <c r="G47" i="1" a="1"/>
  <c r="G47" i="1" s="1"/>
  <c r="H47" i="1" a="1"/>
  <c r="H47" i="1" s="1"/>
  <c r="I47" i="1" a="1"/>
  <c r="I47" i="1" s="1"/>
  <c r="J47" i="1" a="1"/>
  <c r="J47" i="1" s="1"/>
  <c r="K47" i="1" a="1"/>
  <c r="K47" i="1" s="1"/>
  <c r="L47" i="1" a="1"/>
  <c r="L47" i="1" s="1"/>
  <c r="M47" i="1" a="1"/>
  <c r="M47" i="1" s="1"/>
  <c r="N47" i="1" a="1"/>
  <c r="N47" i="1" s="1"/>
  <c r="O47" i="1" a="1"/>
  <c r="O47" i="1"/>
  <c r="P47" i="1" a="1"/>
  <c r="P47" i="1" s="1"/>
  <c r="G48" i="1" a="1"/>
  <c r="G48" i="1" s="1"/>
  <c r="H48" i="1" a="1"/>
  <c r="H48" i="1" s="1"/>
  <c r="I48" i="1" a="1"/>
  <c r="I48" i="1" s="1"/>
  <c r="J48" i="1" a="1"/>
  <c r="J48" i="1" s="1"/>
  <c r="K48" i="1" a="1"/>
  <c r="K48" i="1" s="1"/>
  <c r="L48" i="1" a="1"/>
  <c r="L48" i="1" s="1"/>
  <c r="M48" i="1" a="1"/>
  <c r="M48" i="1" s="1"/>
  <c r="N48" i="1" a="1"/>
  <c r="N48" i="1" s="1"/>
  <c r="O48" i="1" a="1"/>
  <c r="O48" i="1" s="1"/>
  <c r="P48" i="1" a="1"/>
  <c r="P48" i="1" s="1"/>
  <c r="G49" i="1" a="1"/>
  <c r="G49" i="1" s="1"/>
  <c r="H49" i="1" a="1"/>
  <c r="H49" i="1" s="1"/>
  <c r="I49" i="1" a="1"/>
  <c r="I49" i="1" s="1"/>
  <c r="J49" i="1" a="1"/>
  <c r="J49" i="1" s="1"/>
  <c r="K49" i="1" a="1"/>
  <c r="K49" i="1" s="1"/>
  <c r="L49" i="1" a="1"/>
  <c r="L49" i="1" s="1"/>
  <c r="M49" i="1" a="1"/>
  <c r="M49" i="1" s="1"/>
  <c r="N49" i="1" a="1"/>
  <c r="N49" i="1" s="1"/>
  <c r="O49" i="1" a="1"/>
  <c r="O49" i="1" s="1"/>
  <c r="P49" i="1" a="1"/>
  <c r="P49" i="1" s="1"/>
  <c r="G50" i="1" a="1"/>
  <c r="G50" i="1" s="1"/>
  <c r="H50" i="1" a="1"/>
  <c r="H50" i="1" s="1"/>
  <c r="I50" i="1" a="1"/>
  <c r="I50" i="1" s="1"/>
  <c r="J50" i="1" a="1"/>
  <c r="J50" i="1" s="1"/>
  <c r="K50" i="1" a="1"/>
  <c r="K50" i="1" s="1"/>
  <c r="L50" i="1" a="1"/>
  <c r="L50" i="1" s="1"/>
  <c r="M50" i="1" a="1"/>
  <c r="M50" i="1" s="1"/>
  <c r="N50" i="1" a="1"/>
  <c r="N50" i="1" s="1"/>
  <c r="O50" i="1" a="1"/>
  <c r="O50" i="1" s="1"/>
  <c r="P50" i="1" a="1"/>
  <c r="P50" i="1" s="1"/>
  <c r="G51" i="1" a="1"/>
  <c r="G51" i="1" s="1"/>
  <c r="H51" i="1" a="1"/>
  <c r="H51" i="1" s="1"/>
  <c r="I51" i="1" a="1"/>
  <c r="I51" i="1" s="1"/>
  <c r="J51" i="1" a="1"/>
  <c r="J51" i="1" s="1"/>
  <c r="K51" i="1" a="1"/>
  <c r="K51" i="1" s="1"/>
  <c r="L51" i="1" a="1"/>
  <c r="L51" i="1" s="1"/>
  <c r="M51" i="1" a="1"/>
  <c r="M51" i="1" s="1"/>
  <c r="N51" i="1" a="1"/>
  <c r="N51" i="1" s="1"/>
  <c r="O51" i="1" a="1"/>
  <c r="O51" i="1" s="1"/>
  <c r="P51" i="1" a="1"/>
  <c r="P51" i="1" s="1"/>
  <c r="G52" i="1" a="1"/>
  <c r="G52" i="1" s="1"/>
  <c r="H52" i="1" a="1"/>
  <c r="H52" i="1" s="1"/>
  <c r="I52" i="1" a="1"/>
  <c r="I52" i="1" s="1"/>
  <c r="J52" i="1" a="1"/>
  <c r="J52" i="1" s="1"/>
  <c r="K52" i="1" a="1"/>
  <c r="K52" i="1" s="1"/>
  <c r="L52" i="1" a="1"/>
  <c r="L52" i="1" s="1"/>
  <c r="M52" i="1" a="1"/>
  <c r="M52" i="1" s="1"/>
  <c r="N52" i="1" a="1"/>
  <c r="N52" i="1" s="1"/>
  <c r="O52" i="1" a="1"/>
  <c r="O52" i="1" s="1"/>
  <c r="P52" i="1" a="1"/>
  <c r="P52" i="1" s="1"/>
  <c r="E39" i="1"/>
  <c r="F39" i="1"/>
  <c r="G39" i="1"/>
  <c r="H39" i="1"/>
  <c r="I39" i="1"/>
  <c r="J39" i="1"/>
  <c r="K39" i="1"/>
  <c r="L39" i="1"/>
  <c r="M39" i="1"/>
  <c r="N39" i="1"/>
  <c r="O39" i="1"/>
  <c r="P39" i="1"/>
  <c r="E40" i="1" a="1"/>
  <c r="E40" i="1" s="1"/>
  <c r="F40" i="1" a="1"/>
  <c r="F40" i="1" s="1"/>
  <c r="G40" i="1" a="1"/>
  <c r="G40" i="1" s="1"/>
  <c r="H40" i="1" a="1"/>
  <c r="H40" i="1" s="1"/>
  <c r="I40" i="1" a="1"/>
  <c r="I40" i="1" s="1"/>
  <c r="J40" i="1" a="1"/>
  <c r="J40" i="1" s="1"/>
  <c r="K40" i="1" a="1"/>
  <c r="K40" i="1" s="1"/>
  <c r="L40" i="1" a="1"/>
  <c r="L40" i="1"/>
  <c r="M40" i="1" a="1"/>
  <c r="M40" i="1"/>
  <c r="N40" i="1" a="1"/>
  <c r="N40" i="1" s="1"/>
  <c r="O40" i="1" a="1"/>
  <c r="O40" i="1" s="1"/>
  <c r="P40" i="1" a="1"/>
  <c r="P40" i="1"/>
  <c r="E41" i="1" a="1"/>
  <c r="E41" i="1" s="1"/>
  <c r="F41" i="1" a="1"/>
  <c r="F41" i="1" s="1"/>
  <c r="G41" i="1" a="1"/>
  <c r="G41" i="1" s="1"/>
  <c r="H41" i="1" a="1"/>
  <c r="H41" i="1" s="1"/>
  <c r="I41" i="1" a="1"/>
  <c r="I41" i="1" s="1"/>
  <c r="J41" i="1" a="1"/>
  <c r="J41" i="1" s="1"/>
  <c r="K41" i="1" a="1"/>
  <c r="K41" i="1" s="1"/>
  <c r="L41" i="1" a="1"/>
  <c r="L41" i="1"/>
  <c r="M41" i="1" a="1"/>
  <c r="M41" i="1" s="1"/>
  <c r="N41" i="1" a="1"/>
  <c r="N41" i="1" s="1"/>
  <c r="O41" i="1" a="1"/>
  <c r="O41" i="1"/>
  <c r="P41" i="1" a="1"/>
  <c r="P41" i="1"/>
  <c r="E42" i="1" a="1"/>
  <c r="E42" i="1" s="1"/>
  <c r="F42" i="1" a="1"/>
  <c r="F42" i="1"/>
  <c r="G42" i="1" a="1"/>
  <c r="G42" i="1" s="1"/>
  <c r="H42" i="1" a="1"/>
  <c r="H42" i="1" s="1"/>
  <c r="I42" i="1" a="1"/>
  <c r="I42" i="1" s="1"/>
  <c r="J42" i="1" a="1"/>
  <c r="J42" i="1"/>
  <c r="K42" i="1" a="1"/>
  <c r="K42" i="1" s="1"/>
  <c r="L42" i="1" a="1"/>
  <c r="L42" i="1" s="1"/>
  <c r="M42" i="1" a="1"/>
  <c r="M42" i="1" s="1"/>
  <c r="N42" i="1" a="1"/>
  <c r="N42" i="1"/>
  <c r="O42" i="1" a="1"/>
  <c r="O42" i="1"/>
  <c r="P42" i="1" a="1"/>
  <c r="P42" i="1" s="1"/>
  <c r="E43" i="1" a="1"/>
  <c r="E43" i="1" s="1"/>
  <c r="F43" i="1" a="1"/>
  <c r="F43" i="1"/>
  <c r="G43" i="1" a="1"/>
  <c r="G43" i="1" s="1"/>
  <c r="H43" i="1" a="1"/>
  <c r="H43" i="1" s="1"/>
  <c r="I43" i="1" a="1"/>
  <c r="I43" i="1" s="1"/>
  <c r="J43" i="1" a="1"/>
  <c r="J43" i="1"/>
  <c r="K43" i="1" a="1"/>
  <c r="K43" i="1" s="1"/>
  <c r="L43" i="1" a="1"/>
  <c r="L43" i="1" s="1"/>
  <c r="M43" i="1" a="1"/>
  <c r="M43" i="1"/>
  <c r="N43" i="1" a="1"/>
  <c r="N43" i="1"/>
  <c r="O43" i="1" a="1"/>
  <c r="O43" i="1" s="1"/>
  <c r="P43" i="1" a="1"/>
  <c r="P43" i="1" s="1"/>
  <c r="E44" i="1" a="1"/>
  <c r="E44" i="1" s="1"/>
  <c r="F44" i="1" a="1"/>
  <c r="F44" i="1" s="1"/>
  <c r="G44" i="1" a="1"/>
  <c r="G44" i="1" s="1"/>
  <c r="H44" i="1" a="1"/>
  <c r="H44" i="1"/>
  <c r="I44" i="1" a="1"/>
  <c r="I44" i="1" s="1"/>
  <c r="J44" i="1" a="1"/>
  <c r="J44" i="1" s="1"/>
  <c r="K44" i="1" a="1"/>
  <c r="K44" i="1" s="1"/>
  <c r="L44" i="1" a="1"/>
  <c r="L44" i="1" s="1"/>
  <c r="M44" i="1" a="1"/>
  <c r="M44" i="1"/>
  <c r="N44" i="1" a="1"/>
  <c r="N44" i="1" s="1"/>
  <c r="O44" i="1" a="1"/>
  <c r="O44" i="1" s="1"/>
  <c r="P44" i="1" a="1"/>
  <c r="P44" i="1"/>
  <c r="A16" i="1"/>
  <c r="A17" i="1"/>
  <c r="A18" i="1"/>
  <c r="A19" i="1"/>
  <c r="A20" i="1"/>
  <c r="A21" i="1"/>
  <c r="A22" i="1"/>
  <c r="A23" i="1"/>
  <c r="A24" i="1"/>
  <c r="A25" i="1"/>
  <c r="B16" i="1"/>
  <c r="B17" i="1"/>
  <c r="B18" i="1"/>
  <c r="B19" i="1"/>
  <c r="B20" i="1"/>
  <c r="B21" i="1"/>
  <c r="B22" i="1"/>
  <c r="B23" i="1"/>
  <c r="B24" i="1"/>
  <c r="B25" i="1"/>
  <c r="Q16" i="1"/>
  <c r="Q17" i="1"/>
  <c r="Q18" i="1"/>
  <c r="Q19" i="1"/>
  <c r="Q20" i="1"/>
  <c r="Q21" i="1"/>
  <c r="Q22" i="1"/>
  <c r="Q23" i="1"/>
  <c r="Q24" i="1"/>
  <c r="Q25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26" i="1"/>
  <c r="Q27" i="1"/>
  <c r="Q28" i="1"/>
  <c r="Q29" i="1"/>
  <c r="Q30" i="1"/>
  <c r="Q31" i="1"/>
  <c r="Q32" i="1"/>
  <c r="Q33" i="1"/>
  <c r="Q34" i="1"/>
  <c r="Q35" i="1"/>
  <c r="Q36" i="1"/>
  <c r="D39" i="1"/>
  <c r="A36" i="1"/>
  <c r="A35" i="1"/>
  <c r="A34" i="1"/>
  <c r="A33" i="1"/>
  <c r="A32" i="1"/>
  <c r="A31" i="1"/>
  <c r="A30" i="1"/>
  <c r="A29" i="1"/>
  <c r="A28" i="1"/>
  <c r="A27" i="1"/>
  <c r="A2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26" i="1"/>
  <c r="B27" i="1"/>
  <c r="B28" i="1"/>
  <c r="B29" i="1"/>
  <c r="B30" i="1"/>
  <c r="B31" i="1"/>
  <c r="B32" i="1"/>
  <c r="B33" i="1"/>
  <c r="B34" i="1"/>
  <c r="B35" i="1"/>
  <c r="B36" i="1"/>
  <c r="A2" i="1"/>
  <c r="E37" i="2" l="1" a="1"/>
  <c r="E37" i="2" s="1"/>
  <c r="K41" i="2" a="1"/>
  <c r="K41" i="2" s="1"/>
  <c r="M34" i="2" a="1"/>
  <c r="M34" i="2" s="1"/>
  <c r="H37" i="2" a="1"/>
  <c r="H37" i="2" s="1"/>
  <c r="Q29" i="2"/>
  <c r="Q42" i="2" a="1"/>
  <c r="Q42" i="2" s="1"/>
  <c r="P31" i="2" a="1"/>
  <c r="P31" i="2" s="1"/>
  <c r="D37" i="2" a="1"/>
  <c r="D37" i="2" s="1"/>
  <c r="D39" i="2" a="1"/>
  <c r="D39" i="2" s="1"/>
  <c r="D41" i="2" a="1"/>
  <c r="D41" i="2" s="1"/>
  <c r="H41" i="2" a="1"/>
  <c r="H41" i="2" s="1"/>
  <c r="P41" i="2" a="1"/>
  <c r="P41" i="2" s="1"/>
  <c r="F42" i="2" a="1"/>
  <c r="F42" i="2" s="1"/>
  <c r="J42" i="2" a="1"/>
  <c r="J42" i="2" s="1"/>
  <c r="N42" i="2" a="1"/>
  <c r="N42" i="2" s="1"/>
  <c r="F32" i="2" a="1"/>
  <c r="F32" i="2" s="1"/>
  <c r="J38" i="2" a="1"/>
  <c r="J38" i="2" s="1"/>
  <c r="N40" i="2" a="1"/>
  <c r="N40" i="2" s="1"/>
  <c r="L41" i="2" a="1"/>
  <c r="L41" i="2" s="1"/>
  <c r="F30" i="2" a="1"/>
  <c r="F30" i="2" s="1"/>
  <c r="L33" i="2" a="1"/>
  <c r="L33" i="2" s="1"/>
  <c r="N38" i="2" a="1"/>
  <c r="N38" i="2" s="1"/>
  <c r="K32" i="2" a="1"/>
  <c r="K32" i="2" s="1"/>
  <c r="I37" i="2" a="1"/>
  <c r="I37" i="2" s="1"/>
  <c r="Q37" i="2" a="1"/>
  <c r="Q37" i="2" s="1"/>
  <c r="K40" i="2" a="1"/>
  <c r="K40" i="2" s="1"/>
  <c r="G42" i="2" a="1"/>
  <c r="G42" i="2" s="1"/>
  <c r="K42" i="2" a="1"/>
  <c r="K42" i="2" s="1"/>
  <c r="O42" i="2" a="1"/>
  <c r="O42" i="2" s="1"/>
  <c r="J30" i="2" a="1"/>
  <c r="J30" i="2" s="1"/>
  <c r="P33" i="2" a="1"/>
  <c r="P33" i="2" s="1"/>
  <c r="H39" i="2" a="1"/>
  <c r="H39" i="2" s="1"/>
  <c r="O32" i="2" a="1"/>
  <c r="O32" i="2" s="1"/>
  <c r="M37" i="2" a="1"/>
  <c r="M37" i="2" s="1"/>
  <c r="O40" i="2" a="1"/>
  <c r="O40" i="2" s="1"/>
  <c r="H31" i="2" a="1"/>
  <c r="H31" i="2" s="1"/>
  <c r="D33" i="2" a="1"/>
  <c r="D33" i="2" s="1"/>
  <c r="N34" i="2" a="1"/>
  <c r="N34" i="2" s="1"/>
  <c r="P37" i="2" a="1"/>
  <c r="P37" i="2" s="1"/>
  <c r="L39" i="2" a="1"/>
  <c r="L39" i="2" s="1"/>
  <c r="K30" i="2" a="1"/>
  <c r="K30" i="2" s="1"/>
  <c r="M31" i="2" a="1"/>
  <c r="M31" i="2" s="1"/>
  <c r="I33" i="2" a="1"/>
  <c r="I33" i="2" s="1"/>
  <c r="G34" i="2" a="1"/>
  <c r="G34" i="2" s="1"/>
  <c r="K38" i="2" a="1"/>
  <c r="K38" i="2" s="1"/>
  <c r="Q39" i="2" a="1"/>
  <c r="Q39" i="2" s="1"/>
  <c r="Q41" i="2" a="1"/>
  <c r="Q41" i="2" s="1"/>
  <c r="D30" i="2" a="1"/>
  <c r="D30" i="2" s="1"/>
  <c r="L30" i="2" a="1"/>
  <c r="L30" i="2" s="1"/>
  <c r="F31" i="2" a="1"/>
  <c r="F31" i="2" s="1"/>
  <c r="N31" i="2" a="1"/>
  <c r="N31" i="2" s="1"/>
  <c r="H32" i="2" a="1"/>
  <c r="H32" i="2" s="1"/>
  <c r="P32" i="2" a="1"/>
  <c r="P32" i="2" s="1"/>
  <c r="J33" i="2" a="1"/>
  <c r="J33" i="2" s="1"/>
  <c r="H34" i="2" a="1"/>
  <c r="H34" i="2" s="1"/>
  <c r="P34" i="2" a="1"/>
  <c r="P34" i="2" s="1"/>
  <c r="J37" i="2" a="1"/>
  <c r="J37" i="2" s="1"/>
  <c r="D38" i="2" a="1"/>
  <c r="D38" i="2" s="1"/>
  <c r="P38" i="2" a="1"/>
  <c r="P38" i="2" s="1"/>
  <c r="J39" i="2" a="1"/>
  <c r="J39" i="2" s="1"/>
  <c r="D40" i="2" a="1"/>
  <c r="D40" i="2" s="1"/>
  <c r="L40" i="2" a="1"/>
  <c r="L40" i="2" s="1"/>
  <c r="F41" i="2" a="1"/>
  <c r="F41" i="2" s="1"/>
  <c r="J41" i="2" a="1"/>
  <c r="J41" i="2" s="1"/>
  <c r="D42" i="2" a="1"/>
  <c r="D42" i="2" s="1"/>
  <c r="L42" i="2" a="1"/>
  <c r="L42" i="2" s="1"/>
  <c r="P42" i="2" a="1"/>
  <c r="P42" i="2" s="1"/>
  <c r="D31" i="2" a="1"/>
  <c r="D31" i="2" s="1"/>
  <c r="N32" i="2" a="1"/>
  <c r="N32" i="2" s="1"/>
  <c r="J34" i="2" a="1"/>
  <c r="J34" i="2" s="1"/>
  <c r="L37" i="2" a="1"/>
  <c r="L37" i="2" s="1"/>
  <c r="J40" i="2" a="1"/>
  <c r="J40" i="2" s="1"/>
  <c r="E31" i="2" a="1"/>
  <c r="E31" i="2" s="1"/>
  <c r="Q31" i="2" a="1"/>
  <c r="Q31" i="2" s="1"/>
  <c r="M33" i="2" a="1"/>
  <c r="M33" i="2" s="1"/>
  <c r="K34" i="2" a="1"/>
  <c r="K34" i="2" s="1"/>
  <c r="G38" i="2" a="1"/>
  <c r="G38" i="2" s="1"/>
  <c r="I39" i="2" a="1"/>
  <c r="I39" i="2" s="1"/>
  <c r="E41" i="2" a="1"/>
  <c r="E41" i="2" s="1"/>
  <c r="H30" i="2" a="1"/>
  <c r="H30" i="2" s="1"/>
  <c r="P30" i="2" a="1"/>
  <c r="P30" i="2" s="1"/>
  <c r="J31" i="2" a="1"/>
  <c r="J31" i="2" s="1"/>
  <c r="D32" i="2" a="1"/>
  <c r="D32" i="2" s="1"/>
  <c r="L32" i="2" a="1"/>
  <c r="L32" i="2" s="1"/>
  <c r="F33" i="2" a="1"/>
  <c r="F33" i="2" s="1"/>
  <c r="N33" i="2" a="1"/>
  <c r="N33" i="2" s="1"/>
  <c r="D34" i="2" a="1"/>
  <c r="D34" i="2" s="1"/>
  <c r="L34" i="2" a="1"/>
  <c r="L34" i="2" s="1"/>
  <c r="F37" i="2" a="1"/>
  <c r="F37" i="2" s="1"/>
  <c r="N37" i="2" a="1"/>
  <c r="N37" i="2" s="1"/>
  <c r="H38" i="2" a="1"/>
  <c r="H38" i="2" s="1"/>
  <c r="L38" i="2" a="1"/>
  <c r="L38" i="2" s="1"/>
  <c r="F39" i="2" a="1"/>
  <c r="F39" i="2" s="1"/>
  <c r="N39" i="2" a="1"/>
  <c r="N39" i="2" s="1"/>
  <c r="H40" i="2" a="1"/>
  <c r="H40" i="2" s="1"/>
  <c r="P40" i="2" a="1"/>
  <c r="P40" i="2" s="1"/>
  <c r="N41" i="2" a="1"/>
  <c r="N41" i="2" s="1"/>
  <c r="H42" i="2" a="1"/>
  <c r="H42" i="2" s="1"/>
  <c r="L31" i="2" a="1"/>
  <c r="L31" i="2" s="1"/>
  <c r="H33" i="2" a="1"/>
  <c r="H33" i="2" s="1"/>
  <c r="F38" i="2" a="1"/>
  <c r="F38" i="2" s="1"/>
  <c r="P39" i="2" a="1"/>
  <c r="P39" i="2" s="1"/>
  <c r="G30" i="2" a="1"/>
  <c r="G30" i="2" s="1"/>
  <c r="I31" i="2" a="1"/>
  <c r="I31" i="2" s="1"/>
  <c r="E33" i="2" a="1"/>
  <c r="E33" i="2" s="1"/>
  <c r="E39" i="2" a="1"/>
  <c r="E39" i="2" s="1"/>
  <c r="G40" i="2" a="1"/>
  <c r="G40" i="2" s="1"/>
  <c r="M41" i="2" a="1"/>
  <c r="M41" i="2" s="1"/>
  <c r="I30" i="2" a="1"/>
  <c r="I30" i="2" s="1"/>
  <c r="Q30" i="2" a="1"/>
  <c r="Q30" i="2" s="1"/>
  <c r="K31" i="2" a="1"/>
  <c r="K31" i="2" s="1"/>
  <c r="E32" i="2" a="1"/>
  <c r="E32" i="2" s="1"/>
  <c r="M32" i="2" a="1"/>
  <c r="M32" i="2" s="1"/>
  <c r="G33" i="2" a="1"/>
  <c r="G33" i="2" s="1"/>
  <c r="O33" i="2" a="1"/>
  <c r="O33" i="2" s="1"/>
  <c r="I34" i="2" a="1"/>
  <c r="I34" i="2" s="1"/>
  <c r="Q34" i="2" a="1"/>
  <c r="Q34" i="2" s="1"/>
  <c r="K37" i="2" a="1"/>
  <c r="K37" i="2" s="1"/>
  <c r="E38" i="2" a="1"/>
  <c r="E38" i="2" s="1"/>
  <c r="M38" i="2" a="1"/>
  <c r="M38" i="2" s="1"/>
  <c r="G39" i="2" a="1"/>
  <c r="G39" i="2" s="1"/>
  <c r="O39" i="2" a="1"/>
  <c r="O39" i="2" s="1"/>
  <c r="I40" i="2" a="1"/>
  <c r="I40" i="2" s="1"/>
  <c r="Q40" i="2" a="1"/>
  <c r="Q40" i="2" s="1"/>
  <c r="G41" i="2" a="1"/>
  <c r="G41" i="2" s="1"/>
  <c r="O41" i="2" a="1"/>
  <c r="O41" i="2" s="1"/>
  <c r="E42" i="2" a="1"/>
  <c r="E42" i="2" s="1"/>
  <c r="I42" i="2" a="1"/>
  <c r="I42" i="2" s="1"/>
  <c r="M42" i="2" a="1"/>
  <c r="M42" i="2" s="1"/>
  <c r="N30" i="2" a="1"/>
  <c r="N30" i="2" s="1"/>
  <c r="J32" i="2" a="1"/>
  <c r="J32" i="2" s="1"/>
  <c r="F34" i="2" a="1"/>
  <c r="F34" i="2" s="1"/>
  <c r="F40" i="2" a="1"/>
  <c r="F40" i="2" s="1"/>
  <c r="O30" i="2" a="1"/>
  <c r="O30" i="2" s="1"/>
  <c r="G32" i="2" a="1"/>
  <c r="G32" i="2" s="1"/>
  <c r="Q33" i="2" a="1"/>
  <c r="Q33" i="2" s="1"/>
  <c r="O34" i="2" a="1"/>
  <c r="O34" i="2" s="1"/>
  <c r="O38" i="2" a="1"/>
  <c r="O38" i="2" s="1"/>
  <c r="M39" i="2" a="1"/>
  <c r="M39" i="2" s="1"/>
  <c r="I41" i="2" a="1"/>
  <c r="I41" i="2" s="1"/>
  <c r="E30" i="2" a="1"/>
  <c r="E30" i="2" s="1"/>
  <c r="M30" i="2" a="1"/>
  <c r="M30" i="2" s="1"/>
  <c r="G31" i="2" a="1"/>
  <c r="G31" i="2" s="1"/>
  <c r="O31" i="2" a="1"/>
  <c r="O31" i="2" s="1"/>
  <c r="I32" i="2" a="1"/>
  <c r="I32" i="2" s="1"/>
  <c r="Q32" i="2" a="1"/>
  <c r="Q32" i="2" s="1"/>
  <c r="K33" i="2" a="1"/>
  <c r="K33" i="2" s="1"/>
  <c r="E34" i="2" a="1"/>
  <c r="E34" i="2" s="1"/>
  <c r="G37" i="2" a="1"/>
  <c r="G37" i="2" s="1"/>
  <c r="O37" i="2" a="1"/>
  <c r="O37" i="2" s="1"/>
  <c r="I38" i="2" a="1"/>
  <c r="I38" i="2" s="1"/>
  <c r="Q38" i="2" a="1"/>
  <c r="Q38" i="2" s="1"/>
  <c r="K39" i="2" a="1"/>
  <c r="K39" i="2" s="1"/>
  <c r="E40" i="2" a="1"/>
  <c r="E40" i="2" s="1"/>
  <c r="M40" i="2" a="1"/>
  <c r="M40" i="2" s="1"/>
  <c r="Q50" i="1" a="1"/>
  <c r="Q50" i="1" s="1"/>
  <c r="Q42" i="1" a="1"/>
  <c r="Q42" i="1" s="1"/>
  <c r="Q51" i="1" a="1"/>
  <c r="Q51" i="1" s="1"/>
  <c r="Q49" i="1" a="1"/>
  <c r="Q49" i="1" s="1"/>
  <c r="Q44" i="1" a="1"/>
  <c r="Q44" i="1" s="1"/>
  <c r="Q40" i="1" a="1"/>
  <c r="Q40" i="1" s="1"/>
  <c r="Q48" i="1" a="1"/>
  <c r="Q48" i="1" s="1"/>
  <c r="Q47" i="1" a="1"/>
  <c r="Q47" i="1" s="1"/>
  <c r="Q52" i="1" a="1"/>
  <c r="Q52" i="1" s="1"/>
  <c r="Q39" i="1"/>
  <c r="Q41" i="1" a="1"/>
  <c r="Q41" i="1" s="1"/>
  <c r="Q43" i="1" a="1"/>
  <c r="Q43" i="1" s="1"/>
  <c r="D47" i="1" a="1"/>
  <c r="D47" i="1" s="1"/>
  <c r="F48" i="1" a="1"/>
  <c r="F48" i="1" s="1"/>
  <c r="D52" i="1" a="1"/>
  <c r="D52" i="1" s="1"/>
  <c r="E50" i="1" a="1"/>
  <c r="E50" i="1" s="1"/>
  <c r="D48" i="1" a="1"/>
  <c r="D48" i="1" s="1"/>
  <c r="D43" i="1" a="1"/>
  <c r="D43" i="1" s="1"/>
  <c r="E51" i="1" a="1"/>
  <c r="E51" i="1" s="1"/>
  <c r="D44" i="1" a="1"/>
  <c r="D44" i="1" s="1"/>
  <c r="F47" i="1" a="1"/>
  <c r="F47" i="1" s="1"/>
  <c r="D40" i="1" a="1"/>
  <c r="D40" i="1" s="1"/>
  <c r="D49" i="1" a="1"/>
  <c r="D49" i="1" s="1"/>
  <c r="E52" i="1" a="1"/>
  <c r="E52" i="1" s="1"/>
  <c r="D41" i="1" a="1"/>
  <c r="D41" i="1" s="1"/>
  <c r="D50" i="1" a="1"/>
  <c r="D50" i="1" s="1"/>
  <c r="E49" i="1" a="1"/>
  <c r="E49" i="1" s="1"/>
  <c r="D51" i="1" a="1"/>
  <c r="D51" i="1" s="1"/>
  <c r="F50" i="1" a="1"/>
  <c r="F50" i="1" s="1"/>
  <c r="E48" i="1" a="1"/>
  <c r="E48" i="1" s="1"/>
  <c r="F52" i="1" a="1"/>
  <c r="F52" i="1" s="1"/>
  <c r="F49" i="1" a="1"/>
  <c r="F49" i="1" s="1"/>
  <c r="E47" i="1" a="1"/>
  <c r="E47" i="1" s="1"/>
  <c r="D42" i="1" a="1"/>
  <c r="D42" i="1" s="1"/>
  <c r="F51" i="1" a="1"/>
  <c r="F5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<sst xmlns="http://schemas.openxmlformats.org/spreadsheetml/2006/main" count="124" uniqueCount="61">
  <si>
    <t>condition</t>
  </si>
  <si>
    <t>3</t>
  </si>
  <si>
    <t>4</t>
  </si>
  <si>
    <t>5</t>
  </si>
  <si>
    <t>6</t>
  </si>
  <si>
    <t>7</t>
  </si>
  <si>
    <t>8</t>
  </si>
  <si>
    <t>9</t>
  </si>
  <si>
    <t>10</t>
  </si>
  <si>
    <t>12</t>
  </si>
  <si>
    <t>15</t>
  </si>
  <si>
    <t>arabic-1g</t>
  </si>
  <si>
    <t>arabic-2g</t>
  </si>
  <si>
    <t>arabic-3g</t>
  </si>
  <si>
    <t>arabic-sk2g</t>
  </si>
  <si>
    <t>arabic-sk3g</t>
  </si>
  <si>
    <t>english-1g</t>
  </si>
  <si>
    <t>english-2g</t>
  </si>
  <si>
    <t>english-3g</t>
  </si>
  <si>
    <t>english-sk2g</t>
  </si>
  <si>
    <t>english-sk3g</t>
  </si>
  <si>
    <t>french-1g</t>
  </si>
  <si>
    <t>french-2g</t>
  </si>
  <si>
    <t>french-3g</t>
  </si>
  <si>
    <t>french-sk2g</t>
  </si>
  <si>
    <t>french-sk3g</t>
  </si>
  <si>
    <t>german-1g</t>
  </si>
  <si>
    <t>german-2g</t>
  </si>
  <si>
    <t>german-3g</t>
  </si>
  <si>
    <t>german-sk2g</t>
  </si>
  <si>
    <t>german-sk3g</t>
  </si>
  <si>
    <t>russian-1g</t>
  </si>
  <si>
    <t>russian-2g</t>
  </si>
  <si>
    <t>russian-3g</t>
  </si>
  <si>
    <t>russian-sk2g</t>
  </si>
  <si>
    <t>russian-sk3g</t>
  </si>
  <si>
    <t>Note</t>
  </si>
  <si>
    <t>lang</t>
  </si>
  <si>
    <t>1g</t>
  </si>
  <si>
    <t>1g included</t>
  </si>
  <si>
    <t>all</t>
  </si>
  <si>
    <t>arabic</t>
  </si>
  <si>
    <t>english</t>
  </si>
  <si>
    <t>french</t>
  </si>
  <si>
    <t>german</t>
  </si>
  <si>
    <t>russian</t>
  </si>
  <si>
    <t>1g excluded</t>
  </si>
  <si>
    <t>average</t>
  </si>
  <si>
    <t>11</t>
  </si>
  <si>
    <t>13</t>
  </si>
  <si>
    <t>14</t>
  </si>
  <si>
    <t>arabic-xsk2g</t>
  </si>
  <si>
    <t>arabic-xsk3g</t>
  </si>
  <si>
    <t>english-xsk2g</t>
  </si>
  <si>
    <t>english-xsk3g</t>
  </si>
  <si>
    <t>french-xsk2g</t>
  </si>
  <si>
    <t>french-xsk3g</t>
  </si>
  <si>
    <t>german-xsk2g</t>
  </si>
  <si>
    <t>german-xsk3g</t>
  </si>
  <si>
    <t>russian-xsk2g</t>
  </si>
  <si>
    <t>russian-xsk3g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</si>
</sst>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3"/>
      <color theme="1"/>
      <name val="LucidaSansUnicode"/>
      <family val="2"/>
    </font>
    <font>
      <sz val="8"/>
      <name val="LucidaSansUnicod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2" fontId="0" fillId="0" borderId="1" xfId="0" applyNumberFormat="1" applyBorder="1"/>
  </cellXfs>
  <cellStyles count="1">
    <cellStyle name="Normal" xfId="0" builtinId="0"/>
  </cellStyles>
  <dxfs count="32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8501F87-CD4D-1748-9E0A-ADF55E4A616A}" name="Table13" displayName="Table13" ref="A1:R26" totalsRowShown="0">
  <autoFilter ref="A1:R26" xr:uid="{CFFBF5C2-C562-4A4E-B95B-091D1721BBE3}"/>
  <tableColumns count="18">
    <tableColumn id="1" xr3:uid="{FEED3BD3-D8FE-C94A-9DA2-4603801FF74D}" name="lang">
      <calculatedColumnFormula>_xlfn.LET(_xlpm.c,_xlfn.SINGLE(Table13[condition]),_xlfn.TEXTBEFORE(_xlpm.c,"-"))</calculatedColumnFormula>
    </tableColumn>
    <tableColumn id="14" xr3:uid="{ACD978A6-A5EF-DE4D-AA66-03E86F942A76}" name="1g" dataDxfId="15">
      <calculatedColumnFormula>_xlfn.LET(_xlpm.c,_xlfn.SINGLE(Table13[condition]),IF(RIGHT(_xlpm.c,2)="1g",1,0))</calculatedColumnFormula>
    </tableColumn>
    <tableColumn id="13" xr3:uid="{1D761B60-B37B-DE41-899B-CDC9778F4880}" name="condition"/>
    <tableColumn id="2" xr3:uid="{499E62B6-6035-A045-9BDD-CE7EA7E610DA}" name="3" dataDxfId="14"/>
    <tableColumn id="3" xr3:uid="{9E6A1525-CF69-C34B-83F6-16BAE5EAC69E}" name="4" dataDxfId="13"/>
    <tableColumn id="4" xr3:uid="{0CECDC48-7377-FF42-86E9-31073AEAB8FD}" name="5" dataDxfId="12"/>
    <tableColumn id="5" xr3:uid="{CF68BFBD-DF9C-B640-801C-E5AC9FFF9F4A}" name="6" dataDxfId="11"/>
    <tableColumn id="6" xr3:uid="{698EB081-A9EE-CD4E-A599-AA4942044C4B}" name="7" dataDxfId="10"/>
    <tableColumn id="7" xr3:uid="{9E2D54BF-3745-2247-B9C6-28B628CF1A98}" name="8" dataDxfId="9"/>
    <tableColumn id="8" xr3:uid="{8240E0B2-3E5B-BC45-85C8-E78D91CA8218}" name="9" dataDxfId="8"/>
    <tableColumn id="9" xr3:uid="{82EB85C8-27FE-5744-A50F-382E3D549AF3}" name="10" dataDxfId="7"/>
    <tableColumn id="16" xr3:uid="{B8A37FC4-6EF5-D541-9EC5-1CF5E78F37BA}" name="11" dataDxfId="6"/>
    <tableColumn id="10" xr3:uid="{585AC85A-1275-5C47-9A4C-B731E99D9183}" name="12" dataDxfId="5"/>
    <tableColumn id="17" xr3:uid="{FE8F8C73-3B43-0C48-8348-BFA748AE312B}" name="13" dataDxfId="4"/>
    <tableColumn id="18" xr3:uid="{0E9B44D4-2DDE-774A-8556-FC856F6446E1}" name="14" dataDxfId="3"/>
    <tableColumn id="11" xr3:uid="{969BB263-FF3D-C842-9B88-62011948FFF1}" name="15" dataDxfId="2"/>
    <tableColumn id="15" xr3:uid="{EF29A620-8661-6747-AC22-7C90193EB836}" name="average" dataDxfId="1">
      <calculatedColumnFormula>_xlfn.LET(_xlpm.d,$D2:$P2,AVERAGE(_xlpm.d))</calculatedColumnFormula>
    </tableColumn>
    <tableColumn id="12" xr3:uid="{0A7AE934-8185-6A4A-9902-C806BC8A81F0}" name="Note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FBF5C2-C562-4A4E-B95B-091D1721BBE3}" name="Table1" displayName="Table1" ref="A1:R36" totalsRowShown="0">
  <autoFilter ref="A1:R36" xr:uid="{CFFBF5C2-C562-4A4E-B95B-091D1721BBE3}"/>
  <tableColumns count="18">
    <tableColumn id="1" xr3:uid="{B965C989-233C-BA49-B251-382897A2BABE}" name="lang">
      <calculatedColumnFormula>_xlfn.LET(_xlpm.c,_xlfn.SINGLE(Table1[condition]),_xlfn.TEXTBEFORE(_xlpm.c,"-"))</calculatedColumnFormula>
    </tableColumn>
    <tableColumn id="14" xr3:uid="{5B025105-E7B9-EC44-A23C-B49A45A79092}" name="1g" dataDxfId="31">
      <calculatedColumnFormula>_xlfn.LET(_xlpm.c,_xlfn.SINGLE(Table1[condition]),IF(RIGHT(_xlpm.c,2)="1g",1,0))</calculatedColumnFormula>
    </tableColumn>
    <tableColumn id="13" xr3:uid="{8340960A-BC53-B144-9330-B572B3C5A7D0}" name="condition"/>
    <tableColumn id="2" xr3:uid="{E49E0B59-37B0-284D-BE77-40B5319AB755}" name="3" dataDxfId="30"/>
    <tableColumn id="3" xr3:uid="{12F044D8-6B04-8146-9059-0DD6BE8C153F}" name="4" dataDxfId="29"/>
    <tableColumn id="4" xr3:uid="{28314014-34F8-EF4B-AF7B-FC88FF8A6DA9}" name="5" dataDxfId="28"/>
    <tableColumn id="5" xr3:uid="{0BD4A703-F893-784A-B65E-DB2D1E798103}" name="6" dataDxfId="27"/>
    <tableColumn id="6" xr3:uid="{50D9F421-0114-CF41-9767-B830E35DC34D}" name="7" dataDxfId="26"/>
    <tableColumn id="7" xr3:uid="{E0DD0445-0346-1E47-9A2C-83486C4A03C4}" name="8" dataDxfId="25"/>
    <tableColumn id="8" xr3:uid="{5556115A-B62B-C140-944D-BADBB061EBB5}" name="9" dataDxfId="24"/>
    <tableColumn id="9" xr3:uid="{1B92E407-F94E-544F-B76D-B160EB3BC0AB}" name="10" dataDxfId="23"/>
    <tableColumn id="16" xr3:uid="{477FCE05-50AC-E041-A19F-AE885A129281}" name="11" dataDxfId="18"/>
    <tableColumn id="10" xr3:uid="{6871B4E2-64FC-EF4F-91D7-DFBFD9EFB3C2}" name="12" dataDxfId="22"/>
    <tableColumn id="17" xr3:uid="{6C15AEDE-928C-3D4B-A704-A41F23D110B9}" name="13" dataDxfId="17"/>
    <tableColumn id="18" xr3:uid="{E6B0F013-5306-024F-B507-0CA2696995F1}" name="14" dataDxfId="16"/>
    <tableColumn id="11" xr3:uid="{059EBDD8-5269-D041-AFDD-56AB88BB8F27}" name="15" dataDxfId="21"/>
    <tableColumn id="15" xr3:uid="{10A0FF2E-0DFB-EB42-B7BA-5361345C2746}" name="average" dataDxfId="20">
      <calculatedColumnFormula>_xlfn.LET(_xlpm.d,$D2:$P2,AVERAGE(_xlpm.d))</calculatedColumnFormula>
    </tableColumn>
    <tableColumn id="12" xr3:uid="{A6241437-628E-B649-BE98-72F550E42AC5}" name="Note" dataDxfId="1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1EDE6-98A6-3240-BAFD-782C0F2CD73E}">
  <dimension ref="A1:R42"/>
  <sheetViews>
    <sheetView tabSelected="1" workbookViewId="0">
      <pane xSplit="9080" ySplit="3520" topLeftCell="D12" activePane="bottomLeft"/>
      <selection activeCell="C1" sqref="C1:C1048576"/>
      <selection pane="topRight" activeCell="D2" sqref="D2:D36"/>
      <selection pane="bottomLeft" activeCell="C22" sqref="C22"/>
      <selection pane="bottomRight" activeCell="H29" sqref="H29"/>
    </sheetView>
  </sheetViews>
  <sheetFormatPr baseColWidth="10" defaultRowHeight="30" customHeight="1"/>
  <cols>
    <col min="1" max="1" width="10.375" customWidth="1"/>
    <col min="2" max="2" width="7.125" customWidth="1"/>
    <col min="3" max="3" width="12.875" customWidth="1"/>
    <col min="4" max="17" width="5.875" customWidth="1"/>
  </cols>
  <sheetData>
    <row r="1" spans="1:18" ht="30" customHeight="1">
      <c r="A1" t="s">
        <v>37</v>
      </c>
      <c r="B1" t="s">
        <v>38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48</v>
      </c>
      <c r="M1" t="s">
        <v>9</v>
      </c>
      <c r="N1" t="s">
        <v>49</v>
      </c>
      <c r="O1" t="s">
        <v>50</v>
      </c>
      <c r="P1" t="s">
        <v>10</v>
      </c>
      <c r="Q1" t="s">
        <v>47</v>
      </c>
      <c r="R1" t="s">
        <v>36</v>
      </c>
    </row>
    <row r="2" spans="1:18" ht="30" customHeight="1">
      <c r="A2" t="str">
        <f>_xlfn.LET(_xlpm.c,_xlfn.SINGLE(Table13[condition]),_xlfn.TEXTBEFORE(_xlpm.c,"-"))</f>
        <v>arabic</v>
      </c>
      <c r="B2">
        <f>_xlfn.LET(_xlpm.c,_xlfn.SINGLE(Table13[condition]),IF(RIGHT(_xlpm.c,2)="1g",1,0))</f>
        <v>1</v>
      </c>
      <c r="C2" t="s">
        <v>11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1</v>
      </c>
      <c r="P2" s="1">
        <v>1</v>
      </c>
      <c r="Q2" s="1">
        <f t="shared" ref="Q2:Q26" si="0">_xlfn.LET(_xlpm.d,$D2:$P2,AVERAGE(_xlpm.d))</f>
        <v>1</v>
      </c>
      <c r="R2" s="1"/>
    </row>
    <row r="3" spans="1:18" ht="30" customHeight="1">
      <c r="A3" t="str">
        <f>_xlfn.LET(_xlpm.c,_xlfn.SINGLE(Table13[condition]),_xlfn.TEXTBEFORE(_xlpm.c,"-"))</f>
        <v>arabic</v>
      </c>
      <c r="B3">
        <f>_xlfn.LET(_xlpm.c,_xlfn.SINGLE(Table13[condition]),IF(RIGHT(_xlpm.c,2)="1g",1,0))</f>
        <v>0</v>
      </c>
      <c r="C3" t="s">
        <v>12</v>
      </c>
      <c r="D3" s="1">
        <v>1</v>
      </c>
      <c r="E3" s="1">
        <v>1</v>
      </c>
      <c r="F3" s="1">
        <v>1</v>
      </c>
      <c r="G3" s="1">
        <v>1</v>
      </c>
      <c r="H3" s="1">
        <v>0.99070261993493502</v>
      </c>
      <c r="I3" s="1">
        <v>1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Q3" s="1">
        <f t="shared" si="0"/>
        <v>0.99928481691807203</v>
      </c>
      <c r="R3" s="1"/>
    </row>
    <row r="4" spans="1:18" ht="30" customHeight="1">
      <c r="A4" t="str">
        <f>_xlfn.LET(_xlpm.c,_xlfn.SINGLE(Table13[condition]),_xlfn.TEXTBEFORE(_xlpm.c,"-"))</f>
        <v>arabic</v>
      </c>
      <c r="B4">
        <f>_xlfn.LET(_xlpm.c,_xlfn.SINGLE(Table13[condition]),IF(RIGHT(_xlpm.c,2)="1g",1,0))</f>
        <v>0</v>
      </c>
      <c r="C4" t="s">
        <v>13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f t="shared" si="0"/>
        <v>1</v>
      </c>
      <c r="R4" s="1"/>
    </row>
    <row r="5" spans="1:18" ht="30" customHeight="1">
      <c r="A5" t="str">
        <f>_xlfn.LET(_xlpm.c,_xlfn.SINGLE(Table13[condition]),_xlfn.TEXTBEFORE(_xlpm.c,"-"))</f>
        <v>arabic</v>
      </c>
      <c r="B5">
        <f>_xlfn.LET(_xlpm.c,_xlfn.SINGLE(Table13[condition]),IF(RIGHT(_xlpm.c,2)="1g",1,0))</f>
        <v>0</v>
      </c>
      <c r="C5" t="s">
        <v>14</v>
      </c>
      <c r="D5" s="1">
        <v>1</v>
      </c>
      <c r="E5" s="1">
        <v>0.99298774736915596</v>
      </c>
      <c r="F5" s="1">
        <v>0.97668690044181505</v>
      </c>
      <c r="G5" s="1">
        <v>1</v>
      </c>
      <c r="H5" s="1">
        <v>1</v>
      </c>
      <c r="I5" s="1">
        <v>1</v>
      </c>
      <c r="J5" s="1">
        <v>0.97195858294933701</v>
      </c>
      <c r="K5" s="1">
        <v>0.97162841489766505</v>
      </c>
      <c r="L5" s="1">
        <v>1</v>
      </c>
      <c r="M5" s="1">
        <v>0.99757846532776695</v>
      </c>
      <c r="N5" s="1">
        <v>1</v>
      </c>
      <c r="O5" s="1">
        <v>1</v>
      </c>
      <c r="P5" s="1">
        <v>0.99374486542304596</v>
      </c>
      <c r="Q5" s="1">
        <f t="shared" si="0"/>
        <v>0.9926603828006757</v>
      </c>
      <c r="R5" s="1"/>
    </row>
    <row r="6" spans="1:18" ht="30" customHeight="1">
      <c r="A6" t="str">
        <f>_xlfn.LET(_xlpm.c,_xlfn.SINGLE(Table13[condition]),_xlfn.TEXTBEFORE(_xlpm.c,"-"))</f>
        <v>arabic</v>
      </c>
      <c r="B6">
        <f>_xlfn.LET(_xlpm.c,_xlfn.SINGLE(Table13[condition]),IF(RIGHT(_xlpm.c,2)="1g",1,0))</f>
        <v>0</v>
      </c>
      <c r="C6" t="s">
        <v>15</v>
      </c>
      <c r="D6" s="1">
        <v>1</v>
      </c>
      <c r="E6" s="1">
        <v>1</v>
      </c>
      <c r="F6" s="1">
        <v>0.98726229810545796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0.98157185428334703</v>
      </c>
      <c r="O6" s="1">
        <v>1</v>
      </c>
      <c r="P6" s="1">
        <v>1</v>
      </c>
      <c r="Q6" s="1">
        <f t="shared" si="0"/>
        <v>0.99760262710683112</v>
      </c>
      <c r="R6" s="1"/>
    </row>
    <row r="7" spans="1:18" ht="30" customHeight="1">
      <c r="A7" t="str">
        <f>_xlfn.LET(_xlpm.c,_xlfn.SINGLE(Table13[condition]),_xlfn.TEXTBEFORE(_xlpm.c,"-"))</f>
        <v>english</v>
      </c>
      <c r="B7">
        <f>_xlfn.LET(_xlpm.c,_xlfn.SINGLE(Table13[condition]),IF(RIGHT(_xlpm.c,2)="1g",1,0))</f>
        <v>1</v>
      </c>
      <c r="C7" t="s">
        <v>16</v>
      </c>
      <c r="D7" s="1">
        <v>1</v>
      </c>
      <c r="E7" s="1">
        <v>0.87157491704296497</v>
      </c>
      <c r="F7" s="1">
        <v>0.80859706023546996</v>
      </c>
      <c r="G7" s="1">
        <v>0.66360335756846101</v>
      </c>
      <c r="H7" s="1">
        <v>0.76606998136348803</v>
      </c>
      <c r="I7" s="1">
        <v>0.739598609604322</v>
      </c>
      <c r="J7" s="1">
        <v>0.67903111077488598</v>
      </c>
      <c r="K7" s="1">
        <v>0.65763812451611603</v>
      </c>
      <c r="L7" s="1">
        <v>0.81807219125182096</v>
      </c>
      <c r="M7" s="1">
        <v>0</v>
      </c>
      <c r="N7" s="1">
        <v>0.96962242315874803</v>
      </c>
      <c r="O7" s="1">
        <v>0.87538163353131504</v>
      </c>
      <c r="P7" s="1">
        <v>0.61723772960202805</v>
      </c>
      <c r="Q7" s="1">
        <f t="shared" si="0"/>
        <v>0.72818670297304777</v>
      </c>
      <c r="R7" s="1"/>
    </row>
    <row r="8" spans="1:18" ht="30" customHeight="1">
      <c r="A8" t="str">
        <f>_xlfn.LET(_xlpm.c,_xlfn.SINGLE(Table13[condition]),_xlfn.TEXTBEFORE(_xlpm.c,"-"))</f>
        <v>english</v>
      </c>
      <c r="B8">
        <f>_xlfn.LET(_xlpm.c,_xlfn.SINGLE(Table13[condition]),IF(RIGHT(_xlpm.c,2)="1g",1,0))</f>
        <v>0</v>
      </c>
      <c r="C8" t="s">
        <v>17</v>
      </c>
      <c r="D8" s="1">
        <v>0.58717076077431596</v>
      </c>
      <c r="E8" s="1">
        <v>0.549064146320971</v>
      </c>
      <c r="F8" s="1">
        <v>0.66633138115083501</v>
      </c>
      <c r="G8" s="1">
        <v>0.55291206708060903</v>
      </c>
      <c r="H8" s="1">
        <v>0.46762406464954898</v>
      </c>
      <c r="I8" s="1">
        <v>0.620725389004116</v>
      </c>
      <c r="J8" s="1">
        <v>0.61942410032030903</v>
      </c>
      <c r="K8" s="1">
        <v>0.35838375658055699</v>
      </c>
      <c r="L8" s="1">
        <v>0.44021977866810102</v>
      </c>
      <c r="M8" s="1">
        <v>0.41455260738455102</v>
      </c>
      <c r="N8" s="1">
        <v>0.460223798347413</v>
      </c>
      <c r="O8" s="1">
        <v>0.46904227727735598</v>
      </c>
      <c r="P8" s="1">
        <v>0.39960377877463099</v>
      </c>
      <c r="Q8" s="1">
        <f t="shared" si="0"/>
        <v>0.50809830048717797</v>
      </c>
      <c r="R8" s="1"/>
    </row>
    <row r="9" spans="1:18" ht="30" customHeight="1">
      <c r="A9" t="str">
        <f>_xlfn.LET(_xlpm.c,_xlfn.SINGLE(Table13[condition]),_xlfn.TEXTBEFORE(_xlpm.c,"-"))</f>
        <v>english</v>
      </c>
      <c r="B9">
        <f>_xlfn.LET(_xlpm.c,_xlfn.SINGLE(Table13[condition]),IF(RIGHT(_xlpm.c,2)="1g",1,0))</f>
        <v>0</v>
      </c>
      <c r="C9" t="s">
        <v>18</v>
      </c>
      <c r="D9" s="1">
        <v>0.56239809046719802</v>
      </c>
      <c r="E9" s="1">
        <v>0.68339019808057699</v>
      </c>
      <c r="F9" s="1">
        <v>0.58760624267084605</v>
      </c>
      <c r="G9" s="1">
        <v>0.58025148100634705</v>
      </c>
      <c r="H9" s="1">
        <v>0.47306094195898601</v>
      </c>
      <c r="I9" s="1">
        <v>0.65647266304227003</v>
      </c>
      <c r="J9" s="1">
        <v>0.70178555264629106</v>
      </c>
      <c r="K9" s="1">
        <v>0.58991364111141198</v>
      </c>
      <c r="L9" s="1">
        <v>0.46620630215119702</v>
      </c>
      <c r="M9" s="1">
        <v>0.59308145042431104</v>
      </c>
      <c r="N9" s="1">
        <v>0.51586031746618399</v>
      </c>
      <c r="O9" s="1">
        <v>0.66078859808058699</v>
      </c>
      <c r="P9" s="1">
        <v>0.380806948225765</v>
      </c>
      <c r="Q9" s="1">
        <f t="shared" si="0"/>
        <v>0.5732017251793825</v>
      </c>
      <c r="R9" s="1"/>
    </row>
    <row r="10" spans="1:18" ht="30" customHeight="1">
      <c r="A10" t="str">
        <f>_xlfn.LET(_xlpm.c,_xlfn.SINGLE(Table13[condition]),_xlfn.TEXTBEFORE(_xlpm.c,"-"))</f>
        <v>english</v>
      </c>
      <c r="B10">
        <f>_xlfn.LET(_xlpm.c,_xlfn.SINGLE(Table13[condition]),IF(RIGHT(_xlpm.c,2)="1g",1,0))</f>
        <v>0</v>
      </c>
      <c r="C10" t="s">
        <v>19</v>
      </c>
      <c r="D10" s="1">
        <v>0.70033053474317697</v>
      </c>
      <c r="E10" s="1">
        <v>0.77099141710807195</v>
      </c>
      <c r="F10" s="1">
        <v>0.60048153223450296</v>
      </c>
      <c r="G10" s="1">
        <v>0.82762627598952399</v>
      </c>
      <c r="H10" s="1">
        <v>0.57620131777306705</v>
      </c>
      <c r="I10" s="1">
        <v>0.46700575634327901</v>
      </c>
      <c r="J10" s="1">
        <v>0.74248954230702602</v>
      </c>
      <c r="K10" s="1">
        <v>0.577642859051682</v>
      </c>
      <c r="L10" s="1">
        <v>0.51772848012608497</v>
      </c>
      <c r="M10" s="1">
        <v>0.51566855586439198</v>
      </c>
      <c r="N10" s="1">
        <v>0.56895512596382203</v>
      </c>
      <c r="O10" s="1">
        <v>0.52235430538966099</v>
      </c>
      <c r="P10" s="1">
        <v>0.67954925245438302</v>
      </c>
      <c r="Q10" s="1">
        <f t="shared" si="0"/>
        <v>0.62054038118066712</v>
      </c>
      <c r="R10" s="1"/>
    </row>
    <row r="11" spans="1:18" ht="30" customHeight="1">
      <c r="A11" t="str">
        <f>_xlfn.LET(_xlpm.c,_xlfn.SINGLE(Table13[condition]),_xlfn.TEXTBEFORE(_xlpm.c,"-"))</f>
        <v>english</v>
      </c>
      <c r="B11">
        <f>_xlfn.LET(_xlpm.c,_xlfn.SINGLE(Table13[condition]),IF(RIGHT(_xlpm.c,2)="1g",1,0))</f>
        <v>0</v>
      </c>
      <c r="C11" t="s">
        <v>20</v>
      </c>
      <c r="D11" s="1">
        <v>0.61461535927685895</v>
      </c>
      <c r="E11" s="1">
        <v>0.56723560530025596</v>
      </c>
      <c r="F11" s="1">
        <v>0.68259461461577298</v>
      </c>
      <c r="G11" s="1">
        <v>0.76119182332700497</v>
      </c>
      <c r="H11" s="1">
        <v>0.460978480668775</v>
      </c>
      <c r="I11" s="1">
        <v>0.54185978000127</v>
      </c>
      <c r="J11" s="1">
        <v>0.469883268401734</v>
      </c>
      <c r="K11" s="1">
        <v>0.22203934423976199</v>
      </c>
      <c r="L11" s="1">
        <v>0.726962100066331</v>
      </c>
      <c r="M11" s="1">
        <v>0.622347947501249</v>
      </c>
      <c r="N11" s="1">
        <v>0.476005888593516</v>
      </c>
      <c r="O11" s="1">
        <v>0.62038440486461599</v>
      </c>
      <c r="P11" s="1">
        <v>0.50049111640383404</v>
      </c>
      <c r="Q11" s="1">
        <f t="shared" si="0"/>
        <v>0.55896844102007526</v>
      </c>
      <c r="R11" s="1"/>
    </row>
    <row r="12" spans="1:18" ht="30" customHeight="1">
      <c r="A12" t="str">
        <f>_xlfn.LET(_xlpm.c,_xlfn.SINGLE(Table13[condition]),_xlfn.TEXTBEFORE(_xlpm.c,"-"))</f>
        <v>french</v>
      </c>
      <c r="B12">
        <f>_xlfn.LET(_xlpm.c,_xlfn.SINGLE(Table13[condition]),IF(RIGHT(_xlpm.c,2)="1g",1,0))</f>
        <v>1</v>
      </c>
      <c r="C12" t="s">
        <v>21</v>
      </c>
      <c r="D12" s="1">
        <v>1</v>
      </c>
      <c r="E12" s="1">
        <v>0.81720689656549805</v>
      </c>
      <c r="F12" s="1">
        <v>0.72318902042190802</v>
      </c>
      <c r="G12" s="1">
        <v>0.94974743073163204</v>
      </c>
      <c r="H12" s="1">
        <v>0.99332352957322201</v>
      </c>
      <c r="I12" s="1">
        <v>0.85216810996467596</v>
      </c>
      <c r="J12" s="1">
        <v>0.73002639201394204</v>
      </c>
      <c r="K12" s="1">
        <v>0.61448126333063202</v>
      </c>
      <c r="L12" s="1">
        <v>0.62263562674293405</v>
      </c>
      <c r="M12" s="1">
        <v>0.70166539363989</v>
      </c>
      <c r="N12" s="1">
        <v>0.78404366179221796</v>
      </c>
      <c r="O12" s="1">
        <v>0.74448061351811501</v>
      </c>
      <c r="P12" s="1">
        <v>0.684080905029257</v>
      </c>
      <c r="Q12" s="1">
        <f t="shared" si="0"/>
        <v>0.78592683410184039</v>
      </c>
      <c r="R12" s="1"/>
    </row>
    <row r="13" spans="1:18" ht="30" customHeight="1">
      <c r="A13" t="str">
        <f>_xlfn.LET(_xlpm.c,_xlfn.SINGLE(Table13[condition]),_xlfn.TEXTBEFORE(_xlpm.c,"-"))</f>
        <v>french</v>
      </c>
      <c r="B13">
        <f>_xlfn.LET(_xlpm.c,_xlfn.SINGLE(Table13[condition]),IF(RIGHT(_xlpm.c,2)="1g",1,0))</f>
        <v>0</v>
      </c>
      <c r="C13" t="s">
        <v>22</v>
      </c>
      <c r="D13" s="1">
        <v>0.632471592322017</v>
      </c>
      <c r="E13" s="1">
        <v>0.60163181062198301</v>
      </c>
      <c r="F13" s="1">
        <v>0.59405931518222599</v>
      </c>
      <c r="G13" s="1">
        <v>0.64708279125330004</v>
      </c>
      <c r="H13" s="1">
        <v>0.53870094985780503</v>
      </c>
      <c r="I13" s="1">
        <v>0.40802630812940899</v>
      </c>
      <c r="J13" s="1">
        <v>0.46380994867006697</v>
      </c>
      <c r="K13" s="1">
        <v>0</v>
      </c>
      <c r="L13" s="1">
        <v>0.67814626232950304</v>
      </c>
      <c r="M13" s="1">
        <v>0.52517332177894904</v>
      </c>
      <c r="N13" s="1">
        <v>0.34464967424513099</v>
      </c>
      <c r="O13" s="1">
        <v>0.67569624445577003</v>
      </c>
      <c r="P13" s="1">
        <v>0.31961458614417398</v>
      </c>
      <c r="Q13" s="1">
        <f t="shared" si="0"/>
        <v>0.49454329269156416</v>
      </c>
      <c r="R13" s="1"/>
    </row>
    <row r="14" spans="1:18" ht="30" customHeight="1">
      <c r="A14" t="str">
        <f>_xlfn.LET(_xlpm.c,_xlfn.SINGLE(Table13[condition]),_xlfn.TEXTBEFORE(_xlpm.c,"-"))</f>
        <v>french</v>
      </c>
      <c r="B14">
        <f>_xlfn.LET(_xlpm.c,_xlfn.SINGLE(Table13[condition]),IF(RIGHT(_xlpm.c,2)="1g",1,0))</f>
        <v>0</v>
      </c>
      <c r="C14" t="s">
        <v>23</v>
      </c>
      <c r="D14" s="1">
        <v>0.68087911128435696</v>
      </c>
      <c r="E14" s="1">
        <v>0.61277206256486005</v>
      </c>
      <c r="F14" s="1">
        <v>0.61247482961497102</v>
      </c>
      <c r="G14" s="1">
        <v>0.39589087126743899</v>
      </c>
      <c r="H14" s="1">
        <v>0.44062846660314903</v>
      </c>
      <c r="I14" s="1">
        <v>0.61678345424804304</v>
      </c>
      <c r="J14" s="1">
        <v>0.73294818341121404</v>
      </c>
      <c r="K14" s="1">
        <v>0.57922971641113896</v>
      </c>
      <c r="L14" s="1">
        <v>0.58876574885226396</v>
      </c>
      <c r="M14" s="1">
        <v>0.60820095589756096</v>
      </c>
      <c r="N14" s="1">
        <v>0.67844280517282796</v>
      </c>
      <c r="O14" s="1">
        <v>0.49274941631250502</v>
      </c>
      <c r="P14" s="1">
        <v>0.42808463661594798</v>
      </c>
      <c r="Q14" s="1">
        <f t="shared" si="0"/>
        <v>0.57445001986586752</v>
      </c>
      <c r="R14" s="1"/>
    </row>
    <row r="15" spans="1:18" ht="30" customHeight="1">
      <c r="A15" t="str">
        <f>_xlfn.LET(_xlpm.c,_xlfn.SINGLE(Table13[condition]),_xlfn.TEXTBEFORE(_xlpm.c,"-"))</f>
        <v>french</v>
      </c>
      <c r="B15">
        <f>_xlfn.LET(_xlpm.c,_xlfn.SINGLE(Table13[condition]),IF(RIGHT(_xlpm.c,2)="1g",1,0))</f>
        <v>0</v>
      </c>
      <c r="C15" t="s">
        <v>24</v>
      </c>
      <c r="D15" s="1">
        <v>0.797556132959924</v>
      </c>
      <c r="E15" s="1">
        <v>0.76477223765286295</v>
      </c>
      <c r="F15" s="1">
        <v>0.70418906422368099</v>
      </c>
      <c r="G15" s="1">
        <v>0.77415130199598703</v>
      </c>
      <c r="H15" s="1">
        <v>0.64024259350857504</v>
      </c>
      <c r="I15" s="1">
        <v>0.69682876166627605</v>
      </c>
      <c r="J15" s="1">
        <v>0.53954207259586495</v>
      </c>
      <c r="K15" s="1">
        <v>0.64359356145822999</v>
      </c>
      <c r="L15" s="1">
        <v>0.54604749376497497</v>
      </c>
      <c r="M15" s="1">
        <v>0.68943154055038902</v>
      </c>
      <c r="N15" s="1">
        <v>0.441921209490027</v>
      </c>
      <c r="O15" s="1">
        <v>0.54260127705620598</v>
      </c>
      <c r="P15" s="1">
        <v>0.58938454162765397</v>
      </c>
      <c r="Q15" s="1">
        <f t="shared" si="0"/>
        <v>0.64386629142697338</v>
      </c>
      <c r="R15" s="1"/>
    </row>
    <row r="16" spans="1:18" ht="30" customHeight="1">
      <c r="A16" t="str">
        <f>_xlfn.LET(_xlpm.c,_xlfn.SINGLE(Table13[condition]),_xlfn.TEXTBEFORE(_xlpm.c,"-"))</f>
        <v>french</v>
      </c>
      <c r="B16">
        <f>_xlfn.LET(_xlpm.c,_xlfn.SINGLE(Table13[condition]),IF(RIGHT(_xlpm.c,2)="1g",1,0))</f>
        <v>0</v>
      </c>
      <c r="C16" t="s">
        <v>25</v>
      </c>
      <c r="D16" s="1">
        <v>0.95566753880483102</v>
      </c>
      <c r="E16" s="1">
        <v>0.71689504622741196</v>
      </c>
      <c r="F16" s="1">
        <v>0.79483665157104</v>
      </c>
      <c r="G16" s="1">
        <v>0.50606677849495896</v>
      </c>
      <c r="H16" s="1">
        <v>0.76378290674530602</v>
      </c>
      <c r="I16" s="1">
        <v>0.63507122265573102</v>
      </c>
      <c r="J16" s="1">
        <v>0.61562717752779506</v>
      </c>
      <c r="K16" s="1">
        <v>0.44799460763555898</v>
      </c>
      <c r="L16" s="1">
        <v>0.71866085792110701</v>
      </c>
      <c r="M16" s="1">
        <v>0.64074496005564696</v>
      </c>
      <c r="N16" s="1">
        <v>0.507645170309168</v>
      </c>
      <c r="O16" s="1">
        <v>0.54983102015273499</v>
      </c>
      <c r="P16" s="1">
        <v>0.47128719943964098</v>
      </c>
      <c r="Q16" s="1">
        <f t="shared" si="0"/>
        <v>0.64031624134930232</v>
      </c>
      <c r="R16" s="1"/>
    </row>
    <row r="17" spans="1:18" ht="30" customHeight="1">
      <c r="A17" t="str">
        <f>_xlfn.LET(_xlpm.c,_xlfn.SINGLE(Table13[condition]),_xlfn.TEXTBEFORE(_xlpm.c,"-"))</f>
        <v>german</v>
      </c>
      <c r="B17">
        <f>_xlfn.LET(_xlpm.c,_xlfn.SINGLE(Table13[condition]),IF(RIGHT(_xlpm.c,2)="1g",1,0))</f>
        <v>1</v>
      </c>
      <c r="C17" t="s">
        <v>26</v>
      </c>
      <c r="D17" s="1">
        <v>1</v>
      </c>
      <c r="E17" s="1">
        <v>0.82803049325167799</v>
      </c>
      <c r="F17" s="1">
        <v>0.84986618611209497</v>
      </c>
      <c r="G17" s="1">
        <v>0.90242397804396401</v>
      </c>
      <c r="H17" s="1">
        <v>0.74356888560219703</v>
      </c>
      <c r="I17" s="1">
        <v>0.75232449482651098</v>
      </c>
      <c r="J17" s="1">
        <v>0.57690626377857301</v>
      </c>
      <c r="K17" s="1">
        <v>0.74903687869018898</v>
      </c>
      <c r="L17" s="1">
        <v>0.598872241962355</v>
      </c>
      <c r="M17" s="1">
        <v>0.586006435645682</v>
      </c>
      <c r="N17" s="1">
        <v>0.44414922928023998</v>
      </c>
      <c r="O17" s="1">
        <v>0.698004453939431</v>
      </c>
      <c r="P17" s="1">
        <v>0.69977332828088301</v>
      </c>
      <c r="Q17" s="1">
        <f t="shared" si="0"/>
        <v>0.72530483610875385</v>
      </c>
      <c r="R17" s="1"/>
    </row>
    <row r="18" spans="1:18" ht="30" customHeight="1">
      <c r="A18" t="str">
        <f>_xlfn.LET(_xlpm.c,_xlfn.SINGLE(Table13[condition]),_xlfn.TEXTBEFORE(_xlpm.c,"-"))</f>
        <v>german</v>
      </c>
      <c r="B18">
        <f>_xlfn.LET(_xlpm.c,_xlfn.SINGLE(Table13[condition]),IF(RIGHT(_xlpm.c,2)="1g",1,0))</f>
        <v>0</v>
      </c>
      <c r="C18" t="s">
        <v>27</v>
      </c>
      <c r="D18" s="1">
        <v>0.72901926711537302</v>
      </c>
      <c r="E18" s="1">
        <v>0.73597181870115502</v>
      </c>
      <c r="F18" s="1">
        <v>0.49540586024551098</v>
      </c>
      <c r="G18" s="1">
        <v>0.64269037352102198</v>
      </c>
      <c r="H18" s="1">
        <v>0.69944250532684704</v>
      </c>
      <c r="I18" s="1">
        <v>0.77056825388980899</v>
      </c>
      <c r="J18" s="1">
        <v>0.66517527179156</v>
      </c>
      <c r="K18" s="1">
        <v>0.512815397644525</v>
      </c>
      <c r="L18" s="1">
        <v>0.72675219305604799</v>
      </c>
      <c r="M18" s="1">
        <v>0.54951329681402805</v>
      </c>
      <c r="N18" s="1">
        <v>0.37877159523512399</v>
      </c>
      <c r="O18" s="1">
        <v>0.61751406282199905</v>
      </c>
      <c r="P18" s="1">
        <v>0.72727272727272696</v>
      </c>
      <c r="Q18" s="1">
        <f t="shared" si="0"/>
        <v>0.63468558641813289</v>
      </c>
      <c r="R18" s="1"/>
    </row>
    <row r="19" spans="1:18" ht="30" customHeight="1">
      <c r="A19" t="str">
        <f>_xlfn.LET(_xlpm.c,_xlfn.SINGLE(Table13[condition]),_xlfn.TEXTBEFORE(_xlpm.c,"-"))</f>
        <v>german</v>
      </c>
      <c r="B19">
        <f>_xlfn.LET(_xlpm.c,_xlfn.SINGLE(Table13[condition]),IF(RIGHT(_xlpm.c,2)="1g",1,0))</f>
        <v>0</v>
      </c>
      <c r="C19" t="s">
        <v>28</v>
      </c>
      <c r="D19" s="1">
        <v>0.80949492701882098</v>
      </c>
      <c r="E19" s="1">
        <v>0.40000695549376297</v>
      </c>
      <c r="F19" s="1">
        <v>0.63303196182039601</v>
      </c>
      <c r="G19" s="1">
        <v>0.75725957335008298</v>
      </c>
      <c r="H19" s="1">
        <v>0.69400636805570304</v>
      </c>
      <c r="I19" s="1">
        <v>0.73343761229177196</v>
      </c>
      <c r="J19" s="1">
        <v>0.69416932251152397</v>
      </c>
      <c r="K19" s="1">
        <v>0.84758174021563504</v>
      </c>
      <c r="L19" s="1">
        <v>0.88862251076537102</v>
      </c>
      <c r="M19" s="1">
        <v>0.66391425452673003</v>
      </c>
      <c r="N19" s="1">
        <v>0.66767901904718396</v>
      </c>
      <c r="O19" s="1">
        <v>0.58481473382214899</v>
      </c>
      <c r="P19" s="1">
        <v>0.56086767798778503</v>
      </c>
      <c r="Q19" s="1">
        <f t="shared" si="0"/>
        <v>0.68729897360822423</v>
      </c>
      <c r="R19" s="1"/>
    </row>
    <row r="20" spans="1:18" ht="30" customHeight="1">
      <c r="A20" t="str">
        <f>_xlfn.LET(_xlpm.c,_xlfn.SINGLE(Table13[condition]),_xlfn.TEXTBEFORE(_xlpm.c,"-"))</f>
        <v>german</v>
      </c>
      <c r="B20">
        <f>_xlfn.LET(_xlpm.c,_xlfn.SINGLE(Table13[condition]),IF(RIGHT(_xlpm.c,2)="1g",1,0))</f>
        <v>0</v>
      </c>
      <c r="C20" t="s">
        <v>29</v>
      </c>
      <c r="D20" s="1">
        <v>0.83796736162477603</v>
      </c>
      <c r="E20" s="1">
        <v>0.76310217735856001</v>
      </c>
      <c r="F20" s="1">
        <v>0.77444335444249601</v>
      </c>
      <c r="G20" s="1">
        <v>0.76182451194929901</v>
      </c>
      <c r="H20" s="1">
        <v>0.73340579599243905</v>
      </c>
      <c r="I20" s="1">
        <v>0.48669115448692801</v>
      </c>
      <c r="J20" s="1">
        <v>0.83829549280353799</v>
      </c>
      <c r="K20" s="1">
        <v>0.70772855736303797</v>
      </c>
      <c r="L20" s="1">
        <v>0.65244860421964501</v>
      </c>
      <c r="M20" s="1">
        <v>0.63005825397354098</v>
      </c>
      <c r="N20" s="1">
        <v>0.658030202282326</v>
      </c>
      <c r="O20" s="1">
        <v>0.42700725774378401</v>
      </c>
      <c r="P20" s="1">
        <v>0.68371233314942903</v>
      </c>
      <c r="Q20" s="1">
        <f t="shared" si="0"/>
        <v>0.68882423518383074</v>
      </c>
      <c r="R20" s="1"/>
    </row>
    <row r="21" spans="1:18" ht="30" customHeight="1">
      <c r="A21" t="str">
        <f>_xlfn.LET(_xlpm.c,_xlfn.SINGLE(Table13[condition]),_xlfn.TEXTBEFORE(_xlpm.c,"-"))</f>
        <v>german</v>
      </c>
      <c r="B21">
        <f>_xlfn.LET(_xlpm.c,_xlfn.SINGLE(Table13[condition]),IF(RIGHT(_xlpm.c,2)="1g",1,0))</f>
        <v>0</v>
      </c>
      <c r="C21" t="s">
        <v>30</v>
      </c>
      <c r="D21" s="1">
        <v>0.70761556790910096</v>
      </c>
      <c r="E21" s="1">
        <v>0.76544134653138596</v>
      </c>
      <c r="F21" s="1">
        <v>0.82860453782922705</v>
      </c>
      <c r="G21" s="1">
        <v>0.57714654313930702</v>
      </c>
      <c r="H21" s="1">
        <v>0.69906130634039099</v>
      </c>
      <c r="I21" s="1">
        <v>0.67888139169676698</v>
      </c>
      <c r="J21" s="1">
        <v>0.68981767635685998</v>
      </c>
      <c r="K21" s="1">
        <v>0.68453121550541196</v>
      </c>
      <c r="L21" s="1">
        <v>0.71601630102049596</v>
      </c>
      <c r="M21" s="1">
        <v>0.48693537977708701</v>
      </c>
      <c r="N21" s="1">
        <v>0.53064369446452497</v>
      </c>
      <c r="O21" s="1">
        <v>0.65095570271199199</v>
      </c>
      <c r="P21" s="1">
        <v>0.73984515979887899</v>
      </c>
      <c r="Q21" s="1">
        <f t="shared" si="0"/>
        <v>0.67349967869857152</v>
      </c>
      <c r="R21" s="1"/>
    </row>
    <row r="22" spans="1:18" ht="30" customHeight="1">
      <c r="A22" t="str">
        <f>_xlfn.LET(_xlpm.c,_xlfn.SINGLE(Table13[condition]),_xlfn.TEXTBEFORE(_xlpm.c,"-"))</f>
        <v>russian</v>
      </c>
      <c r="B22">
        <f>_xlfn.LET(_xlpm.c,_xlfn.SINGLE(Table13[condition]),IF(RIGHT(_xlpm.c,2)="1g",1,0))</f>
        <v>1</v>
      </c>
      <c r="C22" t="s">
        <v>31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f t="shared" si="0"/>
        <v>1</v>
      </c>
      <c r="R22" s="1"/>
    </row>
    <row r="23" spans="1:18" ht="30" customHeight="1">
      <c r="A23" t="str">
        <f>_xlfn.LET(_xlpm.c,_xlfn.SINGLE(Table13[condition]),_xlfn.TEXTBEFORE(_xlpm.c,"-"))</f>
        <v>russian</v>
      </c>
      <c r="B23">
        <f>_xlfn.LET(_xlpm.c,_xlfn.SINGLE(Table13[condition]),IF(RIGHT(_xlpm.c,2)="1g",1,0))</f>
        <v>0</v>
      </c>
      <c r="C23" t="s">
        <v>32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f t="shared" si="0"/>
        <v>1</v>
      </c>
      <c r="R23" s="1"/>
    </row>
    <row r="24" spans="1:18" ht="30" customHeight="1">
      <c r="A24" t="str">
        <f>_xlfn.LET(_xlpm.c,_xlfn.SINGLE(Table13[condition]),_xlfn.TEXTBEFORE(_xlpm.c,"-"))</f>
        <v>russian</v>
      </c>
      <c r="B24">
        <f>_xlfn.LET(_xlpm.c,_xlfn.SINGLE(Table13[condition]),IF(RIGHT(_xlpm.c,2)="1g",1,0))</f>
        <v>0</v>
      </c>
      <c r="C24" t="s">
        <v>33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f t="shared" si="0"/>
        <v>1</v>
      </c>
      <c r="R24" s="1"/>
    </row>
    <row r="25" spans="1:18" ht="30" customHeight="1">
      <c r="A25" t="str">
        <f>_xlfn.LET(_xlpm.c,_xlfn.SINGLE(Table13[condition]),_xlfn.TEXTBEFORE(_xlpm.c,"-"))</f>
        <v>russian</v>
      </c>
      <c r="B25">
        <f>_xlfn.LET(_xlpm.c,_xlfn.SINGLE(Table13[condition]),IF(RIGHT(_xlpm.c,2)="1g",1,0))</f>
        <v>0</v>
      </c>
      <c r="C25" t="s">
        <v>34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0.97725722724702602</v>
      </c>
      <c r="M25" s="1">
        <v>0.98697776782947799</v>
      </c>
      <c r="N25" s="1">
        <v>1</v>
      </c>
      <c r="O25" s="1">
        <v>1</v>
      </c>
      <c r="P25" s="1">
        <v>0.82437545579975402</v>
      </c>
      <c r="Q25" s="1">
        <f t="shared" si="0"/>
        <v>0.98373926545201984</v>
      </c>
      <c r="R25" s="1"/>
    </row>
    <row r="26" spans="1:18" ht="30" customHeight="1">
      <c r="A26" t="str">
        <f>_xlfn.LET(_xlpm.c,_xlfn.SINGLE(Table13[condition]),_xlfn.TEXTBEFORE(_xlpm.c,"-"))</f>
        <v>russian</v>
      </c>
      <c r="B26">
        <f>_xlfn.LET(_xlpm.c,_xlfn.SINGLE(Table13[condition]),IF(RIGHT(_xlpm.c,2)="1g",1,0))</f>
        <v>0</v>
      </c>
      <c r="C26" t="s">
        <v>35</v>
      </c>
      <c r="D26" s="1">
        <v>1</v>
      </c>
      <c r="E26" s="1">
        <v>1</v>
      </c>
      <c r="F26" s="1">
        <v>1</v>
      </c>
      <c r="G26" s="1">
        <v>1</v>
      </c>
      <c r="H26" s="1">
        <v>0.98202180779031301</v>
      </c>
      <c r="I26" s="1">
        <v>0.91899175482222695</v>
      </c>
      <c r="J26" s="1">
        <v>0.98516970419197203</v>
      </c>
      <c r="K26" s="1">
        <v>0.99456184254765101</v>
      </c>
      <c r="L26" s="1">
        <v>0.995368284861881</v>
      </c>
      <c r="M26" s="1">
        <v>0.83779925749419804</v>
      </c>
      <c r="N26" s="1">
        <v>0.94953159731574799</v>
      </c>
      <c r="O26" s="1">
        <v>1</v>
      </c>
      <c r="P26" s="1">
        <v>0.87586629890421597</v>
      </c>
      <c r="Q26" s="1">
        <f t="shared" si="0"/>
        <v>0.96456234984063127</v>
      </c>
      <c r="R26" s="1"/>
    </row>
    <row r="28" spans="1:18" ht="30" customHeight="1">
      <c r="C28" t="s">
        <v>39</v>
      </c>
    </row>
    <row r="29" spans="1:18" ht="30" customHeight="1">
      <c r="C29" t="s">
        <v>40</v>
      </c>
      <c r="D29" s="2">
        <f>_xlfn.LET(_xlpm.d,D$2:D$26,AVERAGE(_xlpm.d))</f>
        <v>0.86460744977202997</v>
      </c>
      <c r="E29" s="2">
        <f>_xlfn.LET(_xlpm.d,E$2:E$26,AVERAGE(_xlpm.d))</f>
        <v>0.81764299504764626</v>
      </c>
      <c r="F29" s="2">
        <f>_xlfn.LET(_xlpm.d,F$2:F$26,AVERAGE(_xlpm.d))</f>
        <v>0.81278643243672999</v>
      </c>
      <c r="G29" s="2">
        <f>_xlfn.LET(_xlpm.d,G$2:G$26,AVERAGE(_xlpm.d))</f>
        <v>0.81199476634875767</v>
      </c>
      <c r="H29" s="2">
        <f>_xlfn.LET(_xlpm.d,H$2:H$26,AVERAGE(_xlpm.d))</f>
        <v>0.78651290086978987</v>
      </c>
      <c r="I29" s="2">
        <f>_xlfn.LET(_xlpm.d,I$2:I$26,AVERAGE(_xlpm.d))</f>
        <v>0.78301738866693615</v>
      </c>
      <c r="J29" s="2">
        <f>_xlfn.LET(_xlpm.d,J$2:J$26,AVERAGE(_xlpm.d))</f>
        <v>0.78864238652209961</v>
      </c>
      <c r="K29" s="2">
        <f>_xlfn.LET(_xlpm.d,K$2:K$26,AVERAGE(_xlpm.d))</f>
        <v>0.72635203684796823</v>
      </c>
      <c r="L29" s="2">
        <f>_xlfn.LET(_xlpm.d,L$2:L$26,AVERAGE(_xlpm.d))</f>
        <v>0.78715128820028568</v>
      </c>
      <c r="M29" s="2">
        <f>_xlfn.LET(_xlpm.d,M$2:M$26,AVERAGE(_xlpm.d))</f>
        <v>0.72198599377941808</v>
      </c>
      <c r="N29" s="2">
        <f>_xlfn.LET(_xlpm.d,N$2:N$26,AVERAGE(_xlpm.d))</f>
        <v>0.7343098906579022</v>
      </c>
      <c r="O29" s="2">
        <f>_xlfn.LET(_xlpm.d,O$2:O$26,AVERAGE(_xlpm.d))</f>
        <v>0.7652642400671289</v>
      </c>
      <c r="P29" s="2">
        <f>_xlfn.LET(_xlpm.d,P$2:P$26,AVERAGE(_xlpm.d))</f>
        <v>0.72702394163736139</v>
      </c>
      <c r="Q29" s="2">
        <f>_xlfn.LET(_xlpm.d,Q$2:Q$26,AVERAGE(_xlpm.d))</f>
        <v>0.77902243929646542</v>
      </c>
    </row>
    <row r="30" spans="1:18" ht="30" customHeight="1">
      <c r="C30" t="s">
        <v>41</v>
      </c>
      <c r="D30" s="2" cm="1">
        <f t="array" ref="D30">_xlfn.LET(_xlpm.d,D$2:D$26,_xlpm.f,$A$2:$A$26,_xlpm.k,$C30,AVERAGE(_xlfn._xlws.FILTER(_xlpm.d,_xlpm.f=_xlpm.k)))</f>
        <v>1</v>
      </c>
      <c r="E30" s="2" cm="1">
        <f t="array" ref="E30">_xlfn.LET(_xlpm.d,E$2:E$26,_xlpm.f,$A$2:$A$26,_xlpm.k,$C30,AVERAGE(_xlfn._xlws.FILTER(_xlpm.d,_xlpm.f=_xlpm.k)))</f>
        <v>0.99859754947383128</v>
      </c>
      <c r="F30" s="2" cm="1">
        <f t="array" ref="F30">_xlfn.LET(_xlpm.d,F$2:F$26,_xlpm.f,$A$2:$A$26,_xlpm.k,$C30,AVERAGE(_xlfn._xlws.FILTER(_xlpm.d,_xlpm.f=_xlpm.k)))</f>
        <v>0.99278983970945467</v>
      </c>
      <c r="G30" s="2" cm="1">
        <f t="array" ref="G30">_xlfn.LET(_xlpm.d,G$2:G$26,_xlpm.f,$A$2:$A$26,_xlpm.k,$C30,AVERAGE(_xlfn._xlws.FILTER(_xlpm.d,_xlpm.f=_xlpm.k)))</f>
        <v>1</v>
      </c>
      <c r="H30" s="2" cm="1">
        <f t="array" ref="H30">_xlfn.LET(_xlpm.d,H$2:H$26,_xlpm.f,$A$2:$A$26,_xlpm.k,$C30,AVERAGE(_xlfn._xlws.FILTER(_xlpm.d,_xlpm.f=_xlpm.k)))</f>
        <v>0.99814052398698705</v>
      </c>
      <c r="I30" s="2" cm="1">
        <f t="array" ref="I30">_xlfn.LET(_xlpm.d,I$2:I$26,_xlpm.f,$A$2:$A$26,_xlpm.k,$C30,AVERAGE(_xlfn._xlws.FILTER(_xlpm.d,_xlpm.f=_xlpm.k)))</f>
        <v>1</v>
      </c>
      <c r="J30" s="2" cm="1">
        <f t="array" ref="J30">_xlfn.LET(_xlpm.d,J$2:J$26,_xlpm.f,$A$2:$A$26,_xlpm.k,$C30,AVERAGE(_xlfn._xlws.FILTER(_xlpm.d,_xlpm.f=_xlpm.k)))</f>
        <v>0.99439171658986747</v>
      </c>
      <c r="K30" s="2" cm="1">
        <f t="array" ref="K30">_xlfn.LET(_xlpm.d,K$2:K$26,_xlpm.f,$A$2:$A$26,_xlpm.k,$C30,AVERAGE(_xlfn._xlws.FILTER(_xlpm.d,_xlpm.f=_xlpm.k)))</f>
        <v>0.99432568297953305</v>
      </c>
      <c r="L30" s="2" cm="1">
        <f t="array" ref="L30">_xlfn.LET(_xlpm.d,L$2:L$26,_xlpm.f,$A$2:$A$26,_xlpm.k,$C30,AVERAGE(_xlfn._xlws.FILTER(_xlpm.d,_xlpm.f=_xlpm.k)))</f>
        <v>1</v>
      </c>
      <c r="M30" s="2" cm="1">
        <f t="array" ref="M30">_xlfn.LET(_xlpm.d,M$2:M$26,_xlpm.f,$A$2:$A$26,_xlpm.k,$C30,AVERAGE(_xlfn._xlws.FILTER(_xlpm.d,_xlpm.f=_xlpm.k)))</f>
        <v>0.99951569306555332</v>
      </c>
      <c r="N30" s="2" cm="1">
        <f t="array" ref="N30">_xlfn.LET(_xlpm.d,N$2:N$26,_xlpm.f,$A$2:$A$26,_xlpm.k,$C30,AVERAGE(_xlfn._xlws.FILTER(_xlpm.d,_xlpm.f=_xlpm.k)))</f>
        <v>0.99631437085666941</v>
      </c>
      <c r="O30" s="2" cm="1">
        <f t="array" ref="O30">_xlfn.LET(_xlpm.d,O$2:O$26,_xlpm.f,$A$2:$A$26,_xlpm.k,$C30,AVERAGE(_xlfn._xlws.FILTER(_xlpm.d,_xlpm.f=_xlpm.k)))</f>
        <v>1</v>
      </c>
      <c r="P30" s="2" cm="1">
        <f t="array" ref="P30">_xlfn.LET(_xlpm.d,P$2:P$26,_xlpm.f,$A$2:$A$26,_xlpm.k,$C30,AVERAGE(_xlfn._xlws.FILTER(_xlpm.d,_xlpm.f=_xlpm.k)))</f>
        <v>0.9987489730846093</v>
      </c>
      <c r="Q30" s="2" cm="1">
        <f t="array" ref="Q30">_xlfn.LET(_xlpm.d,Q$2:Q$26,_xlpm.f,$A$2:$A$26,_xlpm.k,$C30,AVERAGE(_xlfn._xlws.FILTER(_xlpm.d,_xlpm.f=_xlpm.k)))</f>
        <v>0.99790956536511577</v>
      </c>
    </row>
    <row r="31" spans="1:18" ht="30" customHeight="1">
      <c r="C31" t="s">
        <v>42</v>
      </c>
      <c r="D31" s="2" cm="1">
        <f t="array" ref="D31">_xlfn.LET(_xlpm.d,D$2:D$26,_xlpm.f,$A$2:$A$26,_xlpm.k,$C31,AVERAGE(_xlfn._xlws.FILTER(_xlpm.d,_xlpm.f=_xlpm.k)))</f>
        <v>0.69290294905230998</v>
      </c>
      <c r="E31" s="2" cm="1">
        <f t="array" ref="E31">_xlfn.LET(_xlpm.d,E$2:E$26,_xlpm.f,$A$2:$A$26,_xlpm.k,$C31,AVERAGE(_xlfn._xlws.FILTER(_xlpm.d,_xlpm.f=_xlpm.k)))</f>
        <v>0.68845125677056818</v>
      </c>
      <c r="F31" s="2" cm="1">
        <f t="array" ref="F31">_xlfn.LET(_xlpm.d,F$2:F$26,_xlpm.f,$A$2:$A$26,_xlpm.k,$C31,AVERAGE(_xlfn._xlws.FILTER(_xlpm.d,_xlpm.f=_xlpm.k)))</f>
        <v>0.66912216618148546</v>
      </c>
      <c r="G31" s="2" cm="1">
        <f t="array" ref="G31">_xlfn.LET(_xlpm.d,G$2:G$26,_xlpm.f,$A$2:$A$26,_xlpm.k,$C31,AVERAGE(_xlfn._xlws.FILTER(_xlpm.d,_xlpm.f=_xlpm.k)))</f>
        <v>0.67711700099438921</v>
      </c>
      <c r="H31" s="2" cm="1">
        <f t="array" ref="H31">_xlfn.LET(_xlpm.d,H$2:H$26,_xlpm.f,$A$2:$A$26,_xlpm.k,$C31,AVERAGE(_xlfn._xlws.FILTER(_xlpm.d,_xlpm.f=_xlpm.k)))</f>
        <v>0.54878695728277305</v>
      </c>
      <c r="I31" s="2" cm="1">
        <f t="array" ref="I31">_xlfn.LET(_xlpm.d,I$2:I$26,_xlpm.f,$A$2:$A$26,_xlpm.k,$C31,AVERAGE(_xlfn._xlws.FILTER(_xlpm.d,_xlpm.f=_xlpm.k)))</f>
        <v>0.60513243959905139</v>
      </c>
      <c r="J31" s="2" cm="1">
        <f t="array" ref="J31">_xlfn.LET(_xlpm.d,J$2:J$26,_xlpm.f,$A$2:$A$26,_xlpm.k,$C31,AVERAGE(_xlfn._xlws.FILTER(_xlpm.d,_xlpm.f=_xlpm.k)))</f>
        <v>0.6425227148900492</v>
      </c>
      <c r="K31" s="2" cm="1">
        <f t="array" ref="K31">_xlfn.LET(_xlpm.d,K$2:K$26,_xlpm.f,$A$2:$A$26,_xlpm.k,$C31,AVERAGE(_xlfn._xlws.FILTER(_xlpm.d,_xlpm.f=_xlpm.k)))</f>
        <v>0.48112354509990574</v>
      </c>
      <c r="L31" s="2" cm="1">
        <f t="array" ref="L31">_xlfn.LET(_xlpm.d,L$2:L$26,_xlpm.f,$A$2:$A$26,_xlpm.k,$C31,AVERAGE(_xlfn._xlws.FILTER(_xlpm.d,_xlpm.f=_xlpm.k)))</f>
        <v>0.59383777045270703</v>
      </c>
      <c r="M31" s="2" cm="1">
        <f t="array" ref="M31">_xlfn.LET(_xlpm.d,M$2:M$26,_xlpm.f,$A$2:$A$26,_xlpm.k,$C31,AVERAGE(_xlfn._xlws.FILTER(_xlpm.d,_xlpm.f=_xlpm.k)))</f>
        <v>0.42913011223490061</v>
      </c>
      <c r="N31" s="2" cm="1">
        <f t="array" ref="N31">_xlfn.LET(_xlpm.d,N$2:N$26,_xlpm.f,$A$2:$A$26,_xlpm.k,$C31,AVERAGE(_xlfn._xlws.FILTER(_xlpm.d,_xlpm.f=_xlpm.k)))</f>
        <v>0.59813351070593657</v>
      </c>
      <c r="O31" s="2" cm="1">
        <f t="array" ref="O31">_xlfn.LET(_xlpm.d,O$2:O$26,_xlpm.f,$A$2:$A$26,_xlpm.k,$C31,AVERAGE(_xlfn._xlws.FILTER(_xlpm.d,_xlpm.f=_xlpm.k)))</f>
        <v>0.6295902438287071</v>
      </c>
      <c r="P31" s="2" cm="1">
        <f t="array" ref="P31">_xlfn.LET(_xlpm.d,P$2:P$26,_xlpm.f,$A$2:$A$26,_xlpm.k,$C31,AVERAGE(_xlfn._xlws.FILTER(_xlpm.d,_xlpm.f=_xlpm.k)))</f>
        <v>0.51553776509212823</v>
      </c>
      <c r="Q31" s="2" cm="1">
        <f t="array" ref="Q31">_xlfn.LET(_xlpm.d,Q$2:Q$26,_xlpm.f,$A$2:$A$26,_xlpm.k,$C31,AVERAGE(_xlfn._xlws.FILTER(_xlpm.d,_xlpm.f=_xlpm.k)))</f>
        <v>0.59779911016807019</v>
      </c>
    </row>
    <row r="32" spans="1:18" ht="30" customHeight="1">
      <c r="C32" t="s">
        <v>43</v>
      </c>
      <c r="D32" s="2" cm="1">
        <f t="array" ref="D32">_xlfn.LET(_xlpm.d,D$2:D$26,_xlpm.f,$A$2:$A$26,_xlpm.k,$C32,AVERAGE(_xlfn._xlws.FILTER(_xlpm.d,_xlpm.f=_xlpm.k)))</f>
        <v>0.81331487507422584</v>
      </c>
      <c r="E32" s="2" cm="1">
        <f t="array" ref="E32">_xlfn.LET(_xlpm.d,E$2:E$26,_xlpm.f,$A$2:$A$26,_xlpm.k,$C32,AVERAGE(_xlfn._xlws.FILTER(_xlpm.d,_xlpm.f=_xlpm.k)))</f>
        <v>0.70265561072652327</v>
      </c>
      <c r="F32" s="2" cm="1">
        <f t="array" ref="F32">_xlfn.LET(_xlpm.d,F$2:F$26,_xlpm.f,$A$2:$A$26,_xlpm.k,$C32,AVERAGE(_xlfn._xlws.FILTER(_xlpm.d,_xlpm.f=_xlpm.k)))</f>
        <v>0.68574977620276523</v>
      </c>
      <c r="G32" s="2" cm="1">
        <f t="array" ref="G32">_xlfn.LET(_xlpm.d,G$2:G$26,_xlpm.f,$A$2:$A$26,_xlpm.k,$C32,AVERAGE(_xlfn._xlws.FILTER(_xlpm.d,_xlpm.f=_xlpm.k)))</f>
        <v>0.65458783474866333</v>
      </c>
      <c r="H32" s="2" cm="1">
        <f t="array" ref="H32">_xlfn.LET(_xlpm.d,H$2:H$26,_xlpm.f,$A$2:$A$26,_xlpm.k,$C32,AVERAGE(_xlfn._xlws.FILTER(_xlpm.d,_xlpm.f=_xlpm.k)))</f>
        <v>0.67533568925761145</v>
      </c>
      <c r="I32" s="2" cm="1">
        <f t="array" ref="I32">_xlfn.LET(_xlpm.d,I$2:I$26,_xlpm.f,$A$2:$A$26,_xlpm.k,$C32,AVERAGE(_xlfn._xlws.FILTER(_xlpm.d,_xlpm.f=_xlpm.k)))</f>
        <v>0.64177557133282703</v>
      </c>
      <c r="J32" s="2" cm="1">
        <f t="array" ref="J32">_xlfn.LET(_xlpm.d,J$2:J$26,_xlpm.f,$A$2:$A$26,_xlpm.k,$C32,AVERAGE(_xlfn._xlws.FILTER(_xlpm.d,_xlpm.f=_xlpm.k)))</f>
        <v>0.61639075484377659</v>
      </c>
      <c r="K32" s="2" cm="1">
        <f t="array" ref="K32">_xlfn.LET(_xlpm.d,K$2:K$26,_xlpm.f,$A$2:$A$26,_xlpm.k,$C32,AVERAGE(_xlfn._xlws.FILTER(_xlpm.d,_xlpm.f=_xlpm.k)))</f>
        <v>0.45705982976711201</v>
      </c>
      <c r="L32" s="2" cm="1">
        <f t="array" ref="L32">_xlfn.LET(_xlpm.d,L$2:L$26,_xlpm.f,$A$2:$A$26,_xlpm.k,$C32,AVERAGE(_xlfn._xlws.FILTER(_xlpm.d,_xlpm.f=_xlpm.k)))</f>
        <v>0.6308511979221566</v>
      </c>
      <c r="M32" s="2" cm="1">
        <f t="array" ref="M32">_xlfn.LET(_xlpm.d,M$2:M$26,_xlpm.f,$A$2:$A$26,_xlpm.k,$C32,AVERAGE(_xlfn._xlws.FILTER(_xlpm.d,_xlpm.f=_xlpm.k)))</f>
        <v>0.63304323438448729</v>
      </c>
      <c r="N32" s="2" cm="1">
        <f t="array" ref="N32">_xlfn.LET(_xlpm.d,N$2:N$26,_xlpm.f,$A$2:$A$26,_xlpm.k,$C32,AVERAGE(_xlfn._xlws.FILTER(_xlpm.d,_xlpm.f=_xlpm.k)))</f>
        <v>0.55134050420187442</v>
      </c>
      <c r="O32" s="2" cm="1">
        <f t="array" ref="O32">_xlfn.LET(_xlpm.d,O$2:O$26,_xlpm.f,$A$2:$A$26,_xlpm.k,$C32,AVERAGE(_xlfn._xlws.FILTER(_xlpm.d,_xlpm.f=_xlpm.k)))</f>
        <v>0.60107171429906625</v>
      </c>
      <c r="P32" s="2" cm="1">
        <f t="array" ref="P32">_xlfn.LET(_xlpm.d,P$2:P$26,_xlpm.f,$A$2:$A$26,_xlpm.k,$C32,AVERAGE(_xlfn._xlws.FILTER(_xlpm.d,_xlpm.f=_xlpm.k)))</f>
        <v>0.49849037377133476</v>
      </c>
      <c r="Q32" s="2" cm="1">
        <f t="array" ref="Q32">_xlfn.LET(_xlpm.d,Q$2:Q$26,_xlpm.f,$A$2:$A$26,_xlpm.k,$C32,AVERAGE(_xlfn._xlws.FILTER(_xlpm.d,_xlpm.f=_xlpm.k)))</f>
        <v>0.62782053588710951</v>
      </c>
    </row>
    <row r="33" spans="3:17" ht="30" customHeight="1">
      <c r="C33" t="s">
        <v>44</v>
      </c>
      <c r="D33" s="2" cm="1">
        <f t="array" ref="D33">_xlfn.LET(_xlpm.d,D$2:D$26,_xlpm.f,$A$2:$A$26,_xlpm.k,$C33,AVERAGE(_xlfn._xlws.FILTER(_xlpm.d,_xlpm.f=_xlpm.k)))</f>
        <v>0.81681942473361424</v>
      </c>
      <c r="E33" s="2" cm="1">
        <f t="array" ref="E33">_xlfn.LET(_xlpm.d,E$2:E$26,_xlpm.f,$A$2:$A$26,_xlpm.k,$C33,AVERAGE(_xlfn._xlws.FILTER(_xlpm.d,_xlpm.f=_xlpm.k)))</f>
        <v>0.69851055826730835</v>
      </c>
      <c r="F33" s="2" cm="1">
        <f t="array" ref="F33">_xlfn.LET(_xlpm.d,F$2:F$26,_xlpm.f,$A$2:$A$26,_xlpm.k,$C33,AVERAGE(_xlfn._xlws.FILTER(_xlpm.d,_xlpm.f=_xlpm.k)))</f>
        <v>0.71627038008994504</v>
      </c>
      <c r="G33" s="2" cm="1">
        <f t="array" ref="G33">_xlfn.LET(_xlpm.d,G$2:G$26,_xlpm.f,$A$2:$A$26,_xlpm.k,$C33,AVERAGE(_xlfn._xlws.FILTER(_xlpm.d,_xlpm.f=_xlpm.k)))</f>
        <v>0.72826899600073491</v>
      </c>
      <c r="H33" s="2" cm="1">
        <f t="array" ref="H33">_xlfn.LET(_xlpm.d,H$2:H$26,_xlpm.f,$A$2:$A$26,_xlpm.k,$C33,AVERAGE(_xlfn._xlws.FILTER(_xlpm.d,_xlpm.f=_xlpm.k)))</f>
        <v>0.71389697226351545</v>
      </c>
      <c r="I33" s="2" cm="1">
        <f t="array" ref="I33">_xlfn.LET(_xlpm.d,I$2:I$26,_xlpm.f,$A$2:$A$26,_xlpm.k,$C33,AVERAGE(_xlfn._xlws.FILTER(_xlpm.d,_xlpm.f=_xlpm.k)))</f>
        <v>0.68438058143835745</v>
      </c>
      <c r="J33" s="2" cm="1">
        <f t="array" ref="J33">_xlfn.LET(_xlpm.d,J$2:J$26,_xlpm.f,$A$2:$A$26,_xlpm.k,$C33,AVERAGE(_xlfn._xlws.FILTER(_xlpm.d,_xlpm.f=_xlpm.k)))</f>
        <v>0.6928728054484109</v>
      </c>
      <c r="K33" s="2" cm="1">
        <f t="array" ref="K33">_xlfn.LET(_xlpm.d,K$2:K$26,_xlpm.f,$A$2:$A$26,_xlpm.k,$C33,AVERAGE(_xlfn._xlws.FILTER(_xlpm.d,_xlpm.f=_xlpm.k)))</f>
        <v>0.70033875788375977</v>
      </c>
      <c r="L33" s="2" cm="1">
        <f t="array" ref="L33">_xlfn.LET(_xlpm.d,L$2:L$26,_xlpm.f,$A$2:$A$26,_xlpm.k,$C33,AVERAGE(_xlfn._xlws.FILTER(_xlpm.d,_xlpm.f=_xlpm.k)))</f>
        <v>0.71654237020478306</v>
      </c>
      <c r="M33" s="2" cm="1">
        <f t="array" ref="M33">_xlfn.LET(_xlpm.d,M$2:M$26,_xlpm.f,$A$2:$A$26,_xlpm.k,$C33,AVERAGE(_xlfn._xlws.FILTER(_xlpm.d,_xlpm.f=_xlpm.k)))</f>
        <v>0.58328552414741364</v>
      </c>
      <c r="N33" s="2" cm="1">
        <f t="array" ref="N33">_xlfn.LET(_xlpm.d,N$2:N$26,_xlpm.f,$A$2:$A$26,_xlpm.k,$C33,AVERAGE(_xlfn._xlws.FILTER(_xlpm.d,_xlpm.f=_xlpm.k)))</f>
        <v>0.53585474806187983</v>
      </c>
      <c r="O33" s="2" cm="1">
        <f t="array" ref="O33">_xlfn.LET(_xlpm.d,O$2:O$26,_xlpm.f,$A$2:$A$26,_xlpm.k,$C33,AVERAGE(_xlfn._xlws.FILTER(_xlpm.d,_xlpm.f=_xlpm.k)))</f>
        <v>0.59565924220787092</v>
      </c>
      <c r="P33" s="2" cm="1">
        <f t="array" ref="P33">_xlfn.LET(_xlpm.d,P$2:P$26,_xlpm.f,$A$2:$A$26,_xlpm.k,$C33,AVERAGE(_xlfn._xlws.FILTER(_xlpm.d,_xlpm.f=_xlpm.k)))</f>
        <v>0.68229424529794058</v>
      </c>
      <c r="Q33" s="2" cm="1">
        <f t="array" ref="Q33">_xlfn.LET(_xlpm.d,Q$2:Q$26,_xlpm.f,$A$2:$A$26,_xlpm.k,$C33,AVERAGE(_xlfn._xlws.FILTER(_xlpm.d,_xlpm.f=_xlpm.k)))</f>
        <v>0.6819226620035026</v>
      </c>
    </row>
    <row r="34" spans="3:17" ht="30" customHeight="1">
      <c r="C34" t="s">
        <v>45</v>
      </c>
      <c r="D34" s="2" cm="1">
        <f t="array" ref="D34">_xlfn.LET(_xlpm.d,D$2:D$26,_xlpm.f,$A$2:$A$26,_xlpm.k,$C34,AVERAGE(_xlfn._xlws.FILTER(_xlpm.d,_xlpm.f=_xlpm.k)))</f>
        <v>1</v>
      </c>
      <c r="E34" s="2" cm="1">
        <f t="array" ref="E34">_xlfn.LET(_xlpm.d,E$2:E$26,_xlpm.f,$A$2:$A$26,_xlpm.k,$C34,AVERAGE(_xlfn._xlws.FILTER(_xlpm.d,_xlpm.f=_xlpm.k)))</f>
        <v>1</v>
      </c>
      <c r="F34" s="2" cm="1">
        <f t="array" ref="F34">_xlfn.LET(_xlpm.d,F$2:F$26,_xlpm.f,$A$2:$A$26,_xlpm.k,$C34,AVERAGE(_xlfn._xlws.FILTER(_xlpm.d,_xlpm.f=_xlpm.k)))</f>
        <v>1</v>
      </c>
      <c r="G34" s="2" cm="1">
        <f t="array" ref="G34">_xlfn.LET(_xlpm.d,G$2:G$26,_xlpm.f,$A$2:$A$26,_xlpm.k,$C34,AVERAGE(_xlfn._xlws.FILTER(_xlpm.d,_xlpm.f=_xlpm.k)))</f>
        <v>1</v>
      </c>
      <c r="H34" s="2" cm="1">
        <f t="array" ref="H34">_xlfn.LET(_xlpm.d,H$2:H$26,_xlpm.f,$A$2:$A$26,_xlpm.k,$C34,AVERAGE(_xlfn._xlws.FILTER(_xlpm.d,_xlpm.f=_xlpm.k)))</f>
        <v>0.99640436155806267</v>
      </c>
      <c r="I34" s="2" cm="1">
        <f t="array" ref="I34">_xlfn.LET(_xlpm.d,I$2:I$26,_xlpm.f,$A$2:$A$26,_xlpm.k,$C34,AVERAGE(_xlfn._xlws.FILTER(_xlpm.d,_xlpm.f=_xlpm.k)))</f>
        <v>0.98379835096444546</v>
      </c>
      <c r="J34" s="2" cm="1">
        <f t="array" ref="J34">_xlfn.LET(_xlpm.d,J$2:J$26,_xlpm.f,$A$2:$A$26,_xlpm.k,$C34,AVERAGE(_xlfn._xlws.FILTER(_xlpm.d,_xlpm.f=_xlpm.k)))</f>
        <v>0.99703394083839447</v>
      </c>
      <c r="K34" s="2" cm="1">
        <f t="array" ref="K34">_xlfn.LET(_xlpm.d,K$2:K$26,_xlpm.f,$A$2:$A$26,_xlpm.k,$C34,AVERAGE(_xlfn._xlws.FILTER(_xlpm.d,_xlpm.f=_xlpm.k)))</f>
        <v>0.99891236850953025</v>
      </c>
      <c r="L34" s="2" cm="1">
        <f t="array" ref="L34">_xlfn.LET(_xlpm.d,L$2:L$26,_xlpm.f,$A$2:$A$26,_xlpm.k,$C34,AVERAGE(_xlfn._xlws.FILTER(_xlpm.d,_xlpm.f=_xlpm.k)))</f>
        <v>0.99452510242178138</v>
      </c>
      <c r="M34" s="2" cm="1">
        <f t="array" ref="M34">_xlfn.LET(_xlpm.d,M$2:M$26,_xlpm.f,$A$2:$A$26,_xlpm.k,$C34,AVERAGE(_xlfn._xlws.FILTER(_xlpm.d,_xlpm.f=_xlpm.k)))</f>
        <v>0.96495540506473509</v>
      </c>
      <c r="N34" s="2" cm="1">
        <f t="array" ref="N34">_xlfn.LET(_xlpm.d,N$2:N$26,_xlpm.f,$A$2:$A$26,_xlpm.k,$C34,AVERAGE(_xlfn._xlws.FILTER(_xlpm.d,_xlpm.f=_xlpm.k)))</f>
        <v>0.98990631946314966</v>
      </c>
      <c r="O34" s="2" cm="1">
        <f t="array" ref="O34">_xlfn.LET(_xlpm.d,O$2:O$26,_xlpm.f,$A$2:$A$26,_xlpm.k,$C34,AVERAGE(_xlfn._xlws.FILTER(_xlpm.d,_xlpm.f=_xlpm.k)))</f>
        <v>1</v>
      </c>
      <c r="P34" s="2" cm="1">
        <f t="array" ref="P34">_xlfn.LET(_xlpm.d,P$2:P$26,_xlpm.f,$A$2:$A$26,_xlpm.k,$C34,AVERAGE(_xlfn._xlws.FILTER(_xlpm.d,_xlpm.f=_xlpm.k)))</f>
        <v>0.94004835094079409</v>
      </c>
      <c r="Q34" s="2" cm="1">
        <f t="array" ref="Q34">_xlfn.LET(_xlpm.d,Q$2:Q$26,_xlpm.f,$A$2:$A$26,_xlpm.k,$C34,AVERAGE(_xlfn._xlws.FILTER(_xlpm.d,_xlpm.f=_xlpm.k)))</f>
        <v>0.98966032305853024</v>
      </c>
    </row>
    <row r="36" spans="3:17" ht="30" customHeight="1">
      <c r="C36" t="s">
        <v>46</v>
      </c>
    </row>
    <row r="37" spans="3:17" ht="30" customHeight="1">
      <c r="C37" t="s">
        <v>40</v>
      </c>
      <c r="D37" s="2" cm="1">
        <f t="array" ref="D37">_xlfn.LET(_xlpm.d,D$2:D$26,_xlpm.g,$B$2:$B$26,_xlpm.k,$C37,AVERAGE(_xlfn._xlws.FILTER(_xlpm.d,(_xlpm.g=0))))</f>
        <v>0.83075931221503763</v>
      </c>
      <c r="E37" s="2" cm="1">
        <f t="array" ref="E37">_xlfn.LET(_xlpm.d,E$2:E$26,_xlpm.g,$B$2:$B$26,_xlpm.k,$C37,AVERAGE(_xlfn._xlws.FILTER(_xlpm.d,(_xlpm.g=0))))</f>
        <v>0.79621312846655079</v>
      </c>
      <c r="F37" s="2" cm="1">
        <f t="array" ref="F37">_xlfn.LET(_xlpm.d,F$2:F$26,_xlpm.g,$B$2:$B$26,_xlpm.k,$C37,AVERAGE(_xlfn._xlws.FILTER(_xlpm.d,(_xlpm.g=0))))</f>
        <v>0.79690042720743892</v>
      </c>
      <c r="G37" s="2" cm="1">
        <f t="array" ref="G37">_xlfn.LET(_xlpm.d,G$2:G$26,_xlpm.g,$B$2:$B$26,_xlpm.k,$C37,AVERAGE(_xlfn._xlws.FILTER(_xlpm.d,(_xlpm.g=0))))</f>
        <v>0.78920471961874417</v>
      </c>
      <c r="H37" s="2" cm="1">
        <f t="array" ref="H37">_xlfn.LET(_xlpm.d,H$2:H$26,_xlpm.g,$B$2:$B$26,_xlpm.k,$C37,AVERAGE(_xlfn._xlws.FILTER(_xlpm.d,(_xlpm.g=0))))</f>
        <v>0.75799300626029198</v>
      </c>
      <c r="I37" s="2" cm="1">
        <f t="array" ref="I37">_xlfn.LET(_xlpm.d,I$2:I$26,_xlpm.g,$B$2:$B$26,_xlpm.k,$C37,AVERAGE(_xlfn._xlws.FILTER(_xlpm.d,(_xlpm.g=0))))</f>
        <v>0.76156717511389482</v>
      </c>
      <c r="J37" s="2" cm="1">
        <f t="array" ref="J37">_xlfn.LET(_xlpm.d,J$2:J$26,_xlpm.g,$B$2:$B$26,_xlpm.k,$C37,AVERAGE(_xlfn._xlws.FILTER(_xlpm.d,(_xlpm.g=0))))</f>
        <v>0.78650479482425451</v>
      </c>
      <c r="K37" s="2" cm="1">
        <f t="array" ref="K37">_xlfn.LET(_xlpm.d,K$2:K$26,_xlpm.g,$B$2:$B$26,_xlpm.k,$C37,AVERAGE(_xlfn._xlws.FILTER(_xlpm.d,(_xlpm.g=0))))</f>
        <v>0.70688223273311335</v>
      </c>
      <c r="L37" s="2" cm="1">
        <f t="array" ref="L37">_xlfn.LET(_xlpm.d,L$2:L$26,_xlpm.g,$B$2:$B$26,_xlpm.k,$C37,AVERAGE(_xlfn._xlws.FILTER(_xlpm.d,(_xlpm.g=0))))</f>
        <v>0.78196010725250154</v>
      </c>
      <c r="M37" s="2" cm="1">
        <f t="array" ref="M37">_xlfn.LET(_xlpm.d,M$2:M$26,_xlpm.g,$B$2:$B$26,_xlpm.k,$C37,AVERAGE(_xlfn._xlws.FILTER(_xlpm.d,(_xlpm.g=0))))</f>
        <v>0.73809890075999385</v>
      </c>
      <c r="N37" s="2" cm="1">
        <f t="array" ref="N37">_xlfn.LET(_xlpm.d,N$2:N$26,_xlpm.g,$B$2:$B$26,_xlpm.k,$C37,AVERAGE(_xlfn._xlws.FILTER(_xlpm.d,(_xlpm.g=0))))</f>
        <v>0.70799659761081712</v>
      </c>
      <c r="O37" s="2" cm="1">
        <f t="array" ref="O37">_xlfn.LET(_xlpm.d,O$2:O$26,_xlpm.g,$B$2:$B$26,_xlpm.k,$C37,AVERAGE(_xlfn._xlws.FILTER(_xlpm.d,(_xlpm.g=0))))</f>
        <v>0.74068696503446796</v>
      </c>
      <c r="P37" s="2" cm="1">
        <f t="array" ref="P37">_xlfn.LET(_xlpm.d,P$2:P$26,_xlpm.g,$B$2:$B$26,_xlpm.k,$C37,AVERAGE(_xlfn._xlws.FILTER(_xlpm.d,(_xlpm.g=0))))</f>
        <v>0.7087253289010933</v>
      </c>
      <c r="Q37" s="2" cm="1">
        <f t="array" ref="Q37">_xlfn.LET(_xlpm.d,Q$2:Q$26,_xlpm.g,$B$2:$B$26,_xlpm.k,$C37,AVERAGE(_xlfn._xlws.FILTER(_xlpm.d,(_xlpm.g=0))))</f>
        <v>0.76180713046139981</v>
      </c>
    </row>
    <row r="38" spans="3:17" ht="30" customHeight="1">
      <c r="C38" t="s">
        <v>41</v>
      </c>
      <c r="D38" s="2" cm="1">
        <f t="array" ref="D38">_xlfn.LET(_xlpm.d,D$2:D$26,_xlpm.f,$A$2:$A$26,_xlpm.g,$B$2:$B$26,_xlpm.k,$C38,AVERAGE(_xlfn._xlws.FILTER(_xlpm.d,(_xlpm.f=_xlpm.k)*(_xlpm.g=0))))</f>
        <v>1</v>
      </c>
      <c r="E38" s="2" cm="1">
        <f t="array" ref="E38">_xlfn.LET(_xlpm.d,E$2:E$26,_xlpm.f,$A$2:$A$26,_xlpm.g,$B$2:$B$26,_xlpm.k,$C38,AVERAGE(_xlfn._xlws.FILTER(_xlpm.d,(_xlpm.f=_xlpm.k)*(_xlpm.g=0))))</f>
        <v>0.99824693684228905</v>
      </c>
      <c r="F38" s="2" cm="1">
        <f t="array" ref="F38">_xlfn.LET(_xlpm.d,F$2:F$26,_xlpm.f,$A$2:$A$26,_xlpm.g,$B$2:$B$26,_xlpm.k,$C38,AVERAGE(_xlfn._xlws.FILTER(_xlpm.d,(_xlpm.f=_xlpm.k)*(_xlpm.g=0))))</f>
        <v>0.99098729963681831</v>
      </c>
      <c r="G38" s="2" cm="1">
        <f t="array" ref="G38">_xlfn.LET(_xlpm.d,G$2:G$26,_xlpm.f,$A$2:$A$26,_xlpm.g,$B$2:$B$26,_xlpm.k,$C38,AVERAGE(_xlfn._xlws.FILTER(_xlpm.d,(_xlpm.f=_xlpm.k)*(_xlpm.g=0))))</f>
        <v>1</v>
      </c>
      <c r="H38" s="2" cm="1">
        <f t="array" ref="H38">_xlfn.LET(_xlpm.d,H$2:H$26,_xlpm.f,$A$2:$A$26,_xlpm.g,$B$2:$B$26,_xlpm.k,$C38,AVERAGE(_xlfn._xlws.FILTER(_xlpm.d,(_xlpm.f=_xlpm.k)*(_xlpm.g=0))))</f>
        <v>0.99767565498373378</v>
      </c>
      <c r="I38" s="2" cm="1">
        <f t="array" ref="I38">_xlfn.LET(_xlpm.d,I$2:I$26,_xlpm.f,$A$2:$A$26,_xlpm.g,$B$2:$B$26,_xlpm.k,$C38,AVERAGE(_xlfn._xlws.FILTER(_xlpm.d,(_xlpm.f=_xlpm.k)*(_xlpm.g=0))))</f>
        <v>1</v>
      </c>
      <c r="J38" s="2" cm="1">
        <f t="array" ref="J38">_xlfn.LET(_xlpm.d,J$2:J$26,_xlpm.f,$A$2:$A$26,_xlpm.g,$B$2:$B$26,_xlpm.k,$C38,AVERAGE(_xlfn._xlws.FILTER(_xlpm.d,(_xlpm.f=_xlpm.k)*(_xlpm.g=0))))</f>
        <v>0.99298964573733428</v>
      </c>
      <c r="K38" s="2" cm="1">
        <f t="array" ref="K38">_xlfn.LET(_xlpm.d,K$2:K$26,_xlpm.f,$A$2:$A$26,_xlpm.g,$B$2:$B$26,_xlpm.k,$C38,AVERAGE(_xlfn._xlws.FILTER(_xlpm.d,(_xlpm.f=_xlpm.k)*(_xlpm.g=0))))</f>
        <v>0.99290710372441626</v>
      </c>
      <c r="L38" s="2" cm="1">
        <f t="array" ref="L38">_xlfn.LET(_xlpm.d,L$2:L$26,_xlpm.f,$A$2:$A$26,_xlpm.g,$B$2:$B$26,_xlpm.k,$C38,AVERAGE(_xlfn._xlws.FILTER(_xlpm.d,(_xlpm.f=_xlpm.k)*(_xlpm.g=0))))</f>
        <v>1</v>
      </c>
      <c r="M38" s="2" cm="1">
        <f t="array" ref="M38">_xlfn.LET(_xlpm.d,M$2:M$26,_xlpm.f,$A$2:$A$26,_xlpm.g,$B$2:$B$26,_xlpm.k,$C38,AVERAGE(_xlfn._xlws.FILTER(_xlpm.d,(_xlpm.f=_xlpm.k)*(_xlpm.g=0))))</f>
        <v>0.99939461633194171</v>
      </c>
      <c r="N38" s="2" cm="1">
        <f t="array" ref="N38">_xlfn.LET(_xlpm.d,N$2:N$26,_xlpm.f,$A$2:$A$26,_xlpm.g,$B$2:$B$26,_xlpm.k,$C38,AVERAGE(_xlfn._xlws.FILTER(_xlpm.d,(_xlpm.f=_xlpm.k)*(_xlpm.g=0))))</f>
        <v>0.99539296357083673</v>
      </c>
      <c r="O38" s="2" cm="1">
        <f t="array" ref="O38">_xlfn.LET(_xlpm.d,O$2:O$26,_xlpm.f,$A$2:$A$26,_xlpm.g,$B$2:$B$26,_xlpm.k,$C38,AVERAGE(_xlfn._xlws.FILTER(_xlpm.d,(_xlpm.f=_xlpm.k)*(_xlpm.g=0))))</f>
        <v>1</v>
      </c>
      <c r="P38" s="2" cm="1">
        <f t="array" ref="P38">_xlfn.LET(_xlpm.d,P$2:P$26,_xlpm.f,$A$2:$A$26,_xlpm.g,$B$2:$B$26,_xlpm.k,$C38,AVERAGE(_xlfn._xlws.FILTER(_xlpm.d,(_xlpm.f=_xlpm.k)*(_xlpm.g=0))))</f>
        <v>0.99843621635576152</v>
      </c>
      <c r="Q38" s="2" cm="1">
        <f t="array" ref="Q38">_xlfn.LET(_xlpm.d,Q$2:Q$26,_xlpm.f,$A$2:$A$26,_xlpm.g,$B$2:$B$26,_xlpm.k,$C38,AVERAGE(_xlfn._xlws.FILTER(_xlpm.d,(_xlpm.f=_xlpm.k)*(_xlpm.g=0))))</f>
        <v>0.99738695670639466</v>
      </c>
    </row>
    <row r="39" spans="3:17" ht="30" customHeight="1">
      <c r="C39" t="s">
        <v>42</v>
      </c>
      <c r="D39" s="2" cm="1">
        <f t="array" ref="D39">_xlfn.LET(_xlpm.d,D$2:D$26,_xlpm.f,$A$2:$A$26,_xlpm.g,$B$2:$B$26,_xlpm.k,$C39,AVERAGE(_xlfn._xlws.FILTER(_xlpm.d,(_xlpm.f=_xlpm.k)*(_xlpm.g=0))))</f>
        <v>0.61612868631538753</v>
      </c>
      <c r="E39" s="2" cm="1">
        <f t="array" ref="E39">_xlfn.LET(_xlpm.d,E$2:E$26,_xlpm.f,$A$2:$A$26,_xlpm.g,$B$2:$B$26,_xlpm.k,$C39,AVERAGE(_xlfn._xlws.FILTER(_xlpm.d,(_xlpm.f=_xlpm.k)*(_xlpm.g=0))))</f>
        <v>0.64267034170246895</v>
      </c>
      <c r="F39" s="2" cm="1">
        <f t="array" ref="F39">_xlfn.LET(_xlpm.d,F$2:F$26,_xlpm.f,$A$2:$A$26,_xlpm.g,$B$2:$B$26,_xlpm.k,$C39,AVERAGE(_xlfn._xlws.FILTER(_xlpm.d,(_xlpm.f=_xlpm.k)*(_xlpm.g=0))))</f>
        <v>0.63425344266798922</v>
      </c>
      <c r="G39" s="2" cm="1">
        <f t="array" ref="G39">_xlfn.LET(_xlpm.d,G$2:G$26,_xlpm.f,$A$2:$A$26,_xlpm.g,$B$2:$B$26,_xlpm.k,$C39,AVERAGE(_xlfn._xlws.FILTER(_xlpm.d,(_xlpm.f=_xlpm.k)*(_xlpm.g=0))))</f>
        <v>0.68049541185087126</v>
      </c>
      <c r="H39" s="2" cm="1">
        <f t="array" ref="H39">_xlfn.LET(_xlpm.d,H$2:H$26,_xlpm.f,$A$2:$A$26,_xlpm.g,$B$2:$B$26,_xlpm.k,$C39,AVERAGE(_xlfn._xlws.FILTER(_xlpm.d,(_xlpm.f=_xlpm.k)*(_xlpm.g=0))))</f>
        <v>0.49446620126259422</v>
      </c>
      <c r="I39" s="2" cm="1">
        <f t="array" ref="I39">_xlfn.LET(_xlpm.d,I$2:I$26,_xlpm.f,$A$2:$A$26,_xlpm.g,$B$2:$B$26,_xlpm.k,$C39,AVERAGE(_xlfn._xlws.FILTER(_xlpm.d,(_xlpm.f=_xlpm.k)*(_xlpm.g=0))))</f>
        <v>0.57151589709773376</v>
      </c>
      <c r="J39" s="2" cm="1">
        <f t="array" ref="J39">_xlfn.LET(_xlpm.d,J$2:J$26,_xlpm.f,$A$2:$A$26,_xlpm.g,$B$2:$B$26,_xlpm.k,$C39,AVERAGE(_xlfn._xlws.FILTER(_xlpm.d,(_xlpm.f=_xlpm.k)*(_xlpm.g=0))))</f>
        <v>0.63339561591883997</v>
      </c>
      <c r="K39" s="2" cm="1">
        <f t="array" ref="K39">_xlfn.LET(_xlpm.d,K$2:K$26,_xlpm.f,$A$2:$A$26,_xlpm.g,$B$2:$B$26,_xlpm.k,$C39,AVERAGE(_xlfn._xlws.FILTER(_xlpm.d,(_xlpm.f=_xlpm.k)*(_xlpm.g=0))))</f>
        <v>0.43699490024585325</v>
      </c>
      <c r="L39" s="2" cm="1">
        <f t="array" ref="L39">_xlfn.LET(_xlpm.d,L$2:L$26,_xlpm.f,$A$2:$A$26,_xlpm.g,$B$2:$B$26,_xlpm.k,$C39,AVERAGE(_xlfn._xlws.FILTER(_xlpm.d,(_xlpm.f=_xlpm.k)*(_xlpm.g=0))))</f>
        <v>0.53777916525292857</v>
      </c>
      <c r="M39" s="2" cm="1">
        <f t="array" ref="M39">_xlfn.LET(_xlpm.d,M$2:M$26,_xlpm.f,$A$2:$A$26,_xlpm.g,$B$2:$B$26,_xlpm.k,$C39,AVERAGE(_xlfn._xlws.FILTER(_xlpm.d,(_xlpm.f=_xlpm.k)*(_xlpm.g=0))))</f>
        <v>0.53641264029362579</v>
      </c>
      <c r="N39" s="2" cm="1">
        <f t="array" ref="N39">_xlfn.LET(_xlpm.d,N$2:N$26,_xlpm.f,$A$2:$A$26,_xlpm.g,$B$2:$B$26,_xlpm.k,$C39,AVERAGE(_xlfn._xlws.FILTER(_xlpm.d,(_xlpm.f=_xlpm.k)*(_xlpm.g=0))))</f>
        <v>0.50526128259273373</v>
      </c>
      <c r="O39" s="2" cm="1">
        <f t="array" ref="O39">_xlfn.LET(_xlpm.d,O$2:O$26,_xlpm.f,$A$2:$A$26,_xlpm.g,$B$2:$B$26,_xlpm.k,$C39,AVERAGE(_xlfn._xlws.FILTER(_xlpm.d,(_xlpm.f=_xlpm.k)*(_xlpm.g=0))))</f>
        <v>0.56814239640305497</v>
      </c>
      <c r="P39" s="2" cm="1">
        <f t="array" ref="P39">_xlfn.LET(_xlpm.d,P$2:P$26,_xlpm.f,$A$2:$A$26,_xlpm.g,$B$2:$B$26,_xlpm.k,$C39,AVERAGE(_xlfn._xlws.FILTER(_xlpm.d,(_xlpm.f=_xlpm.k)*(_xlpm.g=0))))</f>
        <v>0.49011277396465325</v>
      </c>
      <c r="Q39" s="2" cm="1">
        <f t="array" ref="Q39">_xlfn.LET(_xlpm.d,Q$2:Q$26,_xlpm.f,$A$2:$A$26,_xlpm.g,$B$2:$B$26,_xlpm.k,$C39,AVERAGE(_xlfn._xlws.FILTER(_xlpm.d,(_xlpm.f=_xlpm.k)*(_xlpm.g=0))))</f>
        <v>0.56520221196682574</v>
      </c>
    </row>
    <row r="40" spans="3:17" ht="30" customHeight="1">
      <c r="C40" t="s">
        <v>43</v>
      </c>
      <c r="D40" s="2" cm="1">
        <f t="array" ref="D40">_xlfn.LET(_xlpm.d,D$2:D$26,_xlpm.f,$A$2:$A$26,_xlpm.g,$B$2:$B$26,_xlpm.k,$C40,AVERAGE(_xlfn._xlws.FILTER(_xlpm.d,(_xlpm.f=_xlpm.k)*(_xlpm.g=0))))</f>
        <v>0.76664359384278224</v>
      </c>
      <c r="E40" s="2" cm="1">
        <f t="array" ref="E40">_xlfn.LET(_xlpm.d,E$2:E$26,_xlpm.f,$A$2:$A$26,_xlpm.g,$B$2:$B$26,_xlpm.k,$C40,AVERAGE(_xlfn._xlws.FILTER(_xlpm.d,(_xlpm.f=_xlpm.k)*(_xlpm.g=0))))</f>
        <v>0.67401778926677958</v>
      </c>
      <c r="F40" s="2" cm="1">
        <f t="array" ref="F40">_xlfn.LET(_xlpm.d,F$2:F$26,_xlpm.f,$A$2:$A$26,_xlpm.g,$B$2:$B$26,_xlpm.k,$C40,AVERAGE(_xlfn._xlws.FILTER(_xlpm.d,(_xlpm.f=_xlpm.k)*(_xlpm.g=0))))</f>
        <v>0.67638996514797944</v>
      </c>
      <c r="G40" s="2" cm="1">
        <f t="array" ref="G40">_xlfn.LET(_xlpm.d,G$2:G$26,_xlpm.f,$A$2:$A$26,_xlpm.g,$B$2:$B$26,_xlpm.k,$C40,AVERAGE(_xlfn._xlws.FILTER(_xlpm.d,(_xlpm.f=_xlpm.k)*(_xlpm.g=0))))</f>
        <v>0.58079793575292127</v>
      </c>
      <c r="H40" s="2" cm="1">
        <f t="array" ref="H40">_xlfn.LET(_xlpm.d,H$2:H$26,_xlpm.f,$A$2:$A$26,_xlpm.g,$B$2:$B$26,_xlpm.k,$C40,AVERAGE(_xlfn._xlws.FILTER(_xlpm.d,(_xlpm.f=_xlpm.k)*(_xlpm.g=0))))</f>
        <v>0.59583872917870873</v>
      </c>
      <c r="I40" s="2" cm="1">
        <f t="array" ref="I40">_xlfn.LET(_xlpm.d,I$2:I$26,_xlpm.f,$A$2:$A$26,_xlpm.g,$B$2:$B$26,_xlpm.k,$C40,AVERAGE(_xlfn._xlws.FILTER(_xlpm.d,(_xlpm.f=_xlpm.k)*(_xlpm.g=0))))</f>
        <v>0.58917743667486477</v>
      </c>
      <c r="J40" s="2" cm="1">
        <f t="array" ref="J40">_xlfn.LET(_xlpm.d,J$2:J$26,_xlpm.f,$A$2:$A$26,_xlpm.g,$B$2:$B$26,_xlpm.k,$C40,AVERAGE(_xlfn._xlws.FILTER(_xlpm.d,(_xlpm.f=_xlpm.k)*(_xlpm.g=0))))</f>
        <v>0.58798184555123523</v>
      </c>
      <c r="K40" s="2" cm="1">
        <f t="array" ref="K40">_xlfn.LET(_xlpm.d,K$2:K$26,_xlpm.f,$A$2:$A$26,_xlpm.g,$B$2:$B$26,_xlpm.k,$C40,AVERAGE(_xlfn._xlws.FILTER(_xlpm.d,(_xlpm.f=_xlpm.k)*(_xlpm.g=0))))</f>
        <v>0.41770447137623196</v>
      </c>
      <c r="L40" s="2" cm="1">
        <f t="array" ref="L40">_xlfn.LET(_xlpm.d,L$2:L$26,_xlpm.f,$A$2:$A$26,_xlpm.g,$B$2:$B$26,_xlpm.k,$C40,AVERAGE(_xlfn._xlws.FILTER(_xlpm.d,(_xlpm.f=_xlpm.k)*(_xlpm.g=0))))</f>
        <v>0.63290509071696222</v>
      </c>
      <c r="M40" s="2" cm="1">
        <f t="array" ref="M40">_xlfn.LET(_xlpm.d,M$2:M$26,_xlpm.f,$A$2:$A$26,_xlpm.g,$B$2:$B$26,_xlpm.k,$C40,AVERAGE(_xlfn._xlws.FILTER(_xlpm.d,(_xlpm.f=_xlpm.k)*(_xlpm.g=0))))</f>
        <v>0.61588769457063652</v>
      </c>
      <c r="N40" s="2" cm="1">
        <f t="array" ref="N40">_xlfn.LET(_xlpm.d,N$2:N$26,_xlpm.f,$A$2:$A$26,_xlpm.g,$B$2:$B$26,_xlpm.k,$C40,AVERAGE(_xlfn._xlws.FILTER(_xlpm.d,(_xlpm.f=_xlpm.k)*(_xlpm.g=0))))</f>
        <v>0.49316471480428853</v>
      </c>
      <c r="O40" s="2" cm="1">
        <f t="array" ref="O40">_xlfn.LET(_xlpm.d,O$2:O$26,_xlpm.f,$A$2:$A$26,_xlpm.g,$B$2:$B$26,_xlpm.k,$C40,AVERAGE(_xlfn._xlws.FILTER(_xlpm.d,(_xlpm.f=_xlpm.k)*(_xlpm.g=0))))</f>
        <v>0.56521948949430389</v>
      </c>
      <c r="P40" s="2" cm="1">
        <f t="array" ref="P40">_xlfn.LET(_xlpm.d,P$2:P$26,_xlpm.f,$A$2:$A$26,_xlpm.g,$B$2:$B$26,_xlpm.k,$C40,AVERAGE(_xlfn._xlws.FILTER(_xlpm.d,(_xlpm.f=_xlpm.k)*(_xlpm.g=0))))</f>
        <v>0.45209274095685426</v>
      </c>
      <c r="Q40" s="2" cm="1">
        <f t="array" ref="Q40">_xlfn.LET(_xlpm.d,Q$2:Q$26,_xlpm.f,$A$2:$A$26,_xlpm.g,$B$2:$B$26,_xlpm.k,$C40,AVERAGE(_xlfn._xlws.FILTER(_xlpm.d,(_xlpm.f=_xlpm.k)*(_xlpm.g=0))))</f>
        <v>0.58829396133342682</v>
      </c>
    </row>
    <row r="41" spans="3:17" ht="30" customHeight="1">
      <c r="C41" t="s">
        <v>44</v>
      </c>
      <c r="D41" s="2" cm="1">
        <f t="array" ref="D41">_xlfn.LET(_xlpm.d,D$2:D$26,_xlpm.f,$A$2:$A$26,_xlpm.g,$B$2:$B$26,_xlpm.k,$C41,AVERAGE(_xlfn._xlws.FILTER(_xlpm.d,(_xlpm.f=_xlpm.k)*(_xlpm.g=0))))</f>
        <v>0.7710242809170178</v>
      </c>
      <c r="E41" s="2" cm="1">
        <f t="array" ref="E41">_xlfn.LET(_xlpm.d,E$2:E$26,_xlpm.f,$A$2:$A$26,_xlpm.g,$B$2:$B$26,_xlpm.k,$C41,AVERAGE(_xlfn._xlws.FILTER(_xlpm.d,(_xlpm.f=_xlpm.k)*(_xlpm.g=0))))</f>
        <v>0.66613057452121605</v>
      </c>
      <c r="F41" s="2" cm="1">
        <f t="array" ref="F41">_xlfn.LET(_xlpm.d,F$2:F$26,_xlpm.f,$A$2:$A$26,_xlpm.g,$B$2:$B$26,_xlpm.k,$C41,AVERAGE(_xlfn._xlws.FILTER(_xlpm.d,(_xlpm.f=_xlpm.k)*(_xlpm.g=0))))</f>
        <v>0.68287142858440752</v>
      </c>
      <c r="G41" s="2" cm="1">
        <f t="array" ref="G41">_xlfn.LET(_xlpm.d,G$2:G$26,_xlpm.f,$A$2:$A$26,_xlpm.g,$B$2:$B$26,_xlpm.k,$C41,AVERAGE(_xlfn._xlws.FILTER(_xlpm.d,(_xlpm.f=_xlpm.k)*(_xlpm.g=0))))</f>
        <v>0.68473025048992775</v>
      </c>
      <c r="H41" s="2" cm="1">
        <f t="array" ref="H41">_xlfn.LET(_xlpm.d,H$2:H$26,_xlpm.f,$A$2:$A$26,_xlpm.g,$B$2:$B$26,_xlpm.k,$C41,AVERAGE(_xlfn._xlws.FILTER(_xlpm.d,(_xlpm.f=_xlpm.k)*(_xlpm.g=0))))</f>
        <v>0.70647899392884494</v>
      </c>
      <c r="I41" s="2" cm="1">
        <f t="array" ref="I41">_xlfn.LET(_xlpm.d,I$2:I$26,_xlpm.f,$A$2:$A$26,_xlpm.g,$B$2:$B$26,_xlpm.k,$C41,AVERAGE(_xlfn._xlws.FILTER(_xlpm.d,(_xlpm.f=_xlpm.k)*(_xlpm.g=0))))</f>
        <v>0.66739460309131904</v>
      </c>
      <c r="J41" s="2" cm="1">
        <f t="array" ref="J41">_xlfn.LET(_xlpm.d,J$2:J$26,_xlpm.f,$A$2:$A$26,_xlpm.g,$B$2:$B$26,_xlpm.k,$C41,AVERAGE(_xlfn._xlws.FILTER(_xlpm.d,(_xlpm.f=_xlpm.k)*(_xlpm.g=0))))</f>
        <v>0.72186444086587054</v>
      </c>
      <c r="K41" s="2" cm="1">
        <f t="array" ref="K41">_xlfn.LET(_xlpm.d,K$2:K$26,_xlpm.f,$A$2:$A$26,_xlpm.g,$B$2:$B$26,_xlpm.k,$C41,AVERAGE(_xlfn._xlws.FILTER(_xlpm.d,(_xlpm.f=_xlpm.k)*(_xlpm.g=0))))</f>
        <v>0.68816422768215246</v>
      </c>
      <c r="L41" s="2" cm="1">
        <f t="array" ref="L41">_xlfn.LET(_xlpm.d,L$2:L$26,_xlpm.f,$A$2:$A$26,_xlpm.g,$B$2:$B$26,_xlpm.k,$C41,AVERAGE(_xlfn._xlws.FILTER(_xlpm.d,(_xlpm.f=_xlpm.k)*(_xlpm.g=0))))</f>
        <v>0.74595990226539</v>
      </c>
      <c r="M41" s="2" cm="1">
        <f t="array" ref="M41">_xlfn.LET(_xlpm.d,M$2:M$26,_xlpm.f,$A$2:$A$26,_xlpm.g,$B$2:$B$26,_xlpm.k,$C41,AVERAGE(_xlfn._xlws.FILTER(_xlpm.d,(_xlpm.f=_xlpm.k)*(_xlpm.g=0))))</f>
        <v>0.58260529627284652</v>
      </c>
      <c r="N41" s="2" cm="1">
        <f t="array" ref="N41">_xlfn.LET(_xlpm.d,N$2:N$26,_xlpm.f,$A$2:$A$26,_xlpm.g,$B$2:$B$26,_xlpm.k,$C41,AVERAGE(_xlfn._xlws.FILTER(_xlpm.d,(_xlpm.f=_xlpm.k)*(_xlpm.g=0))))</f>
        <v>0.55878112775728972</v>
      </c>
      <c r="O41" s="2" cm="1">
        <f t="array" ref="O41">_xlfn.LET(_xlpm.d,O$2:O$26,_xlpm.f,$A$2:$A$26,_xlpm.g,$B$2:$B$26,_xlpm.k,$C41,AVERAGE(_xlfn._xlws.FILTER(_xlpm.d,(_xlpm.f=_xlpm.k)*(_xlpm.g=0))))</f>
        <v>0.57007293927498104</v>
      </c>
      <c r="P41" s="2" cm="1">
        <f t="array" ref="P41">_xlfn.LET(_xlpm.d,P$2:P$26,_xlpm.f,$A$2:$A$26,_xlpm.g,$B$2:$B$26,_xlpm.k,$C41,AVERAGE(_xlfn._xlws.FILTER(_xlpm.d,(_xlpm.f=_xlpm.k)*(_xlpm.g=0))))</f>
        <v>0.67792447455220506</v>
      </c>
      <c r="Q41" s="2" cm="1">
        <f t="array" ref="Q41">_xlfn.LET(_xlpm.d,Q$2:Q$26,_xlpm.f,$A$2:$A$26,_xlpm.g,$B$2:$B$26,_xlpm.k,$C41,AVERAGE(_xlfn._xlws.FILTER(_xlpm.d,(_xlpm.f=_xlpm.k)*(_xlpm.g=0))))</f>
        <v>0.67107711847718987</v>
      </c>
    </row>
    <row r="42" spans="3:17" ht="30" customHeight="1">
      <c r="C42" t="s">
        <v>45</v>
      </c>
      <c r="D42" s="2" cm="1">
        <f t="array" ref="D42">_xlfn.LET(_xlpm.d,D$2:D$26,_xlpm.f,$A$2:$A$26,_xlpm.g,$B$2:$B$26,_xlpm.k,$C42,AVERAGE(_xlfn._xlws.FILTER(_xlpm.d,(_xlpm.f=_xlpm.k)*(_xlpm.g=0))))</f>
        <v>1</v>
      </c>
      <c r="E42" s="2" cm="1">
        <f t="array" ref="E42">_xlfn.LET(_xlpm.d,E$2:E$26,_xlpm.f,$A$2:$A$26,_xlpm.g,$B$2:$B$26,_xlpm.k,$C42,AVERAGE(_xlfn._xlws.FILTER(_xlpm.d,(_xlpm.f=_xlpm.k)*(_xlpm.g=0))))</f>
        <v>1</v>
      </c>
      <c r="F42" s="2" cm="1">
        <f t="array" ref="F42">_xlfn.LET(_xlpm.d,F$2:F$26,_xlpm.f,$A$2:$A$26,_xlpm.g,$B$2:$B$26,_xlpm.k,$C42,AVERAGE(_xlfn._xlws.FILTER(_xlpm.d,(_xlpm.f=_xlpm.k)*(_xlpm.g=0))))</f>
        <v>1</v>
      </c>
      <c r="G42" s="2" cm="1">
        <f t="array" ref="G42">_xlfn.LET(_xlpm.d,G$2:G$26,_xlpm.f,$A$2:$A$26,_xlpm.g,$B$2:$B$26,_xlpm.k,$C42,AVERAGE(_xlfn._xlws.FILTER(_xlpm.d,(_xlpm.f=_xlpm.k)*(_xlpm.g=0))))</f>
        <v>1</v>
      </c>
      <c r="H42" s="2" cm="1">
        <f t="array" ref="H42">_xlfn.LET(_xlpm.d,H$2:H$26,_xlpm.f,$A$2:$A$26,_xlpm.g,$B$2:$B$26,_xlpm.k,$C42,AVERAGE(_xlfn._xlws.FILTER(_xlpm.d,(_xlpm.f=_xlpm.k)*(_xlpm.g=0))))</f>
        <v>0.99550545194757822</v>
      </c>
      <c r="I42" s="2" cm="1">
        <f t="array" ref="I42">_xlfn.LET(_xlpm.d,I$2:I$26,_xlpm.f,$A$2:$A$26,_xlpm.g,$B$2:$B$26,_xlpm.k,$C42,AVERAGE(_xlfn._xlws.FILTER(_xlpm.d,(_xlpm.f=_xlpm.k)*(_xlpm.g=0))))</f>
        <v>0.97974793870555676</v>
      </c>
      <c r="J42" s="2" cm="1">
        <f t="array" ref="J42">_xlfn.LET(_xlpm.d,J$2:J$26,_xlpm.f,$A$2:$A$26,_xlpm.g,$B$2:$B$26,_xlpm.k,$C42,AVERAGE(_xlfn._xlws.FILTER(_xlpm.d,(_xlpm.f=_xlpm.k)*(_xlpm.g=0))))</f>
        <v>0.99629242604799306</v>
      </c>
      <c r="K42" s="2" cm="1">
        <f t="array" ref="K42">_xlfn.LET(_xlpm.d,K$2:K$26,_xlpm.f,$A$2:$A$26,_xlpm.g,$B$2:$B$26,_xlpm.k,$C42,AVERAGE(_xlfn._xlws.FILTER(_xlpm.d,(_xlpm.f=_xlpm.k)*(_xlpm.g=0))))</f>
        <v>0.99864046063691281</v>
      </c>
      <c r="L42" s="2" cm="1">
        <f t="array" ref="L42">_xlfn.LET(_xlpm.d,L$2:L$26,_xlpm.f,$A$2:$A$26,_xlpm.g,$B$2:$B$26,_xlpm.k,$C42,AVERAGE(_xlfn._xlws.FILTER(_xlpm.d,(_xlpm.f=_xlpm.k)*(_xlpm.g=0))))</f>
        <v>0.99315637802722678</v>
      </c>
      <c r="M42" s="2" cm="1">
        <f t="array" ref="M42">_xlfn.LET(_xlpm.d,M$2:M$26,_xlpm.f,$A$2:$A$26,_xlpm.g,$B$2:$B$26,_xlpm.k,$C42,AVERAGE(_xlfn._xlws.FILTER(_xlpm.d,(_xlpm.f=_xlpm.k)*(_xlpm.g=0))))</f>
        <v>0.95619425633091892</v>
      </c>
      <c r="N42" s="2" cm="1">
        <f t="array" ref="N42">_xlfn.LET(_xlpm.d,N$2:N$26,_xlpm.f,$A$2:$A$26,_xlpm.g,$B$2:$B$26,_xlpm.k,$C42,AVERAGE(_xlfn._xlws.FILTER(_xlpm.d,(_xlpm.f=_xlpm.k)*(_xlpm.g=0))))</f>
        <v>0.98738289932893697</v>
      </c>
      <c r="O42" s="2" cm="1">
        <f t="array" ref="O42">_xlfn.LET(_xlpm.d,O$2:O$26,_xlpm.f,$A$2:$A$26,_xlpm.g,$B$2:$B$26,_xlpm.k,$C42,AVERAGE(_xlfn._xlws.FILTER(_xlpm.d,(_xlpm.f=_xlpm.k)*(_xlpm.g=0))))</f>
        <v>1</v>
      </c>
      <c r="P42" s="2" cm="1">
        <f t="array" ref="P42">_xlfn.LET(_xlpm.d,P$2:P$26,_xlpm.f,$A$2:$A$26,_xlpm.g,$B$2:$B$26,_xlpm.k,$C42,AVERAGE(_xlfn._xlws.FILTER(_xlpm.d,(_xlpm.f=_xlpm.k)*(_xlpm.g=0))))</f>
        <v>0.92506043867599252</v>
      </c>
      <c r="Q42" s="2" cm="1">
        <f t="array" ref="Q42">_xlfn.LET(_xlpm.d,Q$2:Q$26,_xlpm.f,$A$2:$A$26,_xlpm.g,$B$2:$B$26,_xlpm.k,$C42,AVERAGE(_xlfn._xlws.FILTER(_xlpm.d,(_xlpm.f=_xlpm.k)*(_xlpm.g=0))))</f>
        <v>0.98707540382316283</v>
      </c>
    </row>
  </sheetData>
  <conditionalFormatting sqref="D2:Q26">
    <cfRule type="colorScale" priority="4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D29:Q34">
    <cfRule type="colorScale" priority="3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D37:Q37">
    <cfRule type="colorScale" priority="1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D38:Q42">
    <cfRule type="colorScale" priority="2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47F66-EE82-C44C-A791-091623582AC9}">
  <dimension ref="A1:R52"/>
  <sheetViews>
    <sheetView workbookViewId="0">
      <pane xSplit="9080" ySplit="3520" topLeftCell="D22" activePane="bottomRight"/>
      <selection activeCell="C1" sqref="C1:C1048576"/>
      <selection pane="topRight" activeCell="D2" sqref="D2:D36"/>
      <selection pane="bottomLeft" activeCell="E33" sqref="E33"/>
      <selection pane="bottomRight" activeCell="H30" sqref="H30"/>
    </sheetView>
  </sheetViews>
  <sheetFormatPr baseColWidth="10" defaultRowHeight="30" customHeight="1"/>
  <cols>
    <col min="1" max="1" width="10.375" customWidth="1"/>
    <col min="2" max="2" width="7.125" customWidth="1"/>
    <col min="3" max="3" width="12.875" customWidth="1"/>
    <col min="4" max="17" width="5.875" customWidth="1"/>
  </cols>
  <sheetData>
    <row r="1" spans="1:18" ht="30" customHeight="1">
      <c r="A1" t="s">
        <v>37</v>
      </c>
      <c r="B1" t="s">
        <v>38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48</v>
      </c>
      <c r="M1" t="s">
        <v>9</v>
      </c>
      <c r="N1" t="s">
        <v>49</v>
      </c>
      <c r="O1" t="s">
        <v>50</v>
      </c>
      <c r="P1" t="s">
        <v>10</v>
      </c>
      <c r="Q1" t="s">
        <v>47</v>
      </c>
      <c r="R1" t="s">
        <v>36</v>
      </c>
    </row>
    <row r="2" spans="1:18" ht="30" customHeight="1">
      <c r="A2" t="str">
        <f>_xlfn.LET(_xlpm.c,_xlfn.SINGLE(Table1[condition]),_xlfn.TEXTBEFORE(_xlpm.c,"-"))</f>
        <v>arabic</v>
      </c>
      <c r="B2">
        <f>_xlfn.LET(_xlpm.c,_xlfn.SINGLE(Table1[condition]),IF(RIGHT(_xlpm.c,2)="1g",1,0))</f>
        <v>1</v>
      </c>
      <c r="C2" t="s">
        <v>11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1</v>
      </c>
      <c r="P2" s="1">
        <v>1</v>
      </c>
      <c r="Q2" s="1">
        <f t="shared" ref="Q2:Q36" si="0">_xlfn.LET(_xlpm.d,$D2:$P2,AVERAGE(_xlpm.d))</f>
        <v>1</v>
      </c>
      <c r="R2" s="1"/>
    </row>
    <row r="3" spans="1:18" ht="30" customHeight="1">
      <c r="A3" t="str">
        <f>_xlfn.LET(_xlpm.c,_xlfn.SINGLE(Table1[condition]),_xlfn.TEXTBEFORE(_xlpm.c,"-"))</f>
        <v>arabic</v>
      </c>
      <c r="B3">
        <f>_xlfn.LET(_xlpm.c,_xlfn.SINGLE(Table1[condition]),IF(RIGHT(_xlpm.c,2)="1g",1,0))</f>
        <v>0</v>
      </c>
      <c r="C3" t="s">
        <v>12</v>
      </c>
      <c r="D3" s="1">
        <v>1</v>
      </c>
      <c r="E3" s="1">
        <v>1</v>
      </c>
      <c r="F3" s="1">
        <v>1</v>
      </c>
      <c r="G3" s="1">
        <v>1</v>
      </c>
      <c r="H3" s="1">
        <v>0.99070261993493502</v>
      </c>
      <c r="I3" s="1">
        <v>1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Q3" s="1">
        <f t="shared" si="0"/>
        <v>0.99928481691807203</v>
      </c>
      <c r="R3" s="1"/>
    </row>
    <row r="4" spans="1:18" ht="30" customHeight="1">
      <c r="A4" t="str">
        <f>_xlfn.LET(_xlpm.c,_xlfn.SINGLE(Table1[condition]),_xlfn.TEXTBEFORE(_xlpm.c,"-"))</f>
        <v>arabic</v>
      </c>
      <c r="B4">
        <f>_xlfn.LET(_xlpm.c,_xlfn.SINGLE(Table1[condition]),IF(RIGHT(_xlpm.c,2)="1g",1,0))</f>
        <v>0</v>
      </c>
      <c r="C4" t="s">
        <v>13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f t="shared" si="0"/>
        <v>1</v>
      </c>
      <c r="R4" s="1"/>
    </row>
    <row r="5" spans="1:18" ht="30" customHeight="1">
      <c r="A5" t="str">
        <f>_xlfn.LET(_xlpm.c,_xlfn.SINGLE(Table1[condition]),_xlfn.TEXTBEFORE(_xlpm.c,"-"))</f>
        <v>arabic</v>
      </c>
      <c r="B5">
        <f>_xlfn.LET(_xlpm.c,_xlfn.SINGLE(Table1[condition]),IF(RIGHT(_xlpm.c,2)="1g",1,0))</f>
        <v>0</v>
      </c>
      <c r="C5" t="s">
        <v>14</v>
      </c>
      <c r="D5" s="1">
        <v>1</v>
      </c>
      <c r="E5" s="1">
        <v>0.99298774736915596</v>
      </c>
      <c r="F5" s="1">
        <v>0.97668690044181505</v>
      </c>
      <c r="G5" s="1">
        <v>1</v>
      </c>
      <c r="H5" s="1">
        <v>1</v>
      </c>
      <c r="I5" s="1">
        <v>1</v>
      </c>
      <c r="J5" s="1">
        <v>0.97195858294933701</v>
      </c>
      <c r="K5" s="1">
        <v>0.97162841489766505</v>
      </c>
      <c r="L5" s="1">
        <v>1</v>
      </c>
      <c r="M5" s="1">
        <v>0.99757846532776695</v>
      </c>
      <c r="N5" s="1">
        <v>1</v>
      </c>
      <c r="O5" s="1">
        <v>1</v>
      </c>
      <c r="P5" s="1">
        <v>0.99374486542304596</v>
      </c>
      <c r="Q5" s="1">
        <f t="shared" si="0"/>
        <v>0.9926603828006757</v>
      </c>
      <c r="R5" s="1"/>
    </row>
    <row r="6" spans="1:18" ht="30" customHeight="1">
      <c r="A6" t="str">
        <f>_xlfn.LET(_xlpm.c,_xlfn.SINGLE(Table1[condition]),_xlfn.TEXTBEFORE(_xlpm.c,"-"))</f>
        <v>arabic</v>
      </c>
      <c r="B6">
        <f>_xlfn.LET(_xlpm.c,_xlfn.SINGLE(Table1[condition]),IF(RIGHT(_xlpm.c,2)="1g",1,0))</f>
        <v>0</v>
      </c>
      <c r="C6" t="s">
        <v>15</v>
      </c>
      <c r="D6" s="1">
        <v>1</v>
      </c>
      <c r="E6" s="1">
        <v>1</v>
      </c>
      <c r="F6" s="1">
        <v>0.98726229810545796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0.98157185428334703</v>
      </c>
      <c r="O6" s="1">
        <v>1</v>
      </c>
      <c r="P6" s="1">
        <v>1</v>
      </c>
      <c r="Q6" s="1">
        <f t="shared" si="0"/>
        <v>0.99760262710683112</v>
      </c>
      <c r="R6" s="1"/>
    </row>
    <row r="7" spans="1:18" ht="30" customHeight="1">
      <c r="A7" t="str">
        <f>_xlfn.LET(_xlpm.c,_xlfn.SINGLE(Table1[condition]),_xlfn.TEXTBEFORE(_xlpm.c,"-"))</f>
        <v>arabic</v>
      </c>
      <c r="B7">
        <f>_xlfn.LET(_xlpm.c,_xlfn.SINGLE(Table1[condition]),IF(RIGHT(_xlpm.c,2)="1g",1,0))</f>
        <v>0</v>
      </c>
      <c r="C7" t="s">
        <v>51</v>
      </c>
      <c r="D7" s="1">
        <v>0.99153896448965395</v>
      </c>
      <c r="E7" s="1">
        <v>1</v>
      </c>
      <c r="F7" s="1">
        <v>1</v>
      </c>
      <c r="G7" s="1">
        <v>0.99070261993493502</v>
      </c>
      <c r="H7" s="1">
        <v>0.97466385409424505</v>
      </c>
      <c r="I7" s="1">
        <v>0.94778203746477296</v>
      </c>
      <c r="J7" s="1">
        <v>0.97162841489766505</v>
      </c>
      <c r="K7" s="1">
        <v>0.90066028105415197</v>
      </c>
      <c r="L7" s="1">
        <v>0.86229305432164305</v>
      </c>
      <c r="M7" s="1">
        <v>0.97389461988287496</v>
      </c>
      <c r="N7" s="1">
        <v>0.85805748368548296</v>
      </c>
      <c r="O7" s="1">
        <v>1</v>
      </c>
      <c r="P7" s="1">
        <v>0.90798981514661803</v>
      </c>
      <c r="Q7" s="1">
        <f t="shared" si="0"/>
        <v>0.95224701115169552</v>
      </c>
      <c r="R7" s="1"/>
    </row>
    <row r="8" spans="1:18" ht="30" customHeight="1">
      <c r="A8" t="str">
        <f>_xlfn.LET(_xlpm.c,_xlfn.SINGLE(Table1[condition]),_xlfn.TEXTBEFORE(_xlpm.c,"-"))</f>
        <v>arabic</v>
      </c>
      <c r="B8">
        <f>_xlfn.LET(_xlpm.c,_xlfn.SINGLE(Table1[condition]),IF(RIGHT(_xlpm.c,2)="1g",1,0))</f>
        <v>0</v>
      </c>
      <c r="C8" t="s">
        <v>52</v>
      </c>
      <c r="D8" s="1">
        <v>1</v>
      </c>
      <c r="E8" s="1">
        <v>1</v>
      </c>
      <c r="F8" s="1">
        <v>0.98952894820572401</v>
      </c>
      <c r="G8" s="1">
        <v>1</v>
      </c>
      <c r="H8" s="1">
        <v>1</v>
      </c>
      <c r="I8" s="1">
        <v>0.90952166571139403</v>
      </c>
      <c r="J8" s="1">
        <v>0.982168143192654</v>
      </c>
      <c r="K8" s="1">
        <v>0.97531832580523103</v>
      </c>
      <c r="L8" s="1">
        <v>1</v>
      </c>
      <c r="M8" s="1">
        <v>0.89234252240933698</v>
      </c>
      <c r="N8" s="1">
        <v>1</v>
      </c>
      <c r="O8" s="1">
        <v>1</v>
      </c>
      <c r="P8" s="1">
        <v>0.70917522269094802</v>
      </c>
      <c r="Q8" s="1">
        <f t="shared" si="0"/>
        <v>0.95831190984732995</v>
      </c>
      <c r="R8" s="1"/>
    </row>
    <row r="9" spans="1:18" ht="30" customHeight="1">
      <c r="A9" t="str">
        <f>_xlfn.LET(_xlpm.c,_xlfn.SINGLE(Table1[condition]),_xlfn.TEXTBEFORE(_xlpm.c,"-"))</f>
        <v>english</v>
      </c>
      <c r="B9">
        <f>_xlfn.LET(_xlpm.c,_xlfn.SINGLE(Table1[condition]),IF(RIGHT(_xlpm.c,2)="1g",1,0))</f>
        <v>1</v>
      </c>
      <c r="C9" t="s">
        <v>16</v>
      </c>
      <c r="D9" s="1">
        <v>1</v>
      </c>
      <c r="E9" s="1">
        <v>0.87157491704296497</v>
      </c>
      <c r="F9" s="1">
        <v>0.80859706023546996</v>
      </c>
      <c r="G9" s="1">
        <v>0.66360335756846101</v>
      </c>
      <c r="H9" s="1">
        <v>0.76606998136348803</v>
      </c>
      <c r="I9" s="1">
        <v>0.739598609604322</v>
      </c>
      <c r="J9" s="1">
        <v>0.67903111077488598</v>
      </c>
      <c r="K9" s="1">
        <v>0.65763812451611603</v>
      </c>
      <c r="L9" s="1">
        <v>0.81807219125182096</v>
      </c>
      <c r="M9" s="1">
        <v>0</v>
      </c>
      <c r="N9" s="1">
        <v>0.96962242315874803</v>
      </c>
      <c r="O9" s="1">
        <v>0.87538163353131504</v>
      </c>
      <c r="P9" s="1">
        <v>0.61723772960202805</v>
      </c>
      <c r="Q9" s="1">
        <f t="shared" si="0"/>
        <v>0.72818670297304777</v>
      </c>
      <c r="R9" s="1"/>
    </row>
    <row r="10" spans="1:18" ht="30" customHeight="1">
      <c r="A10" t="str">
        <f>_xlfn.LET(_xlpm.c,_xlfn.SINGLE(Table1[condition]),_xlfn.TEXTBEFORE(_xlpm.c,"-"))</f>
        <v>english</v>
      </c>
      <c r="B10">
        <f>_xlfn.LET(_xlpm.c,_xlfn.SINGLE(Table1[condition]),IF(RIGHT(_xlpm.c,2)="1g",1,0))</f>
        <v>0</v>
      </c>
      <c r="C10" t="s">
        <v>17</v>
      </c>
      <c r="D10" s="1">
        <v>0.58717076077431596</v>
      </c>
      <c r="E10" s="1">
        <v>0.549064146320971</v>
      </c>
      <c r="F10" s="1">
        <v>0.66633138115083501</v>
      </c>
      <c r="G10" s="1">
        <v>0.55291206708060903</v>
      </c>
      <c r="H10" s="1">
        <v>0.46762406464954898</v>
      </c>
      <c r="I10" s="1">
        <v>0.620725389004116</v>
      </c>
      <c r="J10" s="1">
        <v>0.61942410032030903</v>
      </c>
      <c r="K10" s="1">
        <v>0.35838375658055699</v>
      </c>
      <c r="L10" s="1">
        <v>0.44021977866810102</v>
      </c>
      <c r="M10" s="1">
        <v>0.41455260738455102</v>
      </c>
      <c r="N10" s="1">
        <v>0.460223798347413</v>
      </c>
      <c r="O10" s="1">
        <v>0.46904227727735598</v>
      </c>
      <c r="P10" s="1">
        <v>0.39960377877463099</v>
      </c>
      <c r="Q10" s="1">
        <f t="shared" si="0"/>
        <v>0.50809830048717797</v>
      </c>
      <c r="R10" s="1"/>
    </row>
    <row r="11" spans="1:18" ht="30" customHeight="1">
      <c r="A11" t="str">
        <f>_xlfn.LET(_xlpm.c,_xlfn.SINGLE(Table1[condition]),_xlfn.TEXTBEFORE(_xlpm.c,"-"))</f>
        <v>english</v>
      </c>
      <c r="B11">
        <f>_xlfn.LET(_xlpm.c,_xlfn.SINGLE(Table1[condition]),IF(RIGHT(_xlpm.c,2)="1g",1,0))</f>
        <v>0</v>
      </c>
      <c r="C11" t="s">
        <v>18</v>
      </c>
      <c r="D11" s="1">
        <v>0.56239809046719802</v>
      </c>
      <c r="E11" s="1">
        <v>0.68339019808057699</v>
      </c>
      <c r="F11" s="1">
        <v>0.58760624267084605</v>
      </c>
      <c r="G11" s="1">
        <v>0.58025148100634705</v>
      </c>
      <c r="H11" s="1">
        <v>0.47306094195898601</v>
      </c>
      <c r="I11" s="1">
        <v>0.65647266304227003</v>
      </c>
      <c r="J11" s="1">
        <v>0.70178555264629106</v>
      </c>
      <c r="K11" s="1">
        <v>0.58991364111141198</v>
      </c>
      <c r="L11" s="1">
        <v>0.46620630215119702</v>
      </c>
      <c r="M11" s="1">
        <v>0.59308145042431104</v>
      </c>
      <c r="N11" s="1">
        <v>0.51586031746618399</v>
      </c>
      <c r="O11" s="1">
        <v>0.66078859808058699</v>
      </c>
      <c r="P11" s="1">
        <v>0.380806948225765</v>
      </c>
      <c r="Q11" s="1">
        <f t="shared" si="0"/>
        <v>0.5732017251793825</v>
      </c>
      <c r="R11" s="1"/>
    </row>
    <row r="12" spans="1:18" ht="30" customHeight="1">
      <c r="A12" t="str">
        <f>_xlfn.LET(_xlpm.c,_xlfn.SINGLE(Table1[condition]),_xlfn.TEXTBEFORE(_xlpm.c,"-"))</f>
        <v>english</v>
      </c>
      <c r="B12">
        <f>_xlfn.LET(_xlpm.c,_xlfn.SINGLE(Table1[condition]),IF(RIGHT(_xlpm.c,2)="1g",1,0))</f>
        <v>0</v>
      </c>
      <c r="C12" t="s">
        <v>19</v>
      </c>
      <c r="D12" s="1">
        <v>0.70033053474317697</v>
      </c>
      <c r="E12" s="1">
        <v>0.77099141710807195</v>
      </c>
      <c r="F12" s="1">
        <v>0.60048153223450296</v>
      </c>
      <c r="G12" s="1">
        <v>0.82762627598952399</v>
      </c>
      <c r="H12" s="1">
        <v>0.57620131777306705</v>
      </c>
      <c r="I12" s="1">
        <v>0.46700575634327901</v>
      </c>
      <c r="J12" s="1">
        <v>0.74248954230702602</v>
      </c>
      <c r="K12" s="1">
        <v>0.577642859051682</v>
      </c>
      <c r="L12" s="1">
        <v>0.51772848012608497</v>
      </c>
      <c r="M12" s="1">
        <v>0.51566855586439198</v>
      </c>
      <c r="N12" s="1">
        <v>0.56895512596382203</v>
      </c>
      <c r="O12" s="1">
        <v>0.52235430538966099</v>
      </c>
      <c r="P12" s="1">
        <v>0.67954925245438302</v>
      </c>
      <c r="Q12" s="1">
        <f t="shared" si="0"/>
        <v>0.62054038118066712</v>
      </c>
      <c r="R12" s="1"/>
    </row>
    <row r="13" spans="1:18" ht="30" customHeight="1">
      <c r="A13" t="str">
        <f>_xlfn.LET(_xlpm.c,_xlfn.SINGLE(Table1[condition]),_xlfn.TEXTBEFORE(_xlpm.c,"-"))</f>
        <v>english</v>
      </c>
      <c r="B13">
        <f>_xlfn.LET(_xlpm.c,_xlfn.SINGLE(Table1[condition]),IF(RIGHT(_xlpm.c,2)="1g",1,0))</f>
        <v>0</v>
      </c>
      <c r="C13" t="s">
        <v>20</v>
      </c>
      <c r="D13" s="1">
        <v>0.61461535927685895</v>
      </c>
      <c r="E13" s="1">
        <v>0.56723560530025596</v>
      </c>
      <c r="F13" s="1">
        <v>0.68259461461577298</v>
      </c>
      <c r="G13" s="1">
        <v>0.76119182332700497</v>
      </c>
      <c r="H13" s="1">
        <v>0.460978480668775</v>
      </c>
      <c r="I13" s="1">
        <v>0.54185978000127</v>
      </c>
      <c r="J13" s="1">
        <v>0.469883268401734</v>
      </c>
      <c r="K13" s="1">
        <v>0.22203934423976199</v>
      </c>
      <c r="L13" s="1">
        <v>0.726962100066331</v>
      </c>
      <c r="M13" s="1">
        <v>0.622347947501249</v>
      </c>
      <c r="N13" s="1">
        <v>0.476005888593516</v>
      </c>
      <c r="O13" s="1">
        <v>0.62038440486461599</v>
      </c>
      <c r="P13" s="1">
        <v>0.50049111640383404</v>
      </c>
      <c r="Q13" s="1">
        <f t="shared" si="0"/>
        <v>0.55896844102007526</v>
      </c>
      <c r="R13" s="1"/>
    </row>
    <row r="14" spans="1:18" ht="30" customHeight="1">
      <c r="A14" t="str">
        <f>_xlfn.LET(_xlpm.c,_xlfn.SINGLE(Table1[condition]),_xlfn.TEXTBEFORE(_xlpm.c,"-"))</f>
        <v>english</v>
      </c>
      <c r="B14">
        <f>_xlfn.LET(_xlpm.c,_xlfn.SINGLE(Table1[condition]),IF(RIGHT(_xlpm.c,2)="1g",1,0))</f>
        <v>0</v>
      </c>
      <c r="C14" t="s">
        <v>53</v>
      </c>
      <c r="D14" s="1">
        <v>0.76358761688815002</v>
      </c>
      <c r="E14" s="1">
        <v>0.65793780958850601</v>
      </c>
      <c r="F14" s="1">
        <v>0.61388022453540203</v>
      </c>
      <c r="G14" s="1">
        <v>0.64710866355742303</v>
      </c>
      <c r="H14" s="1">
        <v>0.53694312693677704</v>
      </c>
      <c r="I14" s="1">
        <v>0.53046033521535596</v>
      </c>
      <c r="J14" s="1">
        <v>0.66281265188487604</v>
      </c>
      <c r="K14" s="1">
        <v>0.60751845892565204</v>
      </c>
      <c r="L14" s="1">
        <v>0.71067527520399598</v>
      </c>
      <c r="M14" s="1">
        <v>0.76134740806225398</v>
      </c>
      <c r="N14" s="1">
        <v>0.60025318552853801</v>
      </c>
      <c r="O14" s="1">
        <v>0.48596219832723497</v>
      </c>
      <c r="P14" s="1">
        <v>0.47211891036860598</v>
      </c>
      <c r="Q14" s="1">
        <f t="shared" si="0"/>
        <v>0.61927737423252083</v>
      </c>
      <c r="R14" s="1"/>
    </row>
    <row r="15" spans="1:18" ht="30" customHeight="1">
      <c r="A15" t="str">
        <f>_xlfn.LET(_xlpm.c,_xlfn.SINGLE(Table1[condition]),_xlfn.TEXTBEFORE(_xlpm.c,"-"))</f>
        <v>english</v>
      </c>
      <c r="B15">
        <f>_xlfn.LET(_xlpm.c,_xlfn.SINGLE(Table1[condition]),IF(RIGHT(_xlpm.c,2)="1g",1,0))</f>
        <v>0</v>
      </c>
      <c r="C15" t="s">
        <v>54</v>
      </c>
      <c r="D15" s="1">
        <v>0.63359282327608302</v>
      </c>
      <c r="E15" s="1">
        <v>0.62162722829153205</v>
      </c>
      <c r="F15" s="1">
        <v>0.75546808384247099</v>
      </c>
      <c r="G15" s="1">
        <v>0.51801538359227395</v>
      </c>
      <c r="H15" s="1">
        <v>0.57562354138480798</v>
      </c>
      <c r="I15" s="1">
        <v>0.417453080706782</v>
      </c>
      <c r="J15" s="1">
        <v>0.660776749587766</v>
      </c>
      <c r="K15" s="1">
        <v>0.49820698368845101</v>
      </c>
      <c r="L15" s="1">
        <v>0.58716491883661404</v>
      </c>
      <c r="M15" s="1">
        <v>0.58997089564929395</v>
      </c>
      <c r="N15" s="1">
        <v>0.66240665618179795</v>
      </c>
      <c r="O15" s="1">
        <v>0.49090237429146599</v>
      </c>
      <c r="P15" s="1">
        <v>0.48476982065784002</v>
      </c>
      <c r="Q15" s="1">
        <f t="shared" si="0"/>
        <v>0.57661373384516768</v>
      </c>
      <c r="R15" s="1"/>
    </row>
    <row r="16" spans="1:18" ht="30" customHeight="1">
      <c r="A16" t="str">
        <f>_xlfn.LET(_xlpm.c,_xlfn.SINGLE(Table1[condition]),_xlfn.TEXTBEFORE(_xlpm.c,"-"))</f>
        <v>french</v>
      </c>
      <c r="B16">
        <f>_xlfn.LET(_xlpm.c,_xlfn.SINGLE(Table1[condition]),IF(RIGHT(_xlpm.c,2)="1g",1,0))</f>
        <v>1</v>
      </c>
      <c r="C16" t="s">
        <v>21</v>
      </c>
      <c r="D16" s="1">
        <v>1</v>
      </c>
      <c r="E16" s="1">
        <v>0.81720689656549805</v>
      </c>
      <c r="F16" s="1">
        <v>0.72318902042190802</v>
      </c>
      <c r="G16" s="1">
        <v>0.94974743073163204</v>
      </c>
      <c r="H16" s="1">
        <v>0.99332352957322201</v>
      </c>
      <c r="I16" s="1">
        <v>0.85216810996467596</v>
      </c>
      <c r="J16" s="1">
        <v>0.73002639201394204</v>
      </c>
      <c r="K16" s="1">
        <v>0.61448126333063202</v>
      </c>
      <c r="L16" s="1">
        <v>0.62263562674293405</v>
      </c>
      <c r="M16" s="1">
        <v>0.70166539363989</v>
      </c>
      <c r="N16" s="1">
        <v>0.78404366179221796</v>
      </c>
      <c r="O16" s="1">
        <v>0.74448061351811501</v>
      </c>
      <c r="P16" s="1">
        <v>0.684080905029257</v>
      </c>
      <c r="Q16" s="1">
        <f t="shared" ref="Q16:Q25" si="1">_xlfn.LET(_xlpm.d,$D16:$P16,AVERAGE(_xlpm.d))</f>
        <v>0.78592683410184039</v>
      </c>
      <c r="R16" s="1"/>
    </row>
    <row r="17" spans="1:18" ht="30" customHeight="1">
      <c r="A17" t="str">
        <f>_xlfn.LET(_xlpm.c,_xlfn.SINGLE(Table1[condition]),_xlfn.TEXTBEFORE(_xlpm.c,"-"))</f>
        <v>french</v>
      </c>
      <c r="B17">
        <f>_xlfn.LET(_xlpm.c,_xlfn.SINGLE(Table1[condition]),IF(RIGHT(_xlpm.c,2)="1g",1,0))</f>
        <v>0</v>
      </c>
      <c r="C17" t="s">
        <v>22</v>
      </c>
      <c r="D17" s="1">
        <v>0.632471592322017</v>
      </c>
      <c r="E17" s="1">
        <v>0.60163181062198301</v>
      </c>
      <c r="F17" s="1">
        <v>0.59405931518222599</v>
      </c>
      <c r="G17" s="1">
        <v>0.64708279125330004</v>
      </c>
      <c r="H17" s="1">
        <v>0.53870094985780503</v>
      </c>
      <c r="I17" s="1">
        <v>0.40802630812940899</v>
      </c>
      <c r="J17" s="1">
        <v>0.46380994867006697</v>
      </c>
      <c r="K17" s="1">
        <v>0</v>
      </c>
      <c r="L17" s="1">
        <v>0.67814626232950304</v>
      </c>
      <c r="M17" s="1">
        <v>0.52517332177894904</v>
      </c>
      <c r="N17" s="1">
        <v>0.34464967424513099</v>
      </c>
      <c r="O17" s="1">
        <v>0.67569624445577003</v>
      </c>
      <c r="P17" s="1">
        <v>0.31961458614417398</v>
      </c>
      <c r="Q17" s="1">
        <f t="shared" si="1"/>
        <v>0.49454329269156416</v>
      </c>
      <c r="R17" s="1"/>
    </row>
    <row r="18" spans="1:18" ht="30" customHeight="1">
      <c r="A18" t="str">
        <f>_xlfn.LET(_xlpm.c,_xlfn.SINGLE(Table1[condition]),_xlfn.TEXTBEFORE(_xlpm.c,"-"))</f>
        <v>french</v>
      </c>
      <c r="B18">
        <f>_xlfn.LET(_xlpm.c,_xlfn.SINGLE(Table1[condition]),IF(RIGHT(_xlpm.c,2)="1g",1,0))</f>
        <v>0</v>
      </c>
      <c r="C18" t="s">
        <v>23</v>
      </c>
      <c r="D18" s="1">
        <v>0.68087911128435696</v>
      </c>
      <c r="E18" s="1">
        <v>0.61277206256486005</v>
      </c>
      <c r="F18" s="1">
        <v>0.61247482961497102</v>
      </c>
      <c r="G18" s="1">
        <v>0.39589087126743899</v>
      </c>
      <c r="H18" s="1">
        <v>0.44062846660314903</v>
      </c>
      <c r="I18" s="1">
        <v>0.61678345424804304</v>
      </c>
      <c r="J18" s="1">
        <v>0.73294818341121404</v>
      </c>
      <c r="K18" s="1">
        <v>0.57922971641113896</v>
      </c>
      <c r="L18" s="1">
        <v>0.58876574885226396</v>
      </c>
      <c r="M18" s="1">
        <v>0.60820095589756096</v>
      </c>
      <c r="N18" s="1">
        <v>0.67844280517282796</v>
      </c>
      <c r="O18" s="1">
        <v>0.49274941631250502</v>
      </c>
      <c r="P18" s="1">
        <v>0.42808463661594798</v>
      </c>
      <c r="Q18" s="1">
        <f t="shared" si="1"/>
        <v>0.57445001986586752</v>
      </c>
      <c r="R18" s="1"/>
    </row>
    <row r="19" spans="1:18" ht="30" customHeight="1">
      <c r="A19" t="str">
        <f>_xlfn.LET(_xlpm.c,_xlfn.SINGLE(Table1[condition]),_xlfn.TEXTBEFORE(_xlpm.c,"-"))</f>
        <v>french</v>
      </c>
      <c r="B19">
        <f>_xlfn.LET(_xlpm.c,_xlfn.SINGLE(Table1[condition]),IF(RIGHT(_xlpm.c,2)="1g",1,0))</f>
        <v>0</v>
      </c>
      <c r="C19" t="s">
        <v>24</v>
      </c>
      <c r="D19" s="1">
        <v>0.797556132959924</v>
      </c>
      <c r="E19" s="1">
        <v>0.76477223765286295</v>
      </c>
      <c r="F19" s="1">
        <v>0.70418906422368099</v>
      </c>
      <c r="G19" s="1">
        <v>0.77415130199598703</v>
      </c>
      <c r="H19" s="1">
        <v>0.64024259350857504</v>
      </c>
      <c r="I19" s="1">
        <v>0.69682876166627605</v>
      </c>
      <c r="J19" s="1">
        <v>0.53954207259586495</v>
      </c>
      <c r="K19" s="1">
        <v>0.64359356145822999</v>
      </c>
      <c r="L19" s="1">
        <v>0.54604749376497497</v>
      </c>
      <c r="M19" s="1">
        <v>0.68943154055038902</v>
      </c>
      <c r="N19" s="1">
        <v>0.441921209490027</v>
      </c>
      <c r="O19" s="1">
        <v>0.54260127705620598</v>
      </c>
      <c r="P19" s="1">
        <v>0.58938454162765397</v>
      </c>
      <c r="Q19" s="1">
        <f t="shared" si="1"/>
        <v>0.64386629142697338</v>
      </c>
      <c r="R19" s="1"/>
    </row>
    <row r="20" spans="1:18" ht="30" customHeight="1">
      <c r="A20" t="str">
        <f>_xlfn.LET(_xlpm.c,_xlfn.SINGLE(Table1[condition]),_xlfn.TEXTBEFORE(_xlpm.c,"-"))</f>
        <v>french</v>
      </c>
      <c r="B20">
        <f>_xlfn.LET(_xlpm.c,_xlfn.SINGLE(Table1[condition]),IF(RIGHT(_xlpm.c,2)="1g",1,0))</f>
        <v>0</v>
      </c>
      <c r="C20" t="s">
        <v>25</v>
      </c>
      <c r="D20" s="1">
        <v>0.95566753880483102</v>
      </c>
      <c r="E20" s="1">
        <v>0.71689504622741196</v>
      </c>
      <c r="F20" s="1">
        <v>0.79483665157104</v>
      </c>
      <c r="G20" s="1">
        <v>0.50606677849495896</v>
      </c>
      <c r="H20" s="1">
        <v>0.76378290674530602</v>
      </c>
      <c r="I20" s="1">
        <v>0.63507122265573102</v>
      </c>
      <c r="J20" s="1">
        <v>0.61562717752779506</v>
      </c>
      <c r="K20" s="1">
        <v>0.44799460763555898</v>
      </c>
      <c r="L20" s="1">
        <v>0.71866085792110701</v>
      </c>
      <c r="M20" s="1">
        <v>0.64074496005564696</v>
      </c>
      <c r="N20" s="1">
        <v>0.507645170309168</v>
      </c>
      <c r="O20" s="1">
        <v>0.54983102015273499</v>
      </c>
      <c r="P20" s="1">
        <v>0.47128719943964098</v>
      </c>
      <c r="Q20" s="1">
        <f t="shared" si="1"/>
        <v>0.64031624134930232</v>
      </c>
      <c r="R20" s="1"/>
    </row>
    <row r="21" spans="1:18" ht="30" customHeight="1">
      <c r="A21" t="str">
        <f>_xlfn.LET(_xlpm.c,_xlfn.SINGLE(Table1[condition]),_xlfn.TEXTBEFORE(_xlpm.c,"-"))</f>
        <v>french</v>
      </c>
      <c r="B21">
        <f>_xlfn.LET(_xlpm.c,_xlfn.SINGLE(Table1[condition]),IF(RIGHT(_xlpm.c,2)="1g",1,0))</f>
        <v>0</v>
      </c>
      <c r="C21" t="s">
        <v>55</v>
      </c>
      <c r="D21" s="1">
        <v>0.75343341271361197</v>
      </c>
      <c r="E21" s="1">
        <v>0.63946313605952598</v>
      </c>
      <c r="F21" s="1">
        <v>0.710077254529631</v>
      </c>
      <c r="G21" s="1">
        <v>0.838224394617468</v>
      </c>
      <c r="H21" s="1">
        <v>0.67412196613265696</v>
      </c>
      <c r="I21" s="1">
        <v>0.88061058058943398</v>
      </c>
      <c r="J21" s="1">
        <v>0.58387384472672199</v>
      </c>
      <c r="K21" s="1">
        <v>0.62014633222551696</v>
      </c>
      <c r="L21" s="1">
        <v>0.67128546525923105</v>
      </c>
      <c r="M21" s="1">
        <v>0.62514870483387097</v>
      </c>
      <c r="N21" s="1">
        <v>0.64953399553442404</v>
      </c>
      <c r="O21" s="1">
        <v>0.75766298491654405</v>
      </c>
      <c r="P21" s="1">
        <v>0.73877668067490698</v>
      </c>
      <c r="Q21" s="1">
        <f t="shared" si="1"/>
        <v>0.70325836560104171</v>
      </c>
      <c r="R21" s="1"/>
    </row>
    <row r="22" spans="1:18" ht="30" customHeight="1">
      <c r="A22" t="str">
        <f>_xlfn.LET(_xlpm.c,_xlfn.SINGLE(Table1[condition]),_xlfn.TEXTBEFORE(_xlpm.c,"-"))</f>
        <v>french</v>
      </c>
      <c r="B22">
        <f>_xlfn.LET(_xlpm.c,_xlfn.SINGLE(Table1[condition]),IF(RIGHT(_xlpm.c,2)="1g",1,0))</f>
        <v>0</v>
      </c>
      <c r="C22" t="s">
        <v>56</v>
      </c>
      <c r="D22" s="1">
        <v>0.84517786118237603</v>
      </c>
      <c r="E22" s="1">
        <v>0.79221509076526797</v>
      </c>
      <c r="F22" s="1">
        <v>0.64421237870315395</v>
      </c>
      <c r="G22" s="1">
        <v>0.76195290956627704</v>
      </c>
      <c r="H22" s="1">
        <v>0.62413804806768103</v>
      </c>
      <c r="I22" s="1">
        <v>0.62517805556158101</v>
      </c>
      <c r="J22" s="1">
        <v>0.73924688349302203</v>
      </c>
      <c r="K22" s="1">
        <v>0.67302520710473401</v>
      </c>
      <c r="L22" s="1">
        <v>0.56113363015447704</v>
      </c>
      <c r="M22" s="1">
        <v>0.64569922862025397</v>
      </c>
      <c r="N22" s="1">
        <v>0.40694574966305602</v>
      </c>
      <c r="O22" s="1">
        <v>0.50186057853552901</v>
      </c>
      <c r="P22" s="1">
        <v>0.41242970802780199</v>
      </c>
      <c r="Q22" s="1">
        <f t="shared" si="1"/>
        <v>0.63332425611117016</v>
      </c>
      <c r="R22" s="1"/>
    </row>
    <row r="23" spans="1:18" ht="30" customHeight="1">
      <c r="A23" t="str">
        <f>_xlfn.LET(_xlpm.c,_xlfn.SINGLE(Table1[condition]),_xlfn.TEXTBEFORE(_xlpm.c,"-"))</f>
        <v>german</v>
      </c>
      <c r="B23">
        <f>_xlfn.LET(_xlpm.c,_xlfn.SINGLE(Table1[condition]),IF(RIGHT(_xlpm.c,2)="1g",1,0))</f>
        <v>1</v>
      </c>
      <c r="C23" t="s">
        <v>26</v>
      </c>
      <c r="D23" s="1">
        <v>1</v>
      </c>
      <c r="E23" s="1">
        <v>0.82803049325167799</v>
      </c>
      <c r="F23" s="1">
        <v>0.84986618611209497</v>
      </c>
      <c r="G23" s="1">
        <v>0.90242397804396401</v>
      </c>
      <c r="H23" s="1">
        <v>0.74356888560219703</v>
      </c>
      <c r="I23" s="1">
        <v>0.75232449482651098</v>
      </c>
      <c r="J23" s="1">
        <v>0.57690626377857301</v>
      </c>
      <c r="K23" s="1">
        <v>0.74903687869018898</v>
      </c>
      <c r="L23" s="1">
        <v>0.598872241962355</v>
      </c>
      <c r="M23" s="1">
        <v>0.586006435645682</v>
      </c>
      <c r="N23" s="1">
        <v>0.44414922928023998</v>
      </c>
      <c r="O23" s="1">
        <v>0.698004453939431</v>
      </c>
      <c r="P23" s="1">
        <v>0.69977332828088301</v>
      </c>
      <c r="Q23" s="1">
        <f t="shared" si="1"/>
        <v>0.72530483610875385</v>
      </c>
      <c r="R23" s="1"/>
    </row>
    <row r="24" spans="1:18" ht="30" customHeight="1">
      <c r="A24" t="str">
        <f>_xlfn.LET(_xlpm.c,_xlfn.SINGLE(Table1[condition]),_xlfn.TEXTBEFORE(_xlpm.c,"-"))</f>
        <v>german</v>
      </c>
      <c r="B24">
        <f>_xlfn.LET(_xlpm.c,_xlfn.SINGLE(Table1[condition]),IF(RIGHT(_xlpm.c,2)="1g",1,0))</f>
        <v>0</v>
      </c>
      <c r="C24" t="s">
        <v>27</v>
      </c>
      <c r="D24" s="1">
        <v>0.72901926711537302</v>
      </c>
      <c r="E24" s="1">
        <v>0.73597181870115502</v>
      </c>
      <c r="F24" s="1">
        <v>0.49540586024551098</v>
      </c>
      <c r="G24" s="1">
        <v>0.64269037352102198</v>
      </c>
      <c r="H24" s="1">
        <v>0.69944250532684704</v>
      </c>
      <c r="I24" s="1">
        <v>0.77056825388980899</v>
      </c>
      <c r="J24" s="1">
        <v>0.66517527179156</v>
      </c>
      <c r="K24" s="1">
        <v>0.512815397644525</v>
      </c>
      <c r="L24" s="1">
        <v>0.72675219305604799</v>
      </c>
      <c r="M24" s="1">
        <v>0.54951329681402805</v>
      </c>
      <c r="N24" s="1">
        <v>0.37877159523512399</v>
      </c>
      <c r="O24" s="1">
        <v>0.61751406282199905</v>
      </c>
      <c r="P24" s="1">
        <v>0.72727272727272696</v>
      </c>
      <c r="Q24" s="1">
        <f t="shared" si="1"/>
        <v>0.63468558641813289</v>
      </c>
      <c r="R24" s="1"/>
    </row>
    <row r="25" spans="1:18" ht="30" customHeight="1">
      <c r="A25" t="str">
        <f>_xlfn.LET(_xlpm.c,_xlfn.SINGLE(Table1[condition]),_xlfn.TEXTBEFORE(_xlpm.c,"-"))</f>
        <v>german</v>
      </c>
      <c r="B25">
        <f>_xlfn.LET(_xlpm.c,_xlfn.SINGLE(Table1[condition]),IF(RIGHT(_xlpm.c,2)="1g",1,0))</f>
        <v>0</v>
      </c>
      <c r="C25" t="s">
        <v>28</v>
      </c>
      <c r="D25" s="1">
        <v>0.80949492701882098</v>
      </c>
      <c r="E25" s="1">
        <v>0.40000695549376297</v>
      </c>
      <c r="F25" s="1">
        <v>0.63303196182039601</v>
      </c>
      <c r="G25" s="1">
        <v>0.75725957335008298</v>
      </c>
      <c r="H25" s="1">
        <v>0.69400636805570304</v>
      </c>
      <c r="I25" s="1">
        <v>0.73343761229177196</v>
      </c>
      <c r="J25" s="1">
        <v>0.69416932251152397</v>
      </c>
      <c r="K25" s="1">
        <v>0.84758174021563504</v>
      </c>
      <c r="L25" s="1">
        <v>0.88862251076537102</v>
      </c>
      <c r="M25" s="1">
        <v>0.66391425452673003</v>
      </c>
      <c r="N25" s="1">
        <v>0.66767901904718396</v>
      </c>
      <c r="O25" s="1">
        <v>0.58481473382214899</v>
      </c>
      <c r="P25" s="1">
        <v>0.56086767798778503</v>
      </c>
      <c r="Q25" s="1">
        <f t="shared" si="1"/>
        <v>0.68729897360822423</v>
      </c>
      <c r="R25" s="1"/>
    </row>
    <row r="26" spans="1:18" ht="30" customHeight="1">
      <c r="A26" t="str">
        <f>_xlfn.LET(_xlpm.c,_xlfn.SINGLE(Table1[condition]),_xlfn.TEXTBEFORE(_xlpm.c,"-"))</f>
        <v>german</v>
      </c>
      <c r="B26">
        <f>_xlfn.LET(_xlpm.c,_xlfn.SINGLE(Table1[condition]),IF(RIGHT(_xlpm.c,2)="1g",1,0))</f>
        <v>0</v>
      </c>
      <c r="C26" t="s">
        <v>29</v>
      </c>
      <c r="D26" s="1">
        <v>0.83796736162477603</v>
      </c>
      <c r="E26" s="1">
        <v>0.76310217735856001</v>
      </c>
      <c r="F26" s="1">
        <v>0.77444335444249601</v>
      </c>
      <c r="G26" s="1">
        <v>0.76182451194929901</v>
      </c>
      <c r="H26" s="1">
        <v>0.73340579599243905</v>
      </c>
      <c r="I26" s="1">
        <v>0.48669115448692801</v>
      </c>
      <c r="J26" s="1">
        <v>0.83829549280353799</v>
      </c>
      <c r="K26" s="1">
        <v>0.70772855736303797</v>
      </c>
      <c r="L26" s="1">
        <v>0.65244860421964501</v>
      </c>
      <c r="M26" s="1">
        <v>0.63005825397354098</v>
      </c>
      <c r="N26" s="1">
        <v>0.658030202282326</v>
      </c>
      <c r="O26" s="1">
        <v>0.42700725774378401</v>
      </c>
      <c r="P26" s="1">
        <v>0.68371233314942903</v>
      </c>
      <c r="Q26" s="1">
        <f t="shared" si="0"/>
        <v>0.68882423518383074</v>
      </c>
      <c r="R26" s="1"/>
    </row>
    <row r="27" spans="1:18" ht="30" customHeight="1">
      <c r="A27" t="str">
        <f>_xlfn.LET(_xlpm.c,_xlfn.SINGLE(Table1[condition]),_xlfn.TEXTBEFORE(_xlpm.c,"-"))</f>
        <v>german</v>
      </c>
      <c r="B27">
        <f>_xlfn.LET(_xlpm.c,_xlfn.SINGLE(Table1[condition]),IF(RIGHT(_xlpm.c,2)="1g",1,0))</f>
        <v>0</v>
      </c>
      <c r="C27" t="s">
        <v>30</v>
      </c>
      <c r="D27" s="1">
        <v>0.70761556790910096</v>
      </c>
      <c r="E27" s="1">
        <v>0.76544134653138596</v>
      </c>
      <c r="F27" s="1">
        <v>0.82860453782922705</v>
      </c>
      <c r="G27" s="1">
        <v>0.57714654313930702</v>
      </c>
      <c r="H27" s="1">
        <v>0.69906130634039099</v>
      </c>
      <c r="I27" s="1">
        <v>0.67888139169676698</v>
      </c>
      <c r="J27" s="1">
        <v>0.68981767635685998</v>
      </c>
      <c r="K27" s="1">
        <v>0.68453121550541196</v>
      </c>
      <c r="L27" s="1">
        <v>0.71601630102049596</v>
      </c>
      <c r="M27" s="1">
        <v>0.48693537977708701</v>
      </c>
      <c r="N27" s="1">
        <v>0.53064369446452497</v>
      </c>
      <c r="O27" s="1">
        <v>0.65095570271199199</v>
      </c>
      <c r="P27" s="1">
        <v>0.73984515979887899</v>
      </c>
      <c r="Q27" s="1">
        <f t="shared" si="0"/>
        <v>0.67349967869857152</v>
      </c>
      <c r="R27" s="1"/>
    </row>
    <row r="28" spans="1:18" ht="30" customHeight="1">
      <c r="A28" t="str">
        <f>_xlfn.LET(_xlpm.c,_xlfn.SINGLE(Table1[condition]),_xlfn.TEXTBEFORE(_xlpm.c,"-"))</f>
        <v>german</v>
      </c>
      <c r="B28">
        <f>_xlfn.LET(_xlpm.c,_xlfn.SINGLE(Table1[condition]),IF(RIGHT(_xlpm.c,2)="1g",1,0))</f>
        <v>0</v>
      </c>
      <c r="C28" t="s">
        <v>57</v>
      </c>
      <c r="D28" s="1">
        <v>0.83098596029403105</v>
      </c>
      <c r="E28" s="1">
        <v>0.77322770680618902</v>
      </c>
      <c r="F28" s="1">
        <v>0.74263126163214899</v>
      </c>
      <c r="G28" s="1">
        <v>0.65851531522179796</v>
      </c>
      <c r="H28" s="1">
        <v>0.77307423693035804</v>
      </c>
      <c r="I28" s="1">
        <v>0.58069831328740096</v>
      </c>
      <c r="J28" s="1">
        <v>0.71866460625143702</v>
      </c>
      <c r="K28" s="1">
        <v>0.65690272250579795</v>
      </c>
      <c r="L28" s="1">
        <v>0.55099674874754101</v>
      </c>
      <c r="M28" s="1">
        <v>0.55775043129926205</v>
      </c>
      <c r="N28" s="1">
        <v>0.57601727305718797</v>
      </c>
      <c r="O28" s="1">
        <v>0.40984425824464299</v>
      </c>
      <c r="P28" s="1">
        <v>0.62385658778317699</v>
      </c>
      <c r="Q28" s="1">
        <f t="shared" si="0"/>
        <v>0.65024349400469006</v>
      </c>
      <c r="R28" s="1"/>
    </row>
    <row r="29" spans="1:18" ht="30" customHeight="1">
      <c r="A29" t="str">
        <f>_xlfn.LET(_xlpm.c,_xlfn.SINGLE(Table1[condition]),_xlfn.TEXTBEFORE(_xlpm.c,"-"))</f>
        <v>german</v>
      </c>
      <c r="B29">
        <f>_xlfn.LET(_xlpm.c,_xlfn.SINGLE(Table1[condition]),IF(RIGHT(_xlpm.c,2)="1g",1,0))</f>
        <v>0</v>
      </c>
      <c r="C29" t="s">
        <v>58</v>
      </c>
      <c r="D29" s="1">
        <v>0.77426721238892904</v>
      </c>
      <c r="E29" s="1">
        <v>0.77819580512539699</v>
      </c>
      <c r="F29" s="1">
        <v>0.67207968909191995</v>
      </c>
      <c r="G29" s="1">
        <v>0.79417478116815399</v>
      </c>
      <c r="H29" s="1">
        <v>0.75223413327252397</v>
      </c>
      <c r="I29" s="1">
        <v>0.51299329891588696</v>
      </c>
      <c r="J29" s="1">
        <v>0.53209207164729899</v>
      </c>
      <c r="K29" s="1">
        <v>0.59457534522006295</v>
      </c>
      <c r="L29" s="1">
        <v>0.51228011084507097</v>
      </c>
      <c r="M29" s="1">
        <v>0.44215567668955402</v>
      </c>
      <c r="N29" s="1">
        <v>0.444457088160648</v>
      </c>
      <c r="O29" s="1">
        <v>0.619970125870416</v>
      </c>
      <c r="P29" s="1">
        <v>0.57966673531718804</v>
      </c>
      <c r="Q29" s="1">
        <f t="shared" si="0"/>
        <v>0.61608785182408077</v>
      </c>
      <c r="R29" s="1"/>
    </row>
    <row r="30" spans="1:18" ht="30" customHeight="1">
      <c r="A30" t="str">
        <f>_xlfn.LET(_xlpm.c,_xlfn.SINGLE(Table1[condition]),_xlfn.TEXTBEFORE(_xlpm.c,"-"))</f>
        <v>russian</v>
      </c>
      <c r="B30">
        <f>_xlfn.LET(_xlpm.c,_xlfn.SINGLE(Table1[condition]),IF(RIGHT(_xlpm.c,2)="1g",1,0))</f>
        <v>1</v>
      </c>
      <c r="C30" t="s">
        <v>31</v>
      </c>
      <c r="D30" s="1">
        <v>1</v>
      </c>
      <c r="E30" s="1">
        <v>1</v>
      </c>
      <c r="F30" s="1">
        <v>1</v>
      </c>
      <c r="G30" s="1">
        <v>1</v>
      </c>
      <c r="H30" s="1">
        <v>1</v>
      </c>
      <c r="I30" s="1">
        <v>1</v>
      </c>
      <c r="J30" s="1">
        <v>1</v>
      </c>
      <c r="K30" s="1">
        <v>1</v>
      </c>
      <c r="L30" s="1">
        <v>1</v>
      </c>
      <c r="M30" s="1">
        <v>1</v>
      </c>
      <c r="N30" s="1">
        <v>1</v>
      </c>
      <c r="O30" s="1">
        <v>1</v>
      </c>
      <c r="P30" s="1">
        <v>1</v>
      </c>
      <c r="Q30" s="1">
        <f t="shared" si="0"/>
        <v>1</v>
      </c>
      <c r="R30" s="1"/>
    </row>
    <row r="31" spans="1:18" ht="30" customHeight="1">
      <c r="A31" t="str">
        <f>_xlfn.LET(_xlpm.c,_xlfn.SINGLE(Table1[condition]),_xlfn.TEXTBEFORE(_xlpm.c,"-"))</f>
        <v>russian</v>
      </c>
      <c r="B31">
        <f>_xlfn.LET(_xlpm.c,_xlfn.SINGLE(Table1[condition]),IF(RIGHT(_xlpm.c,2)="1g",1,0))</f>
        <v>0</v>
      </c>
      <c r="C31" t="s">
        <v>32</v>
      </c>
      <c r="D31" s="1">
        <v>1</v>
      </c>
      <c r="E31" s="1">
        <v>1</v>
      </c>
      <c r="F31" s="1">
        <v>1</v>
      </c>
      <c r="G31" s="1">
        <v>1</v>
      </c>
      <c r="H31" s="1">
        <v>1</v>
      </c>
      <c r="I31" s="1">
        <v>1</v>
      </c>
      <c r="J31" s="1">
        <v>1</v>
      </c>
      <c r="K31" s="1">
        <v>1</v>
      </c>
      <c r="L31" s="1">
        <v>1</v>
      </c>
      <c r="M31" s="1">
        <v>1</v>
      </c>
      <c r="N31" s="1">
        <v>1</v>
      </c>
      <c r="O31" s="1">
        <v>1</v>
      </c>
      <c r="P31" s="1">
        <v>1</v>
      </c>
      <c r="Q31" s="1">
        <f t="shared" si="0"/>
        <v>1</v>
      </c>
      <c r="R31" s="1"/>
    </row>
    <row r="32" spans="1:18" ht="30" customHeight="1">
      <c r="A32" t="str">
        <f>_xlfn.LET(_xlpm.c,_xlfn.SINGLE(Table1[condition]),_xlfn.TEXTBEFORE(_xlpm.c,"-"))</f>
        <v>russian</v>
      </c>
      <c r="B32">
        <f>_xlfn.LET(_xlpm.c,_xlfn.SINGLE(Table1[condition]),IF(RIGHT(_xlpm.c,2)="1g",1,0))</f>
        <v>0</v>
      </c>
      <c r="C32" t="s">
        <v>33</v>
      </c>
      <c r="D32" s="1">
        <v>1</v>
      </c>
      <c r="E32" s="1">
        <v>1</v>
      </c>
      <c r="F32" s="1">
        <v>1</v>
      </c>
      <c r="G32" s="1">
        <v>1</v>
      </c>
      <c r="H32" s="1">
        <v>1</v>
      </c>
      <c r="I32" s="1">
        <v>1</v>
      </c>
      <c r="J32" s="1">
        <v>1</v>
      </c>
      <c r="K32" s="1">
        <v>1</v>
      </c>
      <c r="L32" s="1">
        <v>1</v>
      </c>
      <c r="M32" s="1">
        <v>1</v>
      </c>
      <c r="N32" s="1">
        <v>1</v>
      </c>
      <c r="O32" s="1">
        <v>1</v>
      </c>
      <c r="P32" s="1">
        <v>1</v>
      </c>
      <c r="Q32" s="1">
        <f t="shared" si="0"/>
        <v>1</v>
      </c>
      <c r="R32" s="1"/>
    </row>
    <row r="33" spans="1:18" ht="30" customHeight="1">
      <c r="A33" t="str">
        <f>_xlfn.LET(_xlpm.c,_xlfn.SINGLE(Table1[condition]),_xlfn.TEXTBEFORE(_xlpm.c,"-"))</f>
        <v>russian</v>
      </c>
      <c r="B33">
        <f>_xlfn.LET(_xlpm.c,_xlfn.SINGLE(Table1[condition]),IF(RIGHT(_xlpm.c,2)="1g",1,0))</f>
        <v>0</v>
      </c>
      <c r="C33" t="s">
        <v>34</v>
      </c>
      <c r="D33" s="1">
        <v>1</v>
      </c>
      <c r="E33" s="1">
        <v>1</v>
      </c>
      <c r="F33" s="1">
        <v>1</v>
      </c>
      <c r="G33" s="1">
        <v>1</v>
      </c>
      <c r="H33" s="1">
        <v>1</v>
      </c>
      <c r="I33" s="1">
        <v>1</v>
      </c>
      <c r="J33" s="1">
        <v>1</v>
      </c>
      <c r="K33" s="1">
        <v>1</v>
      </c>
      <c r="L33" s="1">
        <v>0.97725722724702602</v>
      </c>
      <c r="M33" s="1">
        <v>0.98697776782947799</v>
      </c>
      <c r="N33" s="1">
        <v>1</v>
      </c>
      <c r="O33" s="1">
        <v>1</v>
      </c>
      <c r="P33" s="1">
        <v>0.82437545579975402</v>
      </c>
      <c r="Q33" s="1">
        <f t="shared" si="0"/>
        <v>0.98373926545201984</v>
      </c>
      <c r="R33" s="1"/>
    </row>
    <row r="34" spans="1:18" ht="30" customHeight="1">
      <c r="A34" t="str">
        <f>_xlfn.LET(_xlpm.c,_xlfn.SINGLE(Table1[condition]),_xlfn.TEXTBEFORE(_xlpm.c,"-"))</f>
        <v>russian</v>
      </c>
      <c r="B34">
        <f>_xlfn.LET(_xlpm.c,_xlfn.SINGLE(Table1[condition]),IF(RIGHT(_xlpm.c,2)="1g",1,0))</f>
        <v>0</v>
      </c>
      <c r="C34" t="s">
        <v>35</v>
      </c>
      <c r="D34" s="1">
        <v>1</v>
      </c>
      <c r="E34" s="1">
        <v>1</v>
      </c>
      <c r="F34" s="1">
        <v>1</v>
      </c>
      <c r="G34" s="1">
        <v>1</v>
      </c>
      <c r="H34" s="1">
        <v>0.98202180779031301</v>
      </c>
      <c r="I34" s="1">
        <v>0.91899175482222695</v>
      </c>
      <c r="J34" s="1">
        <v>0.98516970419197203</v>
      </c>
      <c r="K34" s="1">
        <v>0.99456184254765101</v>
      </c>
      <c r="L34" s="1">
        <v>0.995368284861881</v>
      </c>
      <c r="M34" s="1">
        <v>0.83779925749419804</v>
      </c>
      <c r="N34" s="1">
        <v>0.94953159731574799</v>
      </c>
      <c r="O34" s="1">
        <v>1</v>
      </c>
      <c r="P34" s="1">
        <v>0.87586629890421597</v>
      </c>
      <c r="Q34" s="1">
        <f t="shared" si="0"/>
        <v>0.96456234984063127</v>
      </c>
      <c r="R34" s="1"/>
    </row>
    <row r="35" spans="1:18" ht="30" customHeight="1">
      <c r="A35" t="str">
        <f>_xlfn.LET(_xlpm.c,_xlfn.SINGLE(Table1[condition]),_xlfn.TEXTBEFORE(_xlpm.c,"-"))</f>
        <v>russian</v>
      </c>
      <c r="B35">
        <f>_xlfn.LET(_xlpm.c,_xlfn.SINGLE(Table1[condition]),IF(RIGHT(_xlpm.c,2)="1g",1,0))</f>
        <v>0</v>
      </c>
      <c r="C35" t="s">
        <v>59</v>
      </c>
      <c r="D35" s="1">
        <v>1</v>
      </c>
      <c r="E35" s="1">
        <v>1</v>
      </c>
      <c r="F35" s="1">
        <v>1</v>
      </c>
      <c r="G35" s="1">
        <v>1</v>
      </c>
      <c r="H35" s="1">
        <v>0.98009926958513705</v>
      </c>
      <c r="I35" s="1">
        <v>1</v>
      </c>
      <c r="J35" s="1">
        <v>0.950540825021985</v>
      </c>
      <c r="K35" s="1">
        <v>0.95339912848577202</v>
      </c>
      <c r="L35" s="1">
        <v>0.901190182741609</v>
      </c>
      <c r="M35" s="1">
        <v>0.96024144288839497</v>
      </c>
      <c r="N35" s="1">
        <v>0.77579573037739502</v>
      </c>
      <c r="O35" s="1">
        <v>0.993100822318285</v>
      </c>
      <c r="P35" s="1">
        <v>0.98360370302675804</v>
      </c>
      <c r="Q35" s="1">
        <f t="shared" si="0"/>
        <v>0.96138239264964109</v>
      </c>
      <c r="R35" s="1"/>
    </row>
    <row r="36" spans="1:18" ht="30" customHeight="1">
      <c r="A36" t="str">
        <f>_xlfn.LET(_xlpm.c,_xlfn.SINGLE(Table1[condition]),_xlfn.TEXTBEFORE(_xlpm.c,"-"))</f>
        <v>russian</v>
      </c>
      <c r="B36">
        <f>_xlfn.LET(_xlpm.c,_xlfn.SINGLE(Table1[condition]),IF(RIGHT(_xlpm.c,2)="1g",1,0))</f>
        <v>0</v>
      </c>
      <c r="C36" t="s">
        <v>60</v>
      </c>
      <c r="D36" s="1">
        <v>0.99682300469537499</v>
      </c>
      <c r="E36" s="1">
        <v>1</v>
      </c>
      <c r="F36" s="1">
        <v>1</v>
      </c>
      <c r="G36" s="1">
        <v>0.98018731838637796</v>
      </c>
      <c r="H36" s="1">
        <v>1</v>
      </c>
      <c r="I36" s="1">
        <v>0.90928349905527495</v>
      </c>
      <c r="J36" s="1">
        <v>0.83812094613214205</v>
      </c>
      <c r="K36" s="1">
        <v>0.91877374229804398</v>
      </c>
      <c r="L36" s="1">
        <v>0.84228509564354304</v>
      </c>
      <c r="M36" s="1">
        <v>0.70305628237158302</v>
      </c>
      <c r="N36" s="1">
        <v>0.96296025323259804</v>
      </c>
      <c r="O36" s="1">
        <v>0.86956664691278496</v>
      </c>
      <c r="P36" s="1">
        <v>0.71534541921282502</v>
      </c>
      <c r="Q36" s="1">
        <f t="shared" si="0"/>
        <v>0.90280016984158062</v>
      </c>
      <c r="R36" s="1"/>
    </row>
    <row r="38" spans="1:18" ht="30" customHeight="1">
      <c r="C38" t="s">
        <v>39</v>
      </c>
    </row>
    <row r="39" spans="1:18" ht="30" customHeight="1">
      <c r="C39" t="s">
        <v>40</v>
      </c>
      <c r="D39" s="2">
        <f>_xlfn.LET(_xlpm.d,D$2:D$36,AVERAGE(_xlpm.d))</f>
        <v>0.86298837429225594</v>
      </c>
      <c r="E39" s="2">
        <f t="shared" ref="E39:Q39" si="2">_xlfn.LET(_xlpm.d,E$2:E$36,AVERAGE(_xlpm.d))</f>
        <v>0.82010690436650202</v>
      </c>
      <c r="F39" s="2">
        <f t="shared" si="2"/>
        <v>0.81278681861310587</v>
      </c>
      <c r="G39" s="2">
        <f t="shared" si="2"/>
        <v>0.81396430127896113</v>
      </c>
      <c r="H39" s="2">
        <f t="shared" si="2"/>
        <v>0.78724916280425516</v>
      </c>
      <c r="I39" s="2">
        <f t="shared" si="2"/>
        <v>0.76826901666232239</v>
      </c>
      <c r="J39" s="2">
        <f t="shared" si="2"/>
        <v>0.78159956571108746</v>
      </c>
      <c r="K39" s="2">
        <f t="shared" si="2"/>
        <v>0.73020935567178891</v>
      </c>
      <c r="L39" s="2">
        <f t="shared" si="2"/>
        <v>0.76794533390745334</v>
      </c>
      <c r="M39" s="2">
        <f t="shared" si="2"/>
        <v>0.72003591591977523</v>
      </c>
      <c r="N39" s="2">
        <f t="shared" si="2"/>
        <v>0.72269070519624812</v>
      </c>
      <c r="O39" s="2">
        <f t="shared" si="2"/>
        <v>0.75029931403128935</v>
      </c>
      <c r="P39" s="2">
        <f t="shared" si="2"/>
        <v>0.70866660410973425</v>
      </c>
      <c r="Q39" s="2">
        <f t="shared" si="2"/>
        <v>0.7728316440434444</v>
      </c>
    </row>
    <row r="40" spans="1:18" ht="30" customHeight="1">
      <c r="C40" t="s">
        <v>41</v>
      </c>
      <c r="D40" s="2" cm="1">
        <f t="array" ref="D40">_xlfn.LET(_xlpm.d,D$2:D$36,_xlpm.f,$A$2:$A$36,_xlpm.k,$C40,AVERAGE(_xlfn._xlws.FILTER(_xlpm.d,_xlpm.f=_xlpm.k)))</f>
        <v>0.99879128064137912</v>
      </c>
      <c r="E40" s="2" cm="1">
        <f t="array" ref="E40">_xlfn.LET(_xlpm.d,E$2:E$36,_xlpm.f,$A$2:$A$36,_xlpm.k,$C40,AVERAGE(_xlfn._xlws.FILTER(_xlpm.d,_xlpm.f=_xlpm.k)))</f>
        <v>0.99899824962416517</v>
      </c>
      <c r="F40" s="2" cm="1">
        <f t="array" ref="F40">_xlfn.LET(_xlpm.d,F$2:F$36,_xlpm.f,$A$2:$A$36,_xlpm.k,$C40,AVERAGE(_xlfn._xlws.FILTER(_xlpm.d,_xlpm.f=_xlpm.k)))</f>
        <v>0.99335402096471381</v>
      </c>
      <c r="G40" s="2" cm="1">
        <f t="array" ref="G40">_xlfn.LET(_xlpm.d,G$2:G$36,_xlpm.f,$A$2:$A$36,_xlpm.k,$C40,AVERAGE(_xlfn._xlws.FILTER(_xlpm.d,_xlpm.f=_xlpm.k)))</f>
        <v>0.99867180284784784</v>
      </c>
      <c r="H40" s="2" cm="1">
        <f t="array" ref="H40">_xlfn.LET(_xlpm.d,H$2:H$36,_xlpm.f,$A$2:$A$36,_xlpm.k,$C40,AVERAGE(_xlfn._xlws.FILTER(_xlpm.d,_xlpm.f=_xlpm.k)))</f>
        <v>0.99505235343274001</v>
      </c>
      <c r="I40" s="2" cm="1">
        <f t="array" ref="I40">_xlfn.LET(_xlpm.d,I$2:I$36,_xlpm.f,$A$2:$A$36,_xlpm.k,$C40,AVERAGE(_xlfn._xlws.FILTER(_xlpm.d,_xlpm.f=_xlpm.k)))</f>
        <v>0.97961481473945244</v>
      </c>
      <c r="J40" s="2" cm="1">
        <f t="array" ref="J40">_xlfn.LET(_xlpm.d,J$2:J$36,_xlpm.f,$A$2:$A$36,_xlpm.k,$C40,AVERAGE(_xlfn._xlws.FILTER(_xlpm.d,_xlpm.f=_xlpm.k)))</f>
        <v>0.98939359157709383</v>
      </c>
      <c r="K40" s="2" cm="1">
        <f t="array" ref="K40">_xlfn.LET(_xlpm.d,K$2:K$36,_xlpm.f,$A$2:$A$36,_xlpm.k,$C40,AVERAGE(_xlfn._xlws.FILTER(_xlpm.d,_xlpm.f=_xlpm.k)))</f>
        <v>0.97822957453672121</v>
      </c>
      <c r="L40" s="2" cm="1">
        <f t="array" ref="L40">_xlfn.LET(_xlpm.d,L$2:L$36,_xlpm.f,$A$2:$A$36,_xlpm.k,$C40,AVERAGE(_xlfn._xlws.FILTER(_xlpm.d,_xlpm.f=_xlpm.k)))</f>
        <v>0.9803275791888062</v>
      </c>
      <c r="M40" s="2" cm="1">
        <f t="array" ref="M40">_xlfn.LET(_xlpm.d,M$2:M$36,_xlpm.f,$A$2:$A$36,_xlpm.k,$C40,AVERAGE(_xlfn._xlws.FILTER(_xlpm.d,_xlpm.f=_xlpm.k)))</f>
        <v>0.98054508680285413</v>
      </c>
      <c r="N40" s="2" cm="1">
        <f t="array" ref="N40">_xlfn.LET(_xlpm.d,N$2:N$36,_xlpm.f,$A$2:$A$36,_xlpm.k,$C40,AVERAGE(_xlfn._xlws.FILTER(_xlpm.d,_xlpm.f=_xlpm.k)))</f>
        <v>0.97708990542411855</v>
      </c>
      <c r="O40" s="2" cm="1">
        <f t="array" ref="O40">_xlfn.LET(_xlpm.d,O$2:O$36,_xlpm.f,$A$2:$A$36,_xlpm.k,$C40,AVERAGE(_xlfn._xlws.FILTER(_xlpm.d,_xlpm.f=_xlpm.k)))</f>
        <v>1</v>
      </c>
      <c r="P40" s="2" cm="1">
        <f t="array" ref="P40">_xlfn.LET(_xlpm.d,P$2:P$36,_xlpm.f,$A$2:$A$36,_xlpm.k,$C40,AVERAGE(_xlfn._xlws.FILTER(_xlpm.d,_xlpm.f=_xlpm.k)))</f>
        <v>0.94441570046580181</v>
      </c>
      <c r="Q40" s="2" cm="1">
        <f t="array" ref="Q40">_xlfn.LET(_xlpm.d,Q$2:Q$36,_xlpm.f,$A$2:$A$36,_xlpm.k,$C40,AVERAGE(_xlfn._xlws.FILTER(_xlpm.d,_xlpm.f=_xlpm.k)))</f>
        <v>0.98572953540351482</v>
      </c>
    </row>
    <row r="41" spans="1:18" ht="30" customHeight="1">
      <c r="C41" t="s">
        <v>42</v>
      </c>
      <c r="D41" s="2" cm="1">
        <f t="array" ref="D41">_xlfn.LET(_xlpm.d,D$2:D$36,_xlpm.f,$A$2:$A$36,_xlpm.k,$C41,AVERAGE(_xlfn._xlws.FILTER(_xlpm.d,_xlpm.f=_xlpm.k)))</f>
        <v>0.69452788363225471</v>
      </c>
      <c r="E41" s="2" cm="1">
        <f t="array" ref="E41">_xlfn.LET(_xlpm.d,E$2:E$36,_xlpm.f,$A$2:$A$36,_xlpm.k,$C41,AVERAGE(_xlfn._xlws.FILTER(_xlpm.d,_xlpm.f=_xlpm.k)))</f>
        <v>0.67454590310469698</v>
      </c>
      <c r="F41" s="2" cm="1">
        <f t="array" ref="F41">_xlfn.LET(_xlpm.d,F$2:F$36,_xlpm.f,$A$2:$A$36,_xlpm.k,$C41,AVERAGE(_xlfn._xlws.FILTER(_xlpm.d,_xlpm.f=_xlpm.k)))</f>
        <v>0.67356559132647142</v>
      </c>
      <c r="G41" s="2" cm="1">
        <f t="array" ref="G41">_xlfn.LET(_xlpm.d,G$2:G$36,_xlpm.f,$A$2:$A$36,_xlpm.k,$C41,AVERAGE(_xlfn._xlws.FILTER(_xlpm.d,_xlpm.f=_xlpm.k)))</f>
        <v>0.65010129316023468</v>
      </c>
      <c r="H41" s="2" cm="1">
        <f t="array" ref="H41">_xlfn.LET(_xlpm.d,H$2:H$36,_xlpm.f,$A$2:$A$36,_xlpm.k,$C41,AVERAGE(_xlfn._xlws.FILTER(_xlpm.d,_xlpm.f=_xlpm.k)))</f>
        <v>0.55092877924792139</v>
      </c>
      <c r="I41" s="2" cm="1">
        <f t="array" ref="I41">_xlfn.LET(_xlpm.d,I$2:I$36,_xlpm.f,$A$2:$A$36,_xlpm.k,$C41,AVERAGE(_xlfn._xlws.FILTER(_xlpm.d,_xlpm.f=_xlpm.k)))</f>
        <v>0.56765365913105637</v>
      </c>
      <c r="J41" s="2" cm="1">
        <f t="array" ref="J41">_xlfn.LET(_xlpm.d,J$2:J$36,_xlpm.f,$A$2:$A$36,_xlpm.k,$C41,AVERAGE(_xlfn._xlws.FILTER(_xlpm.d,_xlpm.f=_xlpm.k)))</f>
        <v>0.64802899656041257</v>
      </c>
      <c r="K41" s="2" cm="1">
        <f t="array" ref="K41">_xlfn.LET(_xlpm.d,K$2:K$36,_xlpm.f,$A$2:$A$36,_xlpm.k,$C41,AVERAGE(_xlfn._xlws.FILTER(_xlpm.d,_xlpm.f=_xlpm.k)))</f>
        <v>0.50162045258766164</v>
      </c>
      <c r="L41" s="2" cm="1">
        <f t="array" ref="L41">_xlfn.LET(_xlpm.d,L$2:L$36,_xlpm.f,$A$2:$A$36,_xlpm.k,$C41,AVERAGE(_xlfn._xlws.FILTER(_xlpm.d,_xlpm.f=_xlpm.k)))</f>
        <v>0.60957557804344931</v>
      </c>
      <c r="M41" s="2" cm="1">
        <f t="array" ref="M41">_xlfn.LET(_xlpm.d,M$2:M$36,_xlpm.f,$A$2:$A$36,_xlpm.k,$C41,AVERAGE(_xlfn._xlws.FILTER(_xlpm.d,_xlpm.f=_xlpm.k)))</f>
        <v>0.49956698069800731</v>
      </c>
      <c r="N41" s="2" cm="1">
        <f t="array" ref="N41">_xlfn.LET(_xlpm.d,N$2:N$36,_xlpm.f,$A$2:$A$36,_xlpm.k,$C41,AVERAGE(_xlfn._xlws.FILTER(_xlpm.d,_xlpm.f=_xlpm.k)))</f>
        <v>0.60761819932000261</v>
      </c>
      <c r="O41" s="2" cm="1">
        <f t="array" ref="O41">_xlfn.LET(_xlpm.d,O$2:O$36,_xlpm.f,$A$2:$A$36,_xlpm.k,$C41,AVERAGE(_xlfn._xlws.FILTER(_xlpm.d,_xlpm.f=_xlpm.k)))</f>
        <v>0.58925939882317657</v>
      </c>
      <c r="P41" s="2" cm="1">
        <f t="array" ref="P41">_xlfn.LET(_xlpm.d,P$2:P$36,_xlpm.f,$A$2:$A$36,_xlpm.k,$C41,AVERAGE(_xlfn._xlws.FILTER(_xlpm.d,_xlpm.f=_xlpm.k)))</f>
        <v>0.50493965092672666</v>
      </c>
      <c r="Q41" s="2" cm="1">
        <f t="array" ref="Q41">_xlfn.LET(_xlpm.d,Q$2:Q$36,_xlpm.f,$A$2:$A$36,_xlpm.k,$C41,AVERAGE(_xlfn._xlws.FILTER(_xlpm.d,_xlpm.f=_xlpm.k)))</f>
        <v>0.59784095127400561</v>
      </c>
    </row>
    <row r="42" spans="1:18" ht="30" customHeight="1">
      <c r="C42" t="s">
        <v>43</v>
      </c>
      <c r="D42" s="2" cm="1">
        <f t="array" ref="D42">_xlfn.LET(_xlpm.d,D$2:D$36,_xlpm.f,$A$2:$A$36,_xlpm.k,$C42,AVERAGE(_xlfn._xlws.FILTER(_xlpm.d,_xlpm.f=_xlpm.k)))</f>
        <v>0.80931223560958809</v>
      </c>
      <c r="E42" s="2" cm="1">
        <f t="array" ref="E42">_xlfn.LET(_xlpm.d,E$2:E$36,_xlpm.f,$A$2:$A$36,_xlpm.k,$C42,AVERAGE(_xlfn._xlws.FILTER(_xlpm.d,_xlpm.f=_xlpm.k)))</f>
        <v>0.70642232577962993</v>
      </c>
      <c r="F42" s="2" cm="1">
        <f t="array" ref="F42">_xlfn.LET(_xlpm.d,F$2:F$36,_xlpm.f,$A$2:$A$36,_xlpm.k,$C42,AVERAGE(_xlfn._xlws.FILTER(_xlpm.d,_xlpm.f=_xlpm.k)))</f>
        <v>0.68329121632094447</v>
      </c>
      <c r="G42" s="2" cm="1">
        <f t="array" ref="G42">_xlfn.LET(_xlpm.d,G$2:G$36,_xlpm.f,$A$2:$A$36,_xlpm.k,$C42,AVERAGE(_xlfn._xlws.FILTER(_xlpm.d,_xlpm.f=_xlpm.k)))</f>
        <v>0.69615949684672318</v>
      </c>
      <c r="H42" s="2" cm="1">
        <f t="array" ref="H42">_xlfn.LET(_xlpm.d,H$2:H$36,_xlpm.f,$A$2:$A$36,_xlpm.k,$C42,AVERAGE(_xlfn._xlws.FILTER(_xlpm.d,_xlpm.f=_xlpm.k)))</f>
        <v>0.6678483514983421</v>
      </c>
      <c r="I42" s="2" cm="1">
        <f t="array" ref="I42">_xlfn.LET(_xlpm.d,I$2:I$36,_xlpm.f,$A$2:$A$36,_xlpm.k,$C42,AVERAGE(_xlfn._xlws.FILTER(_xlpm.d,_xlpm.f=_xlpm.k)))</f>
        <v>0.67352378468787866</v>
      </c>
      <c r="J42" s="2" cm="1">
        <f t="array" ref="J42">_xlfn.LET(_xlpm.d,J$2:J$36,_xlpm.f,$A$2:$A$36,_xlpm.k,$C42,AVERAGE(_xlfn._xlws.FILTER(_xlpm.d,_xlpm.f=_xlpm.k)))</f>
        <v>0.62929635749123247</v>
      </c>
      <c r="K42" s="2" cm="1">
        <f t="array" ref="K42">_xlfn.LET(_xlpm.d,K$2:K$36,_xlpm.f,$A$2:$A$36,_xlpm.k,$C42,AVERAGE(_xlfn._xlws.FILTER(_xlpm.d,_xlpm.f=_xlpm.k)))</f>
        <v>0.51121009830940156</v>
      </c>
      <c r="L42" s="2" cm="1">
        <f t="array" ref="L42">_xlfn.LET(_xlpm.d,L$2:L$36,_xlpm.f,$A$2:$A$36,_xlpm.k,$C42,AVERAGE(_xlfn._xlws.FILTER(_xlpm.d,_xlpm.f=_xlpm.k)))</f>
        <v>0.62666786928921303</v>
      </c>
      <c r="M42" s="2" cm="1">
        <f t="array" ref="M42">_xlfn.LET(_xlpm.d,M$2:M$36,_xlpm.f,$A$2:$A$36,_xlpm.k,$C42,AVERAGE(_xlfn._xlws.FILTER(_xlpm.d,_xlpm.f=_xlpm.k)))</f>
        <v>0.63372344362522315</v>
      </c>
      <c r="N42" s="2" cm="1">
        <f t="array" ref="N42">_xlfn.LET(_xlpm.d,N$2:N$36,_xlpm.f,$A$2:$A$36,_xlpm.k,$C42,AVERAGE(_xlfn._xlws.FILTER(_xlpm.d,_xlpm.f=_xlpm.k)))</f>
        <v>0.54474032374383607</v>
      </c>
      <c r="O42" s="2" cm="1">
        <f t="array" ref="O42">_xlfn.LET(_xlpm.d,O$2:O$36,_xlpm.f,$A$2:$A$36,_xlpm.k,$C42,AVERAGE(_xlfn._xlws.FILTER(_xlpm.d,_xlpm.f=_xlpm.k)))</f>
        <v>0.60926887642105776</v>
      </c>
      <c r="P42" s="2" cm="1">
        <f t="array" ref="P42">_xlfn.LET(_xlpm.d,P$2:P$36,_xlpm.f,$A$2:$A$36,_xlpm.k,$C42,AVERAGE(_xlfn._xlws.FILTER(_xlpm.d,_xlpm.f=_xlpm.k)))</f>
        <v>0.52052260822276897</v>
      </c>
      <c r="Q42" s="2" cm="1">
        <f t="array" ref="Q42">_xlfn.LET(_xlpm.d,Q$2:Q$36,_xlpm.f,$A$2:$A$36,_xlpm.k,$C42,AVERAGE(_xlfn._xlws.FILTER(_xlpm.d,_xlpm.f=_xlpm.k)))</f>
        <v>0.63938361444967995</v>
      </c>
    </row>
    <row r="43" spans="1:18" ht="30" customHeight="1">
      <c r="C43" t="s">
        <v>44</v>
      </c>
      <c r="D43" s="2" cm="1">
        <f t="array" ref="D43">_xlfn.LET(_xlpm.d,D$2:D$36,_xlpm.f,$A$2:$A$36,_xlpm.k,$C43,AVERAGE(_xlfn._xlws.FILTER(_xlpm.d,_xlpm.f=_xlpm.k)))</f>
        <v>0.81276432805014731</v>
      </c>
      <c r="E43" s="2" cm="1">
        <f t="array" ref="E43">_xlfn.LET(_xlpm.d,E$2:E$36,_xlpm.f,$A$2:$A$36,_xlpm.k,$C43,AVERAGE(_xlfn._xlws.FILTER(_xlpm.d,_xlpm.f=_xlpm.k)))</f>
        <v>0.72056804332401825</v>
      </c>
      <c r="F43" s="2" cm="1">
        <f t="array" ref="F43">_xlfn.LET(_xlpm.d,F$2:F$36,_xlpm.f,$A$2:$A$36,_xlpm.k,$C43,AVERAGE(_xlfn._xlws.FILTER(_xlpm.d,_xlpm.f=_xlpm.k)))</f>
        <v>0.71372326445339918</v>
      </c>
      <c r="G43" s="2" cm="1">
        <f t="array" ref="G43">_xlfn.LET(_xlpm.d,G$2:G$36,_xlpm.f,$A$2:$A$36,_xlpm.k,$C43,AVERAGE(_xlfn._xlws.FILTER(_xlpm.d,_xlpm.f=_xlpm.k)))</f>
        <v>0.72771929662766099</v>
      </c>
      <c r="H43" s="2" cm="1">
        <f t="array" ref="H43">_xlfn.LET(_xlpm.d,H$2:H$36,_xlpm.f,$A$2:$A$36,_xlpm.k,$C43,AVERAGE(_xlfn._xlws.FILTER(_xlpm.d,_xlpm.f=_xlpm.k)))</f>
        <v>0.72782760450292283</v>
      </c>
      <c r="I43" s="2" cm="1">
        <f t="array" ref="I43">_xlfn.LET(_xlpm.d,I$2:I$36,_xlpm.f,$A$2:$A$36,_xlpm.k,$C43,AVERAGE(_xlfn._xlws.FILTER(_xlpm.d,_xlpm.f=_xlpm.k)))</f>
        <v>0.6450849313421535</v>
      </c>
      <c r="J43" s="2" cm="1">
        <f t="array" ref="J43">_xlfn.LET(_xlpm.d,J$2:J$36,_xlpm.f,$A$2:$A$36,_xlpm.k,$C43,AVERAGE(_xlfn._xlws.FILTER(_xlpm.d,_xlpm.f=_xlpm.k)))</f>
        <v>0.67358867216297014</v>
      </c>
      <c r="K43" s="2" cm="1">
        <f t="array" ref="K43">_xlfn.LET(_xlpm.d,K$2:K$36,_xlpm.f,$A$2:$A$36,_xlpm.k,$C43,AVERAGE(_xlfn._xlws.FILTER(_xlpm.d,_xlpm.f=_xlpm.k)))</f>
        <v>0.67902455102066561</v>
      </c>
      <c r="L43" s="2" cm="1">
        <f t="array" ref="L43">_xlfn.LET(_xlpm.d,L$2:L$36,_xlpm.f,$A$2:$A$36,_xlpm.k,$C43,AVERAGE(_xlfn._xlws.FILTER(_xlpm.d,_xlpm.f=_xlpm.k)))</f>
        <v>0.66371267294521807</v>
      </c>
      <c r="M43" s="2" cm="1">
        <f t="array" ref="M43">_xlfn.LET(_xlpm.d,M$2:M$36,_xlpm.f,$A$2:$A$36,_xlpm.k,$C43,AVERAGE(_xlfn._xlws.FILTER(_xlpm.d,_xlpm.f=_xlpm.k)))</f>
        <v>0.55947624696084053</v>
      </c>
      <c r="N43" s="2" cm="1">
        <f t="array" ref="N43">_xlfn.LET(_xlpm.d,N$2:N$36,_xlpm.f,$A$2:$A$36,_xlpm.k,$C43,AVERAGE(_xlfn._xlws.FILTER(_xlpm.d,_xlpm.f=_xlpm.k)))</f>
        <v>0.52853544307531919</v>
      </c>
      <c r="O43" s="2" cm="1">
        <f t="array" ref="O43">_xlfn.LET(_xlpm.d,O$2:O$36,_xlpm.f,$A$2:$A$36,_xlpm.k,$C43,AVERAGE(_xlfn._xlws.FILTER(_xlpm.d,_xlpm.f=_xlpm.k)))</f>
        <v>0.57258722787920202</v>
      </c>
      <c r="P43" s="2" cm="1">
        <f t="array" ref="P43">_xlfn.LET(_xlpm.d,P$2:P$36,_xlpm.f,$A$2:$A$36,_xlpm.k,$C43,AVERAGE(_xlfn._xlws.FILTER(_xlpm.d,_xlpm.f=_xlpm.k)))</f>
        <v>0.65928493565572399</v>
      </c>
      <c r="Q43" s="2" cm="1">
        <f t="array" ref="Q43">_xlfn.LET(_xlpm.d,Q$2:Q$36,_xlpm.f,$A$2:$A$36,_xlpm.k,$C43,AVERAGE(_xlfn._xlws.FILTER(_xlpm.d,_xlpm.f=_xlpm.k)))</f>
        <v>0.66799209369232637</v>
      </c>
    </row>
    <row r="44" spans="1:18" ht="30" customHeight="1">
      <c r="C44" t="s">
        <v>45</v>
      </c>
      <c r="D44" s="2" cm="1">
        <f t="array" ref="D44">_xlfn.LET(_xlpm.d,D$2:D$36,_xlpm.f,$A$2:$A$36,_xlpm.k,$C44,AVERAGE(_xlfn._xlws.FILTER(_xlpm.d,_xlpm.f=_xlpm.k)))</f>
        <v>0.99954614352791071</v>
      </c>
      <c r="E44" s="2" cm="1">
        <f t="array" ref="E44">_xlfn.LET(_xlpm.d,E$2:E$36,_xlpm.f,$A$2:$A$36,_xlpm.k,$C44,AVERAGE(_xlfn._xlws.FILTER(_xlpm.d,_xlpm.f=_xlpm.k)))</f>
        <v>1</v>
      </c>
      <c r="F44" s="2" cm="1">
        <f t="array" ref="F44">_xlfn.LET(_xlpm.d,F$2:F$36,_xlpm.f,$A$2:$A$36,_xlpm.k,$C44,AVERAGE(_xlfn._xlws.FILTER(_xlpm.d,_xlpm.f=_xlpm.k)))</f>
        <v>1</v>
      </c>
      <c r="G44" s="2" cm="1">
        <f t="array" ref="G44">_xlfn.LET(_xlpm.d,G$2:G$36,_xlpm.f,$A$2:$A$36,_xlpm.k,$C44,AVERAGE(_xlfn._xlws.FILTER(_xlpm.d,_xlpm.f=_xlpm.k)))</f>
        <v>0.99716961691233963</v>
      </c>
      <c r="H44" s="2" cm="1">
        <f t="array" ref="H44">_xlfn.LET(_xlpm.d,H$2:H$36,_xlpm.f,$A$2:$A$36,_xlpm.k,$C44,AVERAGE(_xlfn._xlws.FILTER(_xlpm.d,_xlpm.f=_xlpm.k)))</f>
        <v>0.99458872533935005</v>
      </c>
      <c r="I44" s="2" cm="1">
        <f t="array" ref="I44">_xlfn.LET(_xlpm.d,I$2:I$36,_xlpm.f,$A$2:$A$36,_xlpm.k,$C44,AVERAGE(_xlfn._xlws.FILTER(_xlpm.d,_xlpm.f=_xlpm.k)))</f>
        <v>0.97546789341107165</v>
      </c>
      <c r="J44" s="2" cm="1">
        <f t="array" ref="J44">_xlfn.LET(_xlpm.d,J$2:J$36,_xlpm.f,$A$2:$A$36,_xlpm.k,$C44,AVERAGE(_xlfn._xlws.FILTER(_xlpm.d,_xlpm.f=_xlpm.k)))</f>
        <v>0.96769021076372852</v>
      </c>
      <c r="K44" s="2" cm="1">
        <f t="array" ref="K44">_xlfn.LET(_xlpm.d,K$2:K$36,_xlpm.f,$A$2:$A$36,_xlpm.k,$C44,AVERAGE(_xlfn._xlws.FILTER(_xlpm.d,_xlpm.f=_xlpm.k)))</f>
        <v>0.9809621019044954</v>
      </c>
      <c r="L44" s="2" cm="1">
        <f t="array" ref="L44">_xlfn.LET(_xlpm.d,L$2:L$36,_xlpm.f,$A$2:$A$36,_xlpm.k,$C44,AVERAGE(_xlfn._xlws.FILTER(_xlpm.d,_xlpm.f=_xlpm.k)))</f>
        <v>0.95944297007057988</v>
      </c>
      <c r="M44" s="2" cm="1">
        <f t="array" ref="M44">_xlfn.LET(_xlpm.d,M$2:M$36,_xlpm.f,$A$2:$A$36,_xlpm.k,$C44,AVERAGE(_xlfn._xlws.FILTER(_xlpm.d,_xlpm.f=_xlpm.k)))</f>
        <v>0.92686782151195057</v>
      </c>
      <c r="N44" s="2" cm="1">
        <f t="array" ref="N44">_xlfn.LET(_xlpm.d,N$2:N$36,_xlpm.f,$A$2:$A$36,_xlpm.k,$C44,AVERAGE(_xlfn._xlws.FILTER(_xlpm.d,_xlpm.f=_xlpm.k)))</f>
        <v>0.95546965441796317</v>
      </c>
      <c r="O44" s="2" cm="1">
        <f t="array" ref="O44">_xlfn.LET(_xlpm.d,O$2:O$36,_xlpm.f,$A$2:$A$36,_xlpm.k,$C44,AVERAGE(_xlfn._xlws.FILTER(_xlpm.d,_xlpm.f=_xlpm.k)))</f>
        <v>0.98038106703300998</v>
      </c>
      <c r="P44" s="2" cm="1">
        <f t="array" ref="P44">_xlfn.LET(_xlpm.d,P$2:P$36,_xlpm.f,$A$2:$A$36,_xlpm.k,$C44,AVERAGE(_xlfn._xlws.FILTER(_xlpm.d,_xlpm.f=_xlpm.k)))</f>
        <v>0.91417012527765051</v>
      </c>
      <c r="Q44" s="2" cm="1">
        <f t="array" ref="Q44">_xlfn.LET(_xlpm.d,Q$2:Q$36,_xlpm.f,$A$2:$A$36,_xlpm.k,$C44,AVERAGE(_xlfn._xlws.FILTER(_xlpm.d,_xlpm.f=_xlpm.k)))</f>
        <v>0.97321202539769625</v>
      </c>
    </row>
    <row r="46" spans="1:18" ht="30" customHeight="1">
      <c r="C46" t="s">
        <v>46</v>
      </c>
    </row>
    <row r="47" spans="1:18" ht="30" customHeight="1">
      <c r="C47" t="s">
        <v>40</v>
      </c>
      <c r="D47" s="2" cm="1">
        <f t="array" ref="D47">_xlfn.LET(_xlpm.d,D$2:D$36,_xlpm.g,$B$2:$B$36,_xlpm.k,$C47,AVERAGE(_xlfn._xlws.FILTER(_xlpm.d,(_xlpm.g=0))))</f>
        <v>0.84015310334096527</v>
      </c>
      <c r="E47" s="2" cm="1">
        <f t="array" ref="E47">_xlfn.LET(_xlpm.d,E$2:E$36,_xlpm.g,$B$2:$B$36,_xlpm.k,$C47,AVERAGE(_xlfn._xlws.FILTER(_xlpm.d,(_xlpm.g=0))))</f>
        <v>0.80623097819891443</v>
      </c>
      <c r="F47" s="2" cm="1">
        <f t="array" ref="F47">_xlfn.LET(_xlpm.d,F$2:F$36,_xlpm.g,$B$2:$B$36,_xlpm.k,$C47,AVERAGE(_xlfn._xlws.FILTER(_xlpm.d,(_xlpm.g=0))))</f>
        <v>0.80219621282297437</v>
      </c>
      <c r="G47" s="2" cm="1">
        <f t="array" ref="G47">_xlfn.LET(_xlpm.d,G$2:G$36,_xlpm.g,$B$2:$B$36,_xlpm.k,$C47,AVERAGE(_xlfn._xlws.FILTER(_xlpm.d,(_xlpm.g=0))))</f>
        <v>0.79909919261398643</v>
      </c>
      <c r="H47" s="2" cm="1">
        <f t="array" ref="H47">_xlfn.LET(_xlpm.d,H$2:H$36,_xlpm.g,$B$2:$B$36,_xlpm.k,$C47,AVERAGE(_xlfn._xlws.FILTER(_xlpm.d,(_xlpm.g=0))))</f>
        <v>0.76835861005366746</v>
      </c>
      <c r="I47" s="2" cm="1">
        <f t="array" ref="I47">_xlfn.LET(_xlpm.d,I$2:I$36,_xlpm.g,$B$2:$B$36,_xlpm.k,$C47,AVERAGE(_xlfn._xlws.FILTER(_xlpm.d,(_xlpm.g=0))))</f>
        <v>0.75151081229285921</v>
      </c>
      <c r="J47" s="2" cm="1">
        <f t="array" ref="J47">_xlfn.LET(_xlpm.d,J$2:J$36,_xlpm.g,$B$2:$B$36,_xlpm.k,$C47,AVERAGE(_xlfn._xlws.FILTER(_xlpm.d,(_xlpm.g=0))))</f>
        <v>0.77900070111068875</v>
      </c>
      <c r="K47" s="2" cm="1">
        <f t="array" ref="K47">_xlfn.LET(_xlpm.d,K$2:K$36,_xlpm.g,$B$2:$B$36,_xlpm.k,$C47,AVERAGE(_xlfn._xlws.FILTER(_xlpm.d,(_xlpm.g=0))))</f>
        <v>0.71787237273252258</v>
      </c>
      <c r="L47" s="2" cm="1">
        <f t="array" ref="L47">_xlfn.LET(_xlpm.d,L$2:L$36,_xlpm.g,$B$2:$B$36,_xlpm.k,$C47,AVERAGE(_xlfn._xlws.FILTER(_xlpm.d,(_xlpm.g=0))))</f>
        <v>0.76128355422679195</v>
      </c>
      <c r="M47" s="2" cm="1">
        <f t="array" ref="M47">_xlfn.LET(_xlpm.d,M$2:M$36,_xlpm.g,$B$2:$B$36,_xlpm.k,$C47,AVERAGE(_xlfn._xlws.FILTER(_xlpm.d,(_xlpm.g=0))))</f>
        <v>0.73045284093021867</v>
      </c>
      <c r="N47" s="2" cm="1">
        <f t="array" ref="N47">_xlfn.LET(_xlpm.d,N$2:N$36,_xlpm.g,$B$2:$B$36,_xlpm.k,$C47,AVERAGE(_xlfn._xlws.FILTER(_xlpm.d,(_xlpm.g=0))))</f>
        <v>0.70321197892124909</v>
      </c>
      <c r="O47" s="2" cm="1">
        <f t="array" ref="O47">_xlfn.LET(_xlpm.d,O$2:O$36,_xlpm.g,$B$2:$B$36,_xlpm.k,$C47,AVERAGE(_xlfn._xlws.FILTER(_xlpm.d,(_xlpm.g=0))))</f>
        <v>0.73142030967020877</v>
      </c>
      <c r="P47" s="2" cm="1">
        <f t="array" ref="P47">_xlfn.LET(_xlpm.d,P$2:P$36,_xlpm.g,$B$2:$B$36,_xlpm.k,$C47,AVERAGE(_xlfn._xlws.FILTER(_xlpm.d,(_xlpm.g=0))))</f>
        <v>0.69340797269761778</v>
      </c>
      <c r="Q47" s="2" cm="1">
        <f t="array" ref="Q47">_xlfn.LET(_xlpm.d,Q$2:Q$36,_xlpm.g,$B$2:$B$36,_xlpm.k,$C47,AVERAGE(_xlfn._xlws.FILTER(_xlpm.d,(_xlpm.g=0))))</f>
        <v>0.76032297227789702</v>
      </c>
    </row>
    <row r="48" spans="1:18" ht="30" customHeight="1">
      <c r="C48" t="s">
        <v>41</v>
      </c>
      <c r="D48" s="2" cm="1">
        <f t="array" ref="D48">_xlfn.LET(_xlpm.d,D$2:D$36,_xlpm.f,$A$2:$A$36,_xlpm.g,$B$2:$B$36,_xlpm.k,$C48,AVERAGE(_xlfn._xlws.FILTER(_xlpm.d,(_xlpm.f=_xlpm.k)*(_xlpm.g=0))))</f>
        <v>0.99858982741494229</v>
      </c>
      <c r="E48" s="2" cm="1">
        <f t="array" ref="E48">_xlfn.LET(_xlpm.d,E$2:E$36,_xlpm.f,$A$2:$A$36,_xlpm.g,$B$2:$B$36,_xlpm.k,$C48,AVERAGE(_xlfn._xlws.FILTER(_xlpm.d,(_xlpm.f=_xlpm.k)*(_xlpm.g=0))))</f>
        <v>0.9988312912281927</v>
      </c>
      <c r="F48" s="2" cm="1">
        <f t="array" ref="F48">_xlfn.LET(_xlpm.d,F$2:F$36,_xlpm.f,$A$2:$A$36,_xlpm.g,$B$2:$B$36,_xlpm.k,$C48,AVERAGE(_xlfn._xlws.FILTER(_xlpm.d,(_xlpm.f=_xlpm.k)*(_xlpm.g=0))))</f>
        <v>0.99224635779216619</v>
      </c>
      <c r="G48" s="2" cm="1">
        <f t="array" ref="G48">_xlfn.LET(_xlpm.d,G$2:G$36,_xlpm.f,$A$2:$A$36,_xlpm.g,$B$2:$B$36,_xlpm.k,$C48,AVERAGE(_xlfn._xlws.FILTER(_xlpm.d,(_xlpm.f=_xlpm.k)*(_xlpm.g=0))))</f>
        <v>0.99845043665582256</v>
      </c>
      <c r="H48" s="2" cm="1">
        <f t="array" ref="H48">_xlfn.LET(_xlpm.d,H$2:H$36,_xlpm.f,$A$2:$A$36,_xlpm.g,$B$2:$B$36,_xlpm.k,$C48,AVERAGE(_xlfn._xlws.FILTER(_xlpm.d,(_xlpm.f=_xlpm.k)*(_xlpm.g=0))))</f>
        <v>0.99422774567152994</v>
      </c>
      <c r="I48" s="2" cm="1">
        <f t="array" ref="I48">_xlfn.LET(_xlpm.d,I$2:I$36,_xlpm.f,$A$2:$A$36,_xlpm.g,$B$2:$B$36,_xlpm.k,$C48,AVERAGE(_xlfn._xlws.FILTER(_xlpm.d,(_xlpm.f=_xlpm.k)*(_xlpm.g=0))))</f>
        <v>0.97621728386269446</v>
      </c>
      <c r="J48" s="2" cm="1">
        <f t="array" ref="J48">_xlfn.LET(_xlpm.d,J$2:J$36,_xlpm.f,$A$2:$A$36,_xlpm.g,$B$2:$B$36,_xlpm.k,$C48,AVERAGE(_xlfn._xlws.FILTER(_xlpm.d,(_xlpm.f=_xlpm.k)*(_xlpm.g=0))))</f>
        <v>0.98762585683994264</v>
      </c>
      <c r="K48" s="2" cm="1">
        <f t="array" ref="K48">_xlfn.LET(_xlpm.d,K$2:K$36,_xlpm.f,$A$2:$A$36,_xlpm.g,$B$2:$B$36,_xlpm.k,$C48,AVERAGE(_xlfn._xlws.FILTER(_xlpm.d,(_xlpm.f=_xlpm.k)*(_xlpm.g=0))))</f>
        <v>0.97460117029284143</v>
      </c>
      <c r="L48" s="2" cm="1">
        <f t="array" ref="L48">_xlfn.LET(_xlpm.d,L$2:L$36,_xlpm.f,$A$2:$A$36,_xlpm.g,$B$2:$B$36,_xlpm.k,$C48,AVERAGE(_xlfn._xlws.FILTER(_xlpm.d,(_xlpm.f=_xlpm.k)*(_xlpm.g=0))))</f>
        <v>0.97704884238694056</v>
      </c>
      <c r="M48" s="2" cm="1">
        <f t="array" ref="M48">_xlfn.LET(_xlpm.d,M$2:M$36,_xlpm.f,$A$2:$A$36,_xlpm.g,$B$2:$B$36,_xlpm.k,$C48,AVERAGE(_xlfn._xlws.FILTER(_xlpm.d,(_xlpm.f=_xlpm.k)*(_xlpm.g=0))))</f>
        <v>0.97730260126999646</v>
      </c>
      <c r="N48" s="2" cm="1">
        <f t="array" ref="N48">_xlfn.LET(_xlpm.d,N$2:N$36,_xlpm.f,$A$2:$A$36,_xlpm.g,$B$2:$B$36,_xlpm.k,$C48,AVERAGE(_xlfn._xlws.FILTER(_xlpm.d,(_xlpm.f=_xlpm.k)*(_xlpm.g=0))))</f>
        <v>0.97327155632813833</v>
      </c>
      <c r="O48" s="2" cm="1">
        <f t="array" ref="O48">_xlfn.LET(_xlpm.d,O$2:O$36,_xlpm.f,$A$2:$A$36,_xlpm.g,$B$2:$B$36,_xlpm.k,$C48,AVERAGE(_xlfn._xlws.FILTER(_xlpm.d,(_xlpm.f=_xlpm.k)*(_xlpm.g=0))))</f>
        <v>1</v>
      </c>
      <c r="P48" s="2" cm="1">
        <f t="array" ref="P48">_xlfn.LET(_xlpm.d,P$2:P$36,_xlpm.f,$A$2:$A$36,_xlpm.g,$B$2:$B$36,_xlpm.k,$C48,AVERAGE(_xlfn._xlws.FILTER(_xlpm.d,(_xlpm.f=_xlpm.k)*(_xlpm.g=0))))</f>
        <v>0.93515165054343541</v>
      </c>
      <c r="Q48" s="2" cm="1">
        <f t="array" ref="Q48">_xlfn.LET(_xlpm.d,Q$2:Q$36,_xlpm.f,$A$2:$A$36,_xlpm.g,$B$2:$B$36,_xlpm.k,$C48,AVERAGE(_xlfn._xlws.FILTER(_xlpm.d,(_xlpm.f=_xlpm.k)*(_xlpm.g=0))))</f>
        <v>0.98335112463743402</v>
      </c>
    </row>
    <row r="49" spans="3:17" ht="30" customHeight="1">
      <c r="C49" t="s">
        <v>42</v>
      </c>
      <c r="D49" s="2" cm="1">
        <f t="array" ref="D49">_xlfn.LET(_xlpm.d,D$2:D$36,_xlpm.f,$A$2:$A$36,_xlpm.g,$B$2:$B$36,_xlpm.k,$C49,AVERAGE(_xlfn._xlws.FILTER(_xlpm.d,(_xlpm.f=_xlpm.k)*(_xlpm.g=0))))</f>
        <v>0.64361586423763051</v>
      </c>
      <c r="E49" s="2" cm="1">
        <f t="array" ref="E49">_xlfn.LET(_xlpm.d,E$2:E$36,_xlpm.f,$A$2:$A$36,_xlpm.g,$B$2:$B$36,_xlpm.k,$C49,AVERAGE(_xlfn._xlws.FILTER(_xlpm.d,(_xlpm.f=_xlpm.k)*(_xlpm.g=0))))</f>
        <v>0.64170773411498561</v>
      </c>
      <c r="F49" s="2" cm="1">
        <f t="array" ref="F49">_xlfn.LET(_xlpm.d,F$2:F$36,_xlpm.f,$A$2:$A$36,_xlpm.g,$B$2:$B$36,_xlpm.k,$C49,AVERAGE(_xlfn._xlws.FILTER(_xlpm.d,(_xlpm.f=_xlpm.k)*(_xlpm.g=0))))</f>
        <v>0.65106034650830502</v>
      </c>
      <c r="G49" s="2" cm="1">
        <f t="array" ref="G49">_xlfn.LET(_xlpm.d,G$2:G$36,_xlpm.f,$A$2:$A$36,_xlpm.g,$B$2:$B$36,_xlpm.k,$C49,AVERAGE(_xlfn._xlws.FILTER(_xlpm.d,(_xlpm.f=_xlpm.k)*(_xlpm.g=0))))</f>
        <v>0.64785094909219698</v>
      </c>
      <c r="H49" s="2" cm="1">
        <f t="array" ref="H49">_xlfn.LET(_xlpm.d,H$2:H$36,_xlpm.f,$A$2:$A$36,_xlpm.g,$B$2:$B$36,_xlpm.k,$C49,AVERAGE(_xlfn._xlws.FILTER(_xlpm.d,(_xlpm.f=_xlpm.k)*(_xlpm.g=0))))</f>
        <v>0.51507191222866033</v>
      </c>
      <c r="I49" s="2" cm="1">
        <f t="array" ref="I49">_xlfn.LET(_xlpm.d,I$2:I$36,_xlpm.f,$A$2:$A$36,_xlpm.g,$B$2:$B$36,_xlpm.k,$C49,AVERAGE(_xlfn._xlws.FILTER(_xlpm.d,(_xlpm.f=_xlpm.k)*(_xlpm.g=0))))</f>
        <v>0.53899616738551215</v>
      </c>
      <c r="J49" s="2" cm="1">
        <f t="array" ref="J49">_xlfn.LET(_xlpm.d,J$2:J$36,_xlpm.f,$A$2:$A$36,_xlpm.g,$B$2:$B$36,_xlpm.k,$C49,AVERAGE(_xlfn._xlws.FILTER(_xlpm.d,(_xlpm.f=_xlpm.k)*(_xlpm.g=0))))</f>
        <v>0.64286197752466701</v>
      </c>
      <c r="K49" s="2" cm="1">
        <f t="array" ref="K49">_xlfn.LET(_xlpm.d,K$2:K$36,_xlpm.f,$A$2:$A$36,_xlpm.g,$B$2:$B$36,_xlpm.k,$C49,AVERAGE(_xlfn._xlws.FILTER(_xlpm.d,(_xlpm.f=_xlpm.k)*(_xlpm.g=0))))</f>
        <v>0.47561750726625268</v>
      </c>
      <c r="L49" s="2" cm="1">
        <f t="array" ref="L49">_xlfn.LET(_xlpm.d,L$2:L$36,_xlpm.f,$A$2:$A$36,_xlpm.g,$B$2:$B$36,_xlpm.k,$C49,AVERAGE(_xlfn._xlws.FILTER(_xlpm.d,(_xlpm.f=_xlpm.k)*(_xlpm.g=0))))</f>
        <v>0.57482614250872077</v>
      </c>
      <c r="M49" s="2" cm="1">
        <f t="array" ref="M49">_xlfn.LET(_xlpm.d,M$2:M$36,_xlpm.f,$A$2:$A$36,_xlpm.g,$B$2:$B$36,_xlpm.k,$C49,AVERAGE(_xlfn._xlws.FILTER(_xlpm.d,(_xlpm.f=_xlpm.k)*(_xlpm.g=0))))</f>
        <v>0.58282814414767514</v>
      </c>
      <c r="N49" s="2" cm="1">
        <f t="array" ref="N49">_xlfn.LET(_xlpm.d,N$2:N$36,_xlpm.f,$A$2:$A$36,_xlpm.g,$B$2:$B$36,_xlpm.k,$C49,AVERAGE(_xlfn._xlws.FILTER(_xlpm.d,(_xlpm.f=_xlpm.k)*(_xlpm.g=0))))</f>
        <v>0.54728416201354524</v>
      </c>
      <c r="O49" s="2" cm="1">
        <f t="array" ref="O49">_xlfn.LET(_xlpm.d,O$2:O$36,_xlpm.f,$A$2:$A$36,_xlpm.g,$B$2:$B$36,_xlpm.k,$C49,AVERAGE(_xlfn._xlws.FILTER(_xlpm.d,(_xlpm.f=_xlpm.k)*(_xlpm.g=0))))</f>
        <v>0.54157235970515349</v>
      </c>
      <c r="P49" s="2" cm="1">
        <f t="array" ref="P49">_xlfn.LET(_xlpm.d,P$2:P$36,_xlpm.f,$A$2:$A$36,_xlpm.g,$B$2:$B$36,_xlpm.k,$C49,AVERAGE(_xlfn._xlws.FILTER(_xlpm.d,(_xlpm.f=_xlpm.k)*(_xlpm.g=0))))</f>
        <v>0.48622330448084311</v>
      </c>
      <c r="Q49" s="2" cm="1">
        <f t="array" ref="Q49">_xlfn.LET(_xlpm.d,Q$2:Q$36,_xlpm.f,$A$2:$A$36,_xlpm.g,$B$2:$B$36,_xlpm.k,$C49,AVERAGE(_xlfn._xlws.FILTER(_xlpm.d,(_xlpm.f=_xlpm.k)*(_xlpm.g=0))))</f>
        <v>0.57611665932416523</v>
      </c>
    </row>
    <row r="50" spans="3:17" ht="30" customHeight="1">
      <c r="C50" t="s">
        <v>43</v>
      </c>
      <c r="D50" s="2" cm="1">
        <f t="array" ref="D50">_xlfn.LET(_xlpm.d,D$2:D$36,_xlpm.f,$A$2:$A$36,_xlpm.g,$B$2:$B$36,_xlpm.k,$C50,AVERAGE(_xlfn._xlws.FILTER(_xlpm.d,(_xlpm.f=_xlpm.k)*(_xlpm.g=0))))</f>
        <v>0.77753094154451941</v>
      </c>
      <c r="E50" s="2" cm="1">
        <f t="array" ref="E50">_xlfn.LET(_xlpm.d,E$2:E$36,_xlpm.f,$A$2:$A$36,_xlpm.g,$B$2:$B$36,_xlpm.k,$C50,AVERAGE(_xlfn._xlws.FILTER(_xlpm.d,(_xlpm.f=_xlpm.k)*(_xlpm.g=0))))</f>
        <v>0.68795823064865214</v>
      </c>
      <c r="F50" s="2" cm="1">
        <f t="array" ref="F50">_xlfn.LET(_xlpm.d,F$2:F$36,_xlpm.f,$A$2:$A$36,_xlpm.g,$B$2:$B$36,_xlpm.k,$C50,AVERAGE(_xlfn._xlws.FILTER(_xlpm.d,(_xlpm.f=_xlpm.k)*(_xlpm.g=0))))</f>
        <v>0.67664158230411708</v>
      </c>
      <c r="G50" s="2" cm="1">
        <f t="array" ref="G50">_xlfn.LET(_xlpm.d,G$2:G$36,_xlpm.f,$A$2:$A$36,_xlpm.g,$B$2:$B$36,_xlpm.k,$C50,AVERAGE(_xlfn._xlws.FILTER(_xlpm.d,(_xlpm.f=_xlpm.k)*(_xlpm.g=0))))</f>
        <v>0.65389484119923835</v>
      </c>
      <c r="H50" s="2" cm="1">
        <f t="array" ref="H50">_xlfn.LET(_xlpm.d,H$2:H$36,_xlpm.f,$A$2:$A$36,_xlpm.g,$B$2:$B$36,_xlpm.k,$C50,AVERAGE(_xlfn._xlws.FILTER(_xlpm.d,(_xlpm.f=_xlpm.k)*(_xlpm.g=0))))</f>
        <v>0.61360248848586219</v>
      </c>
      <c r="I50" s="2" cm="1">
        <f t="array" ref="I50">_xlfn.LET(_xlpm.d,I$2:I$36,_xlpm.f,$A$2:$A$36,_xlpm.g,$B$2:$B$36,_xlpm.k,$C50,AVERAGE(_xlfn._xlws.FILTER(_xlpm.d,(_xlpm.f=_xlpm.k)*(_xlpm.g=0))))</f>
        <v>0.64374973047507911</v>
      </c>
      <c r="J50" s="2" cm="1">
        <f t="array" ref="J50">_xlfn.LET(_xlpm.d,J$2:J$36,_xlpm.f,$A$2:$A$36,_xlpm.g,$B$2:$B$36,_xlpm.k,$C50,AVERAGE(_xlfn._xlws.FILTER(_xlpm.d,(_xlpm.f=_xlpm.k)*(_xlpm.g=0))))</f>
        <v>0.61250801840411417</v>
      </c>
      <c r="K50" s="2" cm="1">
        <f t="array" ref="K50">_xlfn.LET(_xlpm.d,K$2:K$36,_xlpm.f,$A$2:$A$36,_xlpm.g,$B$2:$B$36,_xlpm.k,$C50,AVERAGE(_xlfn._xlws.FILTER(_xlpm.d,(_xlpm.f=_xlpm.k)*(_xlpm.g=0))))</f>
        <v>0.49399823747252986</v>
      </c>
      <c r="L50" s="2" cm="1">
        <f t="array" ref="L50">_xlfn.LET(_xlpm.d,L$2:L$36,_xlpm.f,$A$2:$A$36,_xlpm.g,$B$2:$B$36,_xlpm.k,$C50,AVERAGE(_xlfn._xlws.FILTER(_xlpm.d,(_xlpm.f=_xlpm.k)*(_xlpm.g=0))))</f>
        <v>0.62733990971359288</v>
      </c>
      <c r="M50" s="2" cm="1">
        <f t="array" ref="M50">_xlfn.LET(_xlpm.d,M$2:M$36,_xlpm.f,$A$2:$A$36,_xlpm.g,$B$2:$B$36,_xlpm.k,$C50,AVERAGE(_xlfn._xlws.FILTER(_xlpm.d,(_xlpm.f=_xlpm.k)*(_xlpm.g=0))))</f>
        <v>0.62239978528944517</v>
      </c>
      <c r="N50" s="2" cm="1">
        <f t="array" ref="N50">_xlfn.LET(_xlpm.d,N$2:N$36,_xlpm.f,$A$2:$A$36,_xlpm.g,$B$2:$B$36,_xlpm.k,$C50,AVERAGE(_xlfn._xlws.FILTER(_xlpm.d,(_xlpm.f=_xlpm.k)*(_xlpm.g=0))))</f>
        <v>0.50485643406910563</v>
      </c>
      <c r="O50" s="2" cm="1">
        <f t="array" ref="O50">_xlfn.LET(_xlpm.d,O$2:O$36,_xlpm.f,$A$2:$A$36,_xlpm.g,$B$2:$B$36,_xlpm.k,$C50,AVERAGE(_xlfn._xlws.FILTER(_xlpm.d,(_xlpm.f=_xlpm.k)*(_xlpm.g=0))))</f>
        <v>0.58673358690488142</v>
      </c>
      <c r="P50" s="2" cm="1">
        <f t="array" ref="P50">_xlfn.LET(_xlpm.d,P$2:P$36,_xlpm.f,$A$2:$A$36,_xlpm.g,$B$2:$B$36,_xlpm.k,$C50,AVERAGE(_xlfn._xlws.FILTER(_xlpm.d,(_xlpm.f=_xlpm.k)*(_xlpm.g=0))))</f>
        <v>0.49326289208835439</v>
      </c>
      <c r="Q50" s="2" cm="1">
        <f t="array" ref="Q50">_xlfn.LET(_xlpm.d,Q$2:Q$36,_xlpm.f,$A$2:$A$36,_xlpm.g,$B$2:$B$36,_xlpm.k,$C50,AVERAGE(_xlfn._xlws.FILTER(_xlpm.d,(_xlpm.f=_xlpm.k)*(_xlpm.g=0))))</f>
        <v>0.61495974450765323</v>
      </c>
    </row>
    <row r="51" spans="3:17" ht="30" customHeight="1">
      <c r="C51" t="s">
        <v>44</v>
      </c>
      <c r="D51" s="2" cm="1">
        <f t="array" ref="D51">_xlfn.LET(_xlpm.d,D$2:D$36,_xlpm.f,$A$2:$A$36,_xlpm.g,$B$2:$B$36,_xlpm.k,$C51,AVERAGE(_xlfn._xlws.FILTER(_xlpm.d,(_xlpm.f=_xlpm.k)*(_xlpm.g=0))))</f>
        <v>0.78155838272517186</v>
      </c>
      <c r="E51" s="2" cm="1">
        <f t="array" ref="E51">_xlfn.LET(_xlpm.d,E$2:E$36,_xlpm.f,$A$2:$A$36,_xlpm.g,$B$2:$B$36,_xlpm.k,$C51,AVERAGE(_xlfn._xlws.FILTER(_xlpm.d,(_xlpm.f=_xlpm.k)*(_xlpm.g=0))))</f>
        <v>0.7026576350027417</v>
      </c>
      <c r="F51" s="2" cm="1">
        <f t="array" ref="F51">_xlfn.LET(_xlpm.d,F$2:F$36,_xlpm.f,$A$2:$A$36,_xlpm.g,$B$2:$B$36,_xlpm.k,$C51,AVERAGE(_xlfn._xlws.FILTER(_xlpm.d,(_xlpm.f=_xlpm.k)*(_xlpm.g=0))))</f>
        <v>0.69103277751028314</v>
      </c>
      <c r="G51" s="2" cm="1">
        <f t="array" ref="G51">_xlfn.LET(_xlpm.d,G$2:G$36,_xlpm.f,$A$2:$A$36,_xlpm.g,$B$2:$B$36,_xlpm.k,$C51,AVERAGE(_xlfn._xlws.FILTER(_xlpm.d,(_xlpm.f=_xlpm.k)*(_xlpm.g=0))))</f>
        <v>0.69860184972494377</v>
      </c>
      <c r="H51" s="2" cm="1">
        <f t="array" ref="H51">_xlfn.LET(_xlpm.d,H$2:H$36,_xlpm.f,$A$2:$A$36,_xlpm.g,$B$2:$B$36,_xlpm.k,$C51,AVERAGE(_xlfn._xlws.FILTER(_xlpm.d,(_xlpm.f=_xlpm.k)*(_xlpm.g=0))))</f>
        <v>0.72520405765304374</v>
      </c>
      <c r="I51" s="2" cm="1">
        <f t="array" ref="I51">_xlfn.LET(_xlpm.d,I$2:I$36,_xlpm.f,$A$2:$A$36,_xlpm.g,$B$2:$B$36,_xlpm.k,$C51,AVERAGE(_xlfn._xlws.FILTER(_xlpm.d,(_xlpm.f=_xlpm.k)*(_xlpm.g=0))))</f>
        <v>0.62721167076142736</v>
      </c>
      <c r="J51" s="2" cm="1">
        <f t="array" ref="J51">_xlfn.LET(_xlpm.d,J$2:J$36,_xlpm.f,$A$2:$A$36,_xlpm.g,$B$2:$B$36,_xlpm.k,$C51,AVERAGE(_xlfn._xlws.FILTER(_xlpm.d,(_xlpm.f=_xlpm.k)*(_xlpm.g=0))))</f>
        <v>0.6897024068937031</v>
      </c>
      <c r="K51" s="2" cm="1">
        <f t="array" ref="K51">_xlfn.LET(_xlpm.d,K$2:K$36,_xlpm.f,$A$2:$A$36,_xlpm.g,$B$2:$B$36,_xlpm.k,$C51,AVERAGE(_xlfn._xlws.FILTER(_xlpm.d,(_xlpm.f=_xlpm.k)*(_xlpm.g=0))))</f>
        <v>0.66735582974241181</v>
      </c>
      <c r="L51" s="2" cm="1">
        <f t="array" ref="L51">_xlfn.LET(_xlpm.d,L$2:L$36,_xlpm.f,$A$2:$A$36,_xlpm.g,$B$2:$B$36,_xlpm.k,$C51,AVERAGE(_xlfn._xlws.FILTER(_xlpm.d,(_xlpm.f=_xlpm.k)*(_xlpm.g=0))))</f>
        <v>0.67451941144236205</v>
      </c>
      <c r="M51" s="2" cm="1">
        <f t="array" ref="M51">_xlfn.LET(_xlpm.d,M$2:M$36,_xlpm.f,$A$2:$A$36,_xlpm.g,$B$2:$B$36,_xlpm.k,$C51,AVERAGE(_xlfn._xlws.FILTER(_xlpm.d,(_xlpm.f=_xlpm.k)*(_xlpm.g=0))))</f>
        <v>0.55505454884670036</v>
      </c>
      <c r="N51" s="2" cm="1">
        <f t="array" ref="N51">_xlfn.LET(_xlpm.d,N$2:N$36,_xlpm.f,$A$2:$A$36,_xlpm.g,$B$2:$B$36,_xlpm.k,$C51,AVERAGE(_xlfn._xlws.FILTER(_xlpm.d,(_xlpm.f=_xlpm.k)*(_xlpm.g=0))))</f>
        <v>0.54259981204116581</v>
      </c>
      <c r="O51" s="2" cm="1">
        <f t="array" ref="O51">_xlfn.LET(_xlpm.d,O$2:O$36,_xlpm.f,$A$2:$A$36,_xlpm.g,$B$2:$B$36,_xlpm.k,$C51,AVERAGE(_xlfn._xlws.FILTER(_xlpm.d,(_xlpm.f=_xlpm.k)*(_xlpm.g=0))))</f>
        <v>0.55168435686916384</v>
      </c>
      <c r="P51" s="2" cm="1">
        <f t="array" ref="P51">_xlfn.LET(_xlpm.d,P$2:P$36,_xlpm.f,$A$2:$A$36,_xlpm.g,$B$2:$B$36,_xlpm.k,$C51,AVERAGE(_xlfn._xlws.FILTER(_xlpm.d,(_xlpm.f=_xlpm.k)*(_xlpm.g=0))))</f>
        <v>0.65253687021819751</v>
      </c>
      <c r="Q51" s="2" cm="1">
        <f t="array" ref="Q51">_xlfn.LET(_xlpm.d,Q$2:Q$36,_xlpm.f,$A$2:$A$36,_xlpm.g,$B$2:$B$36,_xlpm.k,$C51,AVERAGE(_xlfn._xlws.FILTER(_xlpm.d,(_xlpm.f=_xlpm.k)*(_xlpm.g=0))))</f>
        <v>0.65843996995625509</v>
      </c>
    </row>
    <row r="52" spans="3:17" ht="30" customHeight="1">
      <c r="C52" t="s">
        <v>45</v>
      </c>
      <c r="D52" s="2" cm="1">
        <f t="array" ref="D52">_xlfn.LET(_xlpm.d,D$2:D$36,_xlpm.f,$A$2:$A$36,_xlpm.g,$B$2:$B$36,_xlpm.k,$C52,AVERAGE(_xlfn._xlws.FILTER(_xlpm.d,(_xlpm.f=_xlpm.k)*(_xlpm.g=0))))</f>
        <v>0.9994705007825625</v>
      </c>
      <c r="E52" s="2" cm="1">
        <f t="array" ref="E52">_xlfn.LET(_xlpm.d,E$2:E$36,_xlpm.f,$A$2:$A$36,_xlpm.g,$B$2:$B$36,_xlpm.k,$C52,AVERAGE(_xlfn._xlws.FILTER(_xlpm.d,(_xlpm.f=_xlpm.k)*(_xlpm.g=0))))</f>
        <v>1</v>
      </c>
      <c r="F52" s="2" cm="1">
        <f t="array" ref="F52">_xlfn.LET(_xlpm.d,F$2:F$36,_xlpm.f,$A$2:$A$36,_xlpm.g,$B$2:$B$36,_xlpm.k,$C52,AVERAGE(_xlfn._xlws.FILTER(_xlpm.d,(_xlpm.f=_xlpm.k)*(_xlpm.g=0))))</f>
        <v>1</v>
      </c>
      <c r="G52" s="2" cm="1">
        <f t="array" ref="G52">_xlfn.LET(_xlpm.d,G$2:G$36,_xlpm.f,$A$2:$A$36,_xlpm.g,$B$2:$B$36,_xlpm.k,$C52,AVERAGE(_xlfn._xlws.FILTER(_xlpm.d,(_xlpm.f=_xlpm.k)*(_xlpm.g=0))))</f>
        <v>0.9966978863977296</v>
      </c>
      <c r="H52" s="2" cm="1">
        <f t="array" ref="H52">_xlfn.LET(_xlpm.d,H$2:H$36,_xlpm.f,$A$2:$A$36,_xlpm.g,$B$2:$B$36,_xlpm.k,$C52,AVERAGE(_xlfn._xlws.FILTER(_xlpm.d,(_xlpm.f=_xlpm.k)*(_xlpm.g=0))))</f>
        <v>0.99368684622924164</v>
      </c>
      <c r="I52" s="2" cm="1">
        <f t="array" ref="I52">_xlfn.LET(_xlpm.d,I$2:I$36,_xlpm.f,$A$2:$A$36,_xlpm.g,$B$2:$B$36,_xlpm.k,$C52,AVERAGE(_xlfn._xlws.FILTER(_xlpm.d,(_xlpm.f=_xlpm.k)*(_xlpm.g=0))))</f>
        <v>0.97137920897958363</v>
      </c>
      <c r="J52" s="2" cm="1">
        <f t="array" ref="J52">_xlfn.LET(_xlpm.d,J$2:J$36,_xlpm.f,$A$2:$A$36,_xlpm.g,$B$2:$B$36,_xlpm.k,$C52,AVERAGE(_xlfn._xlws.FILTER(_xlpm.d,(_xlpm.f=_xlpm.k)*(_xlpm.g=0))))</f>
        <v>0.96230524589101663</v>
      </c>
      <c r="K52" s="2" cm="1">
        <f t="array" ref="K52">_xlfn.LET(_xlpm.d,K$2:K$36,_xlpm.f,$A$2:$A$36,_xlpm.g,$B$2:$B$36,_xlpm.k,$C52,AVERAGE(_xlfn._xlws.FILTER(_xlpm.d,(_xlpm.f=_xlpm.k)*(_xlpm.g=0))))</f>
        <v>0.977789118888578</v>
      </c>
      <c r="L52" s="2" cm="1">
        <f t="array" ref="L52">_xlfn.LET(_xlpm.d,L$2:L$36,_xlpm.f,$A$2:$A$36,_xlpm.g,$B$2:$B$36,_xlpm.k,$C52,AVERAGE(_xlfn._xlws.FILTER(_xlpm.d,(_xlpm.f=_xlpm.k)*(_xlpm.g=0))))</f>
        <v>0.95268346508234325</v>
      </c>
      <c r="M52" s="2" cm="1">
        <f t="array" ref="M52">_xlfn.LET(_xlpm.d,M$2:M$36,_xlpm.f,$A$2:$A$36,_xlpm.g,$B$2:$B$36,_xlpm.k,$C52,AVERAGE(_xlfn._xlws.FILTER(_xlpm.d,(_xlpm.f=_xlpm.k)*(_xlpm.g=0))))</f>
        <v>0.91467912509727567</v>
      </c>
      <c r="N52" s="2" cm="1">
        <f t="array" ref="N52">_xlfn.LET(_xlpm.d,N$2:N$36,_xlpm.f,$A$2:$A$36,_xlpm.g,$B$2:$B$36,_xlpm.k,$C52,AVERAGE(_xlfn._xlws.FILTER(_xlpm.d,(_xlpm.f=_xlpm.k)*(_xlpm.g=0))))</f>
        <v>0.94804793015429023</v>
      </c>
      <c r="O52" s="2" cm="1">
        <f t="array" ref="O52">_xlfn.LET(_xlpm.d,O$2:O$36,_xlpm.f,$A$2:$A$36,_xlpm.g,$B$2:$B$36,_xlpm.k,$C52,AVERAGE(_xlfn._xlws.FILTER(_xlpm.d,(_xlpm.f=_xlpm.k)*(_xlpm.g=0))))</f>
        <v>0.97711124487184498</v>
      </c>
      <c r="P52" s="2" cm="1">
        <f t="array" ref="P52">_xlfn.LET(_xlpm.d,P$2:P$36,_xlpm.f,$A$2:$A$36,_xlpm.g,$B$2:$B$36,_xlpm.k,$C52,AVERAGE(_xlfn._xlws.FILTER(_xlpm.d,(_xlpm.f=_xlpm.k)*(_xlpm.g=0))))</f>
        <v>0.89986514615725888</v>
      </c>
      <c r="Q52" s="2" cm="1">
        <f t="array" ref="Q52">_xlfn.LET(_xlpm.d,Q$2:Q$36,_xlpm.f,$A$2:$A$36,_xlpm.g,$B$2:$B$36,_xlpm.k,$C52,AVERAGE(_xlfn._xlws.FILTER(_xlpm.d,(_xlpm.f=_xlpm.k)*(_xlpm.g=0))))</f>
        <v>0.9687473629639789</v>
      </c>
    </row>
  </sheetData>
  <phoneticPr fontId="1" type="noConversion"/>
  <conditionalFormatting sqref="D2:Q36">
    <cfRule type="colorScale" priority="4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D39:Q44">
    <cfRule type="colorScale" priority="3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D47:Q47">
    <cfRule type="colorScale" priority="1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D48:Q52">
    <cfRule type="colorScale" priority="2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aNA.xsk-free</vt:lpstr>
      <vt:lpstr>aNA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Kuroda, Kow</dc:creator>
  <cp:keywords/>
  <dc:description/>
  <cp:lastModifiedBy>Kow Kuroda</cp:lastModifiedBy>
  <dcterms:created xsi:type="dcterms:W3CDTF">2025-07-10T05:42:18Z</dcterms:created>
  <dcterms:modified xsi:type="dcterms:W3CDTF">2025-09-11T04:08:42Z</dcterms:modified>
  <cp:category/>
</cp:coreProperties>
</file>