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8_{15845C49-2A7B-F440-945F-B832D8786F5D}" xr6:coauthVersionLast="47" xr6:coauthVersionMax="47" xr10:uidLastSave="{00000000-0000-0000-0000-000000000000}"/>
  <bookViews>
    <workbookView xWindow="10720" yWindow="2600" windowWidth="27460" windowHeight="16440" xr2:uid="{2E87F821-F346-2740-B059-358AF8795EB9}"/>
  </bookViews>
  <sheets>
    <sheet name="aNA.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N2" i="1"/>
  <c r="A3" i="1"/>
  <c r="B3" i="1"/>
  <c r="N3" i="1"/>
  <c r="A4" i="1"/>
  <c r="B4" i="1"/>
  <c r="F39" i="1" s="1" a="1"/>
  <c r="F39" i="1" s="1"/>
  <c r="N4" i="1"/>
  <c r="A5" i="1"/>
  <c r="B5" i="1"/>
  <c r="N5" i="1"/>
  <c r="A6" i="1"/>
  <c r="H31" i="1" s="1" a="1"/>
  <c r="H31" i="1" s="1"/>
  <c r="B6" i="1"/>
  <c r="L37" i="1" s="1" a="1"/>
  <c r="L37" i="1" s="1"/>
  <c r="N6" i="1"/>
  <c r="A7" i="1"/>
  <c r="B7" i="1"/>
  <c r="N7" i="1"/>
  <c r="A8" i="1"/>
  <c r="B8" i="1"/>
  <c r="N8" i="1"/>
  <c r="A9" i="1"/>
  <c r="M32" i="1" s="1" a="1"/>
  <c r="M32" i="1" s="1"/>
  <c r="B9" i="1"/>
  <c r="N9" i="1"/>
  <c r="A10" i="1"/>
  <c r="B10" i="1"/>
  <c r="N10" i="1"/>
  <c r="A11" i="1"/>
  <c r="B11" i="1"/>
  <c r="N11" i="1"/>
  <c r="A12" i="1"/>
  <c r="B12" i="1"/>
  <c r="N12" i="1"/>
  <c r="A13" i="1"/>
  <c r="B13" i="1"/>
  <c r="N13" i="1"/>
  <c r="A14" i="1"/>
  <c r="B14" i="1"/>
  <c r="N14" i="1"/>
  <c r="A15" i="1"/>
  <c r="B15" i="1"/>
  <c r="N15" i="1"/>
  <c r="A16" i="1"/>
  <c r="B16" i="1"/>
  <c r="N16" i="1"/>
  <c r="A17" i="1"/>
  <c r="E38" i="1" s="1" a="1"/>
  <c r="E38" i="1" s="1"/>
  <c r="B17" i="1"/>
  <c r="N17" i="1"/>
  <c r="A18" i="1"/>
  <c r="B18" i="1"/>
  <c r="N18" i="1"/>
  <c r="A19" i="1"/>
  <c r="B19" i="1"/>
  <c r="N19" i="1"/>
  <c r="A20" i="1"/>
  <c r="B20" i="1"/>
  <c r="N20" i="1"/>
  <c r="A21" i="1"/>
  <c r="B21" i="1"/>
  <c r="N21" i="1"/>
  <c r="A22" i="1"/>
  <c r="B22" i="1"/>
  <c r="N22" i="1"/>
  <c r="A23" i="1"/>
  <c r="B23" i="1"/>
  <c r="N23" i="1"/>
  <c r="A24" i="1"/>
  <c r="B24" i="1"/>
  <c r="N24" i="1"/>
  <c r="A25" i="1"/>
  <c r="B25" i="1"/>
  <c r="N25" i="1"/>
  <c r="A26" i="1"/>
  <c r="B26" i="1"/>
  <c r="N26" i="1"/>
  <c r="D29" i="1"/>
  <c r="E29" i="1"/>
  <c r="F29" i="1"/>
  <c r="G29" i="1"/>
  <c r="H29" i="1"/>
  <c r="I29" i="1"/>
  <c r="J29" i="1"/>
  <c r="K29" i="1"/>
  <c r="L29" i="1"/>
  <c r="M29" i="1"/>
  <c r="N29" i="1"/>
  <c r="D31" i="1" a="1"/>
  <c r="D31" i="1" s="1"/>
  <c r="N33" i="1" a="1"/>
  <c r="N33" i="1" s="1"/>
  <c r="M38" i="1" a="1"/>
  <c r="M38" i="1" s="1"/>
  <c r="D41" i="1" a="1"/>
  <c r="D41" i="1" s="1"/>
  <c r="N42" i="1" a="1"/>
  <c r="N42" i="1" s="1"/>
  <c r="F33" i="1" l="1" a="1"/>
  <c r="F33" i="1" s="1"/>
  <c r="G30" i="1" a="1"/>
  <c r="G30" i="1" s="1"/>
  <c r="I42" i="1" a="1"/>
  <c r="I42" i="1" s="1"/>
  <c r="L41" i="1" a="1"/>
  <c r="L41" i="1" s="1"/>
  <c r="N39" i="1" a="1"/>
  <c r="N39" i="1" s="1"/>
  <c r="D37" i="1" a="1"/>
  <c r="D37" i="1" s="1"/>
  <c r="E32" i="1" a="1"/>
  <c r="E32" i="1" s="1"/>
  <c r="K40" i="1" a="1"/>
  <c r="K40" i="1" s="1"/>
  <c r="M42" i="1" a="1"/>
  <c r="M42" i="1" s="1"/>
  <c r="K34" i="1" a="1"/>
  <c r="K34" i="1" s="1"/>
  <c r="E42" i="1" a="1"/>
  <c r="E42" i="1" s="1"/>
  <c r="I38" i="1" a="1"/>
  <c r="I38" i="1" s="1"/>
  <c r="K30" i="1" a="1"/>
  <c r="K30" i="1" s="1"/>
  <c r="G40" i="1" a="1"/>
  <c r="G40" i="1" s="1"/>
  <c r="H37" i="1" a="1"/>
  <c r="H37" i="1" s="1"/>
  <c r="I32" i="1" a="1"/>
  <c r="I32" i="1" s="1"/>
  <c r="F37" i="1" a="1"/>
  <c r="F37" i="1" s="1"/>
  <c r="J39" i="1" a="1"/>
  <c r="J39" i="1" s="1"/>
  <c r="L31" i="1" a="1"/>
  <c r="L31" i="1" s="1"/>
  <c r="E30" i="1" a="1"/>
  <c r="E30" i="1" s="1"/>
  <c r="H41" i="1" a="1"/>
  <c r="H41" i="1" s="1"/>
  <c r="J33" i="1" a="1"/>
  <c r="J33" i="1" s="1"/>
  <c r="J42" i="1" a="1"/>
  <c r="J42" i="1" s="1"/>
  <c r="G34" i="1" a="1"/>
  <c r="G34" i="1" s="1"/>
  <c r="F42" i="1" a="1"/>
  <c r="F42" i="1" s="1"/>
  <c r="M41" i="1" a="1"/>
  <c r="M41" i="1" s="1"/>
  <c r="I41" i="1" a="1"/>
  <c r="I41" i="1" s="1"/>
  <c r="E41" i="1" a="1"/>
  <c r="E41" i="1" s="1"/>
  <c r="L40" i="1" a="1"/>
  <c r="L40" i="1" s="1"/>
  <c r="H40" i="1" a="1"/>
  <c r="H40" i="1" s="1"/>
  <c r="D40" i="1" a="1"/>
  <c r="D40" i="1" s="1"/>
  <c r="K39" i="1" a="1"/>
  <c r="K39" i="1" s="1"/>
  <c r="G39" i="1" a="1"/>
  <c r="G39" i="1" s="1"/>
  <c r="N38" i="1" a="1"/>
  <c r="N38" i="1" s="1"/>
  <c r="J38" i="1" a="1"/>
  <c r="J38" i="1" s="1"/>
  <c r="F38" i="1" a="1"/>
  <c r="F38" i="1" s="1"/>
  <c r="M37" i="1" a="1"/>
  <c r="M37" i="1" s="1"/>
  <c r="I37" i="1" a="1"/>
  <c r="I37" i="1" s="1"/>
  <c r="E37" i="1" a="1"/>
  <c r="E37" i="1" s="1"/>
  <c r="L34" i="1" a="1"/>
  <c r="L34" i="1" s="1"/>
  <c r="H34" i="1" a="1"/>
  <c r="H34" i="1" s="1"/>
  <c r="D34" i="1" a="1"/>
  <c r="D34" i="1" s="1"/>
  <c r="K33" i="1" a="1"/>
  <c r="K33" i="1" s="1"/>
  <c r="G33" i="1" a="1"/>
  <c r="G33" i="1" s="1"/>
  <c r="N32" i="1" a="1"/>
  <c r="N32" i="1" s="1"/>
  <c r="J32" i="1" a="1"/>
  <c r="J32" i="1" s="1"/>
  <c r="F32" i="1" a="1"/>
  <c r="F32" i="1" s="1"/>
  <c r="M31" i="1" a="1"/>
  <c r="M31" i="1" s="1"/>
  <c r="I31" i="1" a="1"/>
  <c r="I31" i="1" s="1"/>
  <c r="E31" i="1" a="1"/>
  <c r="E31" i="1" s="1"/>
  <c r="L30" i="1" a="1"/>
  <c r="L30" i="1" s="1"/>
  <c r="H30" i="1" a="1"/>
  <c r="H30" i="1" s="1"/>
  <c r="D30" i="1" a="1"/>
  <c r="D30" i="1" s="1"/>
  <c r="I33" i="1" a="1"/>
  <c r="I33" i="1" s="1"/>
  <c r="L42" i="1" a="1"/>
  <c r="L42" i="1" s="1"/>
  <c r="H42" i="1" a="1"/>
  <c r="H42" i="1" s="1"/>
  <c r="D42" i="1" a="1"/>
  <c r="D42" i="1" s="1"/>
  <c r="K41" i="1" a="1"/>
  <c r="K41" i="1" s="1"/>
  <c r="G41" i="1" a="1"/>
  <c r="G41" i="1" s="1"/>
  <c r="N40" i="1" a="1"/>
  <c r="N40" i="1" s="1"/>
  <c r="J40" i="1" a="1"/>
  <c r="J40" i="1" s="1"/>
  <c r="F40" i="1" a="1"/>
  <c r="F40" i="1" s="1"/>
  <c r="M39" i="1" a="1"/>
  <c r="M39" i="1" s="1"/>
  <c r="I39" i="1" a="1"/>
  <c r="I39" i="1" s="1"/>
  <c r="E39" i="1" a="1"/>
  <c r="E39" i="1" s="1"/>
  <c r="L38" i="1" a="1"/>
  <c r="L38" i="1" s="1"/>
  <c r="H38" i="1" a="1"/>
  <c r="H38" i="1" s="1"/>
  <c r="D38" i="1" a="1"/>
  <c r="D38" i="1" s="1"/>
  <c r="K37" i="1" a="1"/>
  <c r="K37" i="1" s="1"/>
  <c r="G37" i="1" a="1"/>
  <c r="G37" i="1" s="1"/>
  <c r="N34" i="1" a="1"/>
  <c r="N34" i="1" s="1"/>
  <c r="J34" i="1" a="1"/>
  <c r="J34" i="1" s="1"/>
  <c r="F34" i="1" a="1"/>
  <c r="F34" i="1" s="1"/>
  <c r="M33" i="1" a="1"/>
  <c r="M33" i="1" s="1"/>
  <c r="E33" i="1" a="1"/>
  <c r="E33" i="1" s="1"/>
  <c r="L32" i="1" a="1"/>
  <c r="L32" i="1" s="1"/>
  <c r="H32" i="1" a="1"/>
  <c r="H32" i="1" s="1"/>
  <c r="D32" i="1" a="1"/>
  <c r="D32" i="1" s="1"/>
  <c r="K31" i="1" a="1"/>
  <c r="K31" i="1" s="1"/>
  <c r="G31" i="1" a="1"/>
  <c r="G31" i="1" s="1"/>
  <c r="N30" i="1" a="1"/>
  <c r="N30" i="1" s="1"/>
  <c r="J30" i="1" a="1"/>
  <c r="J30" i="1" s="1"/>
  <c r="F30" i="1" a="1"/>
  <c r="F30" i="1" s="1"/>
  <c r="K42" i="1" a="1"/>
  <c r="K42" i="1" s="1"/>
  <c r="G42" i="1" a="1"/>
  <c r="G42" i="1" s="1"/>
  <c r="N41" i="1" a="1"/>
  <c r="N41" i="1" s="1"/>
  <c r="J41" i="1" a="1"/>
  <c r="J41" i="1" s="1"/>
  <c r="F41" i="1" a="1"/>
  <c r="F41" i="1" s="1"/>
  <c r="M40" i="1" a="1"/>
  <c r="M40" i="1" s="1"/>
  <c r="I40" i="1" a="1"/>
  <c r="I40" i="1" s="1"/>
  <c r="E40" i="1" a="1"/>
  <c r="E40" i="1" s="1"/>
  <c r="L39" i="1" a="1"/>
  <c r="L39" i="1" s="1"/>
  <c r="H39" i="1" a="1"/>
  <c r="H39" i="1" s="1"/>
  <c r="D39" i="1" a="1"/>
  <c r="D39" i="1" s="1"/>
  <c r="K38" i="1" a="1"/>
  <c r="K38" i="1" s="1"/>
  <c r="G38" i="1" a="1"/>
  <c r="G38" i="1" s="1"/>
  <c r="N37" i="1" a="1"/>
  <c r="N37" i="1" s="1"/>
  <c r="J37" i="1" a="1"/>
  <c r="J37" i="1" s="1"/>
  <c r="M34" i="1" a="1"/>
  <c r="M34" i="1" s="1"/>
  <c r="I34" i="1" a="1"/>
  <c r="I34" i="1" s="1"/>
  <c r="E34" i="1" a="1"/>
  <c r="E34" i="1" s="1"/>
  <c r="L33" i="1" a="1"/>
  <c r="L33" i="1" s="1"/>
  <c r="H33" i="1" a="1"/>
  <c r="H33" i="1" s="1"/>
  <c r="D33" i="1" a="1"/>
  <c r="D33" i="1" s="1"/>
  <c r="K32" i="1" a="1"/>
  <c r="K32" i="1" s="1"/>
  <c r="G32" i="1" a="1"/>
  <c r="G32" i="1" s="1"/>
  <c r="N31" i="1" a="1"/>
  <c r="N31" i="1" s="1"/>
  <c r="J31" i="1" a="1"/>
  <c r="J31" i="1" s="1"/>
  <c r="F31" i="1" a="1"/>
  <c r="F31" i="1" s="1"/>
  <c r="M30" i="1" a="1"/>
  <c r="M30" i="1" s="1"/>
  <c r="I30" i="1" a="1"/>
  <c r="I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<sst xmlns="http://schemas.openxmlformats.org/spreadsheetml/2006/main" count="54" uniqueCount="48">
  <si>
    <t>russian</t>
  </si>
  <si>
    <t>german</t>
  </si>
  <si>
    <t>french</t>
  </si>
  <si>
    <t>english</t>
  </si>
  <si>
    <t>arabic</t>
  </si>
  <si>
    <t>all</t>
  </si>
  <si>
    <t>1g excluded</t>
  </si>
  <si>
    <t>1g included</t>
  </si>
  <si>
    <t>russian-sk3g</t>
  </si>
  <si>
    <t>russian-sk2g</t>
  </si>
  <si>
    <t>russian-3g</t>
  </si>
  <si>
    <t>russian-2g</t>
  </si>
  <si>
    <t>russian-1g</t>
  </si>
  <si>
    <t>german-sk3g</t>
  </si>
  <si>
    <t>german-sk2g</t>
  </si>
  <si>
    <t>german-3g</t>
  </si>
  <si>
    <t>german-2g</t>
  </si>
  <si>
    <t>german-1g</t>
  </si>
  <si>
    <t>french-sk3g</t>
  </si>
  <si>
    <t>french-sk2g</t>
  </si>
  <si>
    <t>french-3g</t>
  </si>
  <si>
    <t>french-2g</t>
  </si>
  <si>
    <t>french-1g</t>
  </si>
  <si>
    <t>english-sk3g</t>
  </si>
  <si>
    <t>english-sk2g</t>
  </si>
  <si>
    <t>english-3g</t>
  </si>
  <si>
    <t>english-2g</t>
  </si>
  <si>
    <t>english-1g</t>
  </si>
  <si>
    <t>arabic-sk3g</t>
  </si>
  <si>
    <t>arabic-sk2g</t>
  </si>
  <si>
    <t>arabic-3g</t>
  </si>
  <si>
    <t>arabic-2g</t>
  </si>
  <si>
    <t>arabic-1g</t>
  </si>
  <si>
    <t>Note</t>
  </si>
  <si>
    <t>average</t>
  </si>
  <si>
    <t>15</t>
  </si>
  <si>
    <t>12</t>
  </si>
  <si>
    <t>10</t>
  </si>
  <si>
    <t>9</t>
  </si>
  <si>
    <t>8</t>
  </si>
  <si>
    <t>7</t>
  </si>
  <si>
    <t>6</t>
  </si>
  <si>
    <t>5</t>
  </si>
  <si>
    <t>4</t>
  </si>
  <si>
    <t>3</t>
  </si>
  <si>
    <t>condition</t>
  </si>
  <si>
    <t>1g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</si>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</sst>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FEFF7-B234-A941-8B60-839D6F975AB6}" name="Table1" displayName="Table1" ref="A1:O26" totalsRowShown="0">
  <autoFilter ref="A1:O26" xr:uid="{CFFBF5C2-C562-4A4E-B95B-091D1721BBE3}"/>
  <tableColumns count="15">
    <tableColumn id="1" xr3:uid="{B965C989-233C-BA49-B251-382897A2BABE}" name="lang">
      <calculatedColumnFormula>_xlfn.LET(_xlpm.c,_xlfn.SINGLE(Table1[condition]),_xlfn.TEXTBEFORE(_xlpm.c,"-"))</calculatedColumnFormula>
    </tableColumn>
    <tableColumn id="14" xr3:uid="{5B025105-E7B9-EC44-A23C-B49A45A79092}" name="1g" dataDxfId="12">
      <calculatedColumnFormula>_xlfn.LET(_xlpm.c,_xlfn.SINGLE(Table1[condition]),IF(RIGHT(_xlpm.c,2)="1g",1,0))</calculatedColumnFormula>
    </tableColumn>
    <tableColumn id="13" xr3:uid="{8340960A-BC53-B144-9330-B572B3C5A7D0}" name="condition"/>
    <tableColumn id="2" xr3:uid="{E49E0B59-37B0-284D-BE77-40B5319AB755}" name="3" dataDxfId="11"/>
    <tableColumn id="3" xr3:uid="{12F044D8-6B04-8146-9059-0DD6BE8C153F}" name="4" dataDxfId="10"/>
    <tableColumn id="4" xr3:uid="{28314014-34F8-EF4B-AF7B-FC88FF8A6DA9}" name="5" dataDxfId="9"/>
    <tableColumn id="5" xr3:uid="{0BD4A703-F893-784A-B65E-DB2D1E798103}" name="6" dataDxfId="8"/>
    <tableColumn id="6" xr3:uid="{50D9F421-0114-CF41-9767-B830E35DC34D}" name="7" dataDxfId="7"/>
    <tableColumn id="7" xr3:uid="{E0DD0445-0346-1E47-9A2C-83486C4A03C4}" name="8" dataDxfId="6"/>
    <tableColumn id="8" xr3:uid="{5556115A-B62B-C140-944D-BADBB061EBB5}" name="9" dataDxfId="5"/>
    <tableColumn id="9" xr3:uid="{1B92E407-F94E-544F-B76D-B160EB3BC0AB}" name="10" dataDxfId="4"/>
    <tableColumn id="10" xr3:uid="{6871B4E2-64FC-EF4F-91D7-DFBFD9EFB3C2}" name="12" dataDxfId="3"/>
    <tableColumn id="11" xr3:uid="{059EBDD8-5269-D041-AFDD-56AB88BB8F27}" name="15" dataDxfId="2"/>
    <tableColumn id="15" xr3:uid="{10A0FF2E-0DFB-EB42-B7BA-5361345C2746}" name="average" dataDxfId="1">
      <calculatedColumnFormula>_xlfn.LET(_xlpm.d,$D2:$M2,AVERAGE(_xlpm.d))</calculatedColumnFormula>
    </tableColumn>
    <tableColumn id="12" xr3:uid="{A6241437-628E-B649-BE98-72F550E42AC5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E5C7-6BFB-6148-A0F4-2BD07B23A3EE}">
  <dimension ref="A1:O42"/>
  <sheetViews>
    <sheetView tabSelected="1" workbookViewId="0">
      <pane xSplit="9080" ySplit="3520" topLeftCell="A17" activePane="bottomRight"/>
      <selection sqref="A1:XFD1048576"/>
      <selection pane="topRight" activeCell="O1" sqref="O1:O1048576"/>
      <selection pane="bottomLeft" activeCell="A28" sqref="A28:XFD28"/>
      <selection pane="bottomRight" activeCell="E6" sqref="E6"/>
    </sheetView>
  </sheetViews>
  <sheetFormatPr baseColWidth="10" defaultRowHeight="30" customHeight="1"/>
  <cols>
    <col min="1" max="1" width="10.375" customWidth="1"/>
    <col min="2" max="2" width="7.125" customWidth="1"/>
    <col min="3" max="3" width="12.5" customWidth="1"/>
    <col min="4" max="14" width="6.875" customWidth="1"/>
  </cols>
  <sheetData>
    <row r="1" spans="1:15" ht="30" customHeight="1">
      <c r="A1" t="s">
        <v>47</v>
      </c>
      <c r="B1" t="s">
        <v>46</v>
      </c>
      <c r="C1" t="s">
        <v>45</v>
      </c>
      <c r="D1" t="s">
        <v>44</v>
      </c>
      <c r="E1" t="s">
        <v>43</v>
      </c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t="s">
        <v>36</v>
      </c>
      <c r="M1" t="s">
        <v>35</v>
      </c>
      <c r="N1" t="s">
        <v>34</v>
      </c>
      <c r="O1" t="s">
        <v>33</v>
      </c>
    </row>
    <row r="2" spans="1:15" ht="30" customHeight="1">
      <c r="A2" t="str">
        <f>_xlfn.LET(_xlpm.c,_xlfn.SINGLE(Table1[condition]),_xlfn.TEXTBEFORE(_xlpm.c,"-"))</f>
        <v>arabic</v>
      </c>
      <c r="B2">
        <f>_xlfn.LET(_xlpm.c,_xlfn.SINGLE(Table1[condition]),IF(RIGHT(_xlpm.c,2)="1g",1,0))</f>
        <v>1</v>
      </c>
      <c r="C2" t="s">
        <v>32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f>_xlfn.LET(_xlpm.d,$D2:$M2,AVERAGE(_xlpm.d))</f>
        <v>1</v>
      </c>
      <c r="O2" s="2"/>
    </row>
    <row r="3" spans="1:15" ht="30" customHeight="1">
      <c r="A3" t="str">
        <f>_xlfn.LET(_xlpm.c,_xlfn.SINGLE(Table1[condition]),_xlfn.TEXTBEFORE(_xlpm.c,"-"))</f>
        <v>arabic</v>
      </c>
      <c r="B3">
        <f>_xlfn.LET(_xlpm.c,_xlfn.SINGLE(Table1[condition]),IF(RIGHT(_xlpm.c,2)="1g",1,0))</f>
        <v>0</v>
      </c>
      <c r="C3" t="s">
        <v>31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f>_xlfn.LET(_xlpm.d,$D3:$M3,AVERAGE(_xlpm.d))</f>
        <v>1</v>
      </c>
      <c r="O3" s="2"/>
    </row>
    <row r="4" spans="1:15" ht="30" customHeight="1">
      <c r="A4" t="str">
        <f>_xlfn.LET(_xlpm.c,_xlfn.SINGLE(Table1[condition]),_xlfn.TEXTBEFORE(_xlpm.c,"-"))</f>
        <v>arabic</v>
      </c>
      <c r="B4">
        <f>_xlfn.LET(_xlpm.c,_xlfn.SINGLE(Table1[condition]),IF(RIGHT(_xlpm.c,2)="1g",1,0))</f>
        <v>0</v>
      </c>
      <c r="C4" t="s">
        <v>30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f>_xlfn.LET(_xlpm.d,$D4:$M4,AVERAGE(_xlpm.d))</f>
        <v>1</v>
      </c>
      <c r="O4" s="2"/>
    </row>
    <row r="5" spans="1:15" ht="30" customHeight="1">
      <c r="A5" t="str">
        <f>_xlfn.LET(_xlpm.c,_xlfn.SINGLE(Table1[condition]),_xlfn.TEXTBEFORE(_xlpm.c,"-"))</f>
        <v>arabic</v>
      </c>
      <c r="B5">
        <f>_xlfn.LET(_xlpm.c,_xlfn.SINGLE(Table1[condition]),IF(RIGHT(_xlpm.c,2)="1g",1,0))</f>
        <v>0</v>
      </c>
      <c r="C5" t="s">
        <v>29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0.99036588059502995</v>
      </c>
      <c r="N5" s="2">
        <f>_xlfn.LET(_xlpm.d,$D5:$M5,AVERAGE(_xlpm.d))</f>
        <v>0.99903658805950302</v>
      </c>
      <c r="O5" s="2"/>
    </row>
    <row r="6" spans="1:15" ht="30" customHeight="1">
      <c r="A6" t="str">
        <f>_xlfn.LET(_xlpm.c,_xlfn.SINGLE(Table1[condition]),_xlfn.TEXTBEFORE(_xlpm.c,"-"))</f>
        <v>arabic</v>
      </c>
      <c r="B6">
        <f>_xlfn.LET(_xlpm.c,_xlfn.SINGLE(Table1[condition]),IF(RIGHT(_xlpm.c,2)="1g",1,0))</f>
        <v>0</v>
      </c>
      <c r="C6" t="s">
        <v>28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0.98609769136755798</v>
      </c>
      <c r="K6" s="2">
        <v>0.98609769136755798</v>
      </c>
      <c r="L6" s="2">
        <v>0.95692161645242901</v>
      </c>
      <c r="M6" s="2">
        <v>0.91785129220235595</v>
      </c>
      <c r="N6" s="2">
        <f>_xlfn.LET(_xlpm.d,$D6:$M6,AVERAGE(_xlpm.d))</f>
        <v>0.98469682913899015</v>
      </c>
      <c r="O6" s="2"/>
    </row>
    <row r="7" spans="1:15" ht="30" customHeight="1">
      <c r="A7" t="str">
        <f>_xlfn.LET(_xlpm.c,_xlfn.SINGLE(Table1[condition]),_xlfn.TEXTBEFORE(_xlpm.c,"-"))</f>
        <v>english</v>
      </c>
      <c r="B7">
        <f>_xlfn.LET(_xlpm.c,_xlfn.SINGLE(Table1[condition]),IF(RIGHT(_xlpm.c,2)="1g",1,0))</f>
        <v>1</v>
      </c>
      <c r="C7" t="s">
        <v>27</v>
      </c>
      <c r="D7" s="2">
        <v>1</v>
      </c>
      <c r="E7" s="2">
        <v>1</v>
      </c>
      <c r="F7" s="2">
        <v>1</v>
      </c>
      <c r="G7" s="2">
        <v>0.95777081059885605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0.96266432273490499</v>
      </c>
      <c r="N7" s="2">
        <f>_xlfn.LET(_xlpm.d,$D7:$M7,AVERAGE(_xlpm.d))</f>
        <v>0.99204351333337615</v>
      </c>
      <c r="O7" s="2"/>
    </row>
    <row r="8" spans="1:15" ht="30" customHeight="1">
      <c r="A8" t="str">
        <f>_xlfn.LET(_xlpm.c,_xlfn.SINGLE(Table1[condition]),_xlfn.TEXTBEFORE(_xlpm.c,"-"))</f>
        <v>english</v>
      </c>
      <c r="B8">
        <f>_xlfn.LET(_xlpm.c,_xlfn.SINGLE(Table1[condition]),IF(RIGHT(_xlpm.c,2)="1g",1,0))</f>
        <v>0</v>
      </c>
      <c r="C8" t="s">
        <v>26</v>
      </c>
      <c r="D8" s="2">
        <v>0.86792152968616998</v>
      </c>
      <c r="E8" s="2">
        <v>0.83377671286678701</v>
      </c>
      <c r="F8" s="2">
        <v>0.84180558814080797</v>
      </c>
      <c r="G8" s="2">
        <v>0.85288474226293598</v>
      </c>
      <c r="H8" s="2">
        <v>0.87687112015576396</v>
      </c>
      <c r="I8" s="2">
        <v>0.86654786566928699</v>
      </c>
      <c r="J8" s="2">
        <v>0.91563131425581301</v>
      </c>
      <c r="K8" s="2">
        <v>0.91143880553583101</v>
      </c>
      <c r="L8" s="2">
        <v>0.90940943844602296</v>
      </c>
      <c r="M8" s="2">
        <v>0.85383877514405104</v>
      </c>
      <c r="N8" s="2">
        <f>_xlfn.LET(_xlpm.d,$D8:$M8,AVERAGE(_xlpm.d))</f>
        <v>0.87301258921634695</v>
      </c>
      <c r="O8" s="2"/>
    </row>
    <row r="9" spans="1:15" ht="30" customHeight="1">
      <c r="A9" t="str">
        <f>_xlfn.LET(_xlpm.c,_xlfn.SINGLE(Table1[condition]),_xlfn.TEXTBEFORE(_xlpm.c,"-"))</f>
        <v>english</v>
      </c>
      <c r="B9">
        <f>_xlfn.LET(_xlpm.c,_xlfn.SINGLE(Table1[condition]),IF(RIGHT(_xlpm.c,2)="1g",1,0))</f>
        <v>0</v>
      </c>
      <c r="C9" t="s">
        <v>25</v>
      </c>
      <c r="D9" s="2">
        <v>0.86821950193755604</v>
      </c>
      <c r="E9" s="2">
        <v>0.77682569894907105</v>
      </c>
      <c r="F9" s="2">
        <v>0.79778335454281801</v>
      </c>
      <c r="G9" s="2">
        <v>0.80014830982830898</v>
      </c>
      <c r="H9" s="2">
        <v>0.84064835077017297</v>
      </c>
      <c r="I9" s="2">
        <v>0.80926642198793297</v>
      </c>
      <c r="J9" s="2">
        <v>0.81111053599112004</v>
      </c>
      <c r="K9" s="2">
        <v>0.79762961544233502</v>
      </c>
      <c r="L9" s="2">
        <v>0.85924611668773698</v>
      </c>
      <c r="M9" s="2">
        <v>0.831382354864454</v>
      </c>
      <c r="N9" s="2">
        <f>_xlfn.LET(_xlpm.d,$D9:$M9,AVERAGE(_xlpm.d))</f>
        <v>0.81922602610015061</v>
      </c>
      <c r="O9" s="2"/>
    </row>
    <row r="10" spans="1:15" ht="30" customHeight="1">
      <c r="A10" t="str">
        <f>_xlfn.LET(_xlpm.c,_xlfn.SINGLE(Table1[condition]),_xlfn.TEXTBEFORE(_xlpm.c,"-"))</f>
        <v>english</v>
      </c>
      <c r="B10">
        <f>_xlfn.LET(_xlpm.c,_xlfn.SINGLE(Table1[condition]),IF(RIGHT(_xlpm.c,2)="1g",1,0))</f>
        <v>0</v>
      </c>
      <c r="C10" t="s">
        <v>24</v>
      </c>
      <c r="D10" s="2">
        <v>0.85126636061666905</v>
      </c>
      <c r="E10" s="2">
        <v>0.82393877729534404</v>
      </c>
      <c r="F10" s="2">
        <v>0.84403192849022102</v>
      </c>
      <c r="G10" s="2">
        <v>0.84605547390300595</v>
      </c>
      <c r="H10" s="2">
        <v>0.87400030946627305</v>
      </c>
      <c r="I10" s="2">
        <v>0.91357276627410999</v>
      </c>
      <c r="J10" s="2">
        <v>0.91357276627410999</v>
      </c>
      <c r="K10" s="2">
        <v>0.95052990236519497</v>
      </c>
      <c r="L10" s="2">
        <v>0.88278002765090702</v>
      </c>
      <c r="M10" s="2">
        <v>0.82169605360915599</v>
      </c>
      <c r="N10" s="2">
        <f>_xlfn.LET(_xlpm.d,$D10:$M10,AVERAGE(_xlpm.d))</f>
        <v>0.87214443659449914</v>
      </c>
      <c r="O10" s="2"/>
    </row>
    <row r="11" spans="1:15" ht="30" customHeight="1">
      <c r="A11" t="str">
        <f>_xlfn.LET(_xlpm.c,_xlfn.SINGLE(Table1[condition]),_xlfn.TEXTBEFORE(_xlpm.c,"-"))</f>
        <v>english</v>
      </c>
      <c r="B11">
        <f>_xlfn.LET(_xlpm.c,_xlfn.SINGLE(Table1[condition]),IF(RIGHT(_xlpm.c,2)="1g",1,0))</f>
        <v>0</v>
      </c>
      <c r="C11" t="s">
        <v>23</v>
      </c>
      <c r="D11" s="2">
        <v>0.85147626970637802</v>
      </c>
      <c r="E11" s="2">
        <v>0.93590278710434505</v>
      </c>
      <c r="F11" s="2">
        <v>0.89298032652250103</v>
      </c>
      <c r="G11" s="2">
        <v>0.90632567738522096</v>
      </c>
      <c r="H11" s="2">
        <v>0.85388682333771204</v>
      </c>
      <c r="I11" s="2">
        <v>0.84282677232676995</v>
      </c>
      <c r="J11" s="2">
        <v>0.84861450672691796</v>
      </c>
      <c r="K11" s="2">
        <v>0.83387761411306305</v>
      </c>
      <c r="L11" s="2">
        <v>0.84603685573697196</v>
      </c>
      <c r="M11" s="2">
        <v>0.92031851201830095</v>
      </c>
      <c r="N11" s="2">
        <f>_xlfn.LET(_xlpm.d,$D11:$M11,AVERAGE(_xlpm.d))</f>
        <v>0.87322461449781807</v>
      </c>
      <c r="O11" s="2"/>
    </row>
    <row r="12" spans="1:15" ht="30" customHeight="1">
      <c r="A12" t="str">
        <f>_xlfn.LET(_xlpm.c,_xlfn.SINGLE(Table1[condition]),_xlfn.TEXTBEFORE(_xlpm.c,"-"))</f>
        <v>french</v>
      </c>
      <c r="B12">
        <f>_xlfn.LET(_xlpm.c,_xlfn.SINGLE(Table1[condition]),IF(RIGHT(_xlpm.c,2)="1g",1,0))</f>
        <v>1</v>
      </c>
      <c r="C12" t="s">
        <v>22</v>
      </c>
      <c r="D12" s="2">
        <v>1</v>
      </c>
      <c r="E12" s="2">
        <v>1</v>
      </c>
      <c r="F12" s="2">
        <v>0.96477263163992799</v>
      </c>
      <c r="G12" s="2">
        <v>0.96477263163992799</v>
      </c>
      <c r="H12" s="2">
        <v>0.98310722764360503</v>
      </c>
      <c r="I12" s="2">
        <v>0.98440645223654799</v>
      </c>
      <c r="J12" s="2">
        <v>0.98157185428334703</v>
      </c>
      <c r="K12" s="2">
        <v>0.98157185428334703</v>
      </c>
      <c r="L12" s="2">
        <v>0.98552011539411399</v>
      </c>
      <c r="M12" s="2">
        <v>0.947134882600141</v>
      </c>
      <c r="N12" s="2">
        <f>_xlfn.LET(_xlpm.d,$D12:$M12,AVERAGE(_xlpm.d))</f>
        <v>0.97928576497209563</v>
      </c>
      <c r="O12" s="2"/>
    </row>
    <row r="13" spans="1:15" ht="30" customHeight="1">
      <c r="A13" t="str">
        <f>_xlfn.LET(_xlpm.c,_xlfn.SINGLE(Table1[condition]),_xlfn.TEXTBEFORE(_xlpm.c,"-"))</f>
        <v>french</v>
      </c>
      <c r="B13">
        <f>_xlfn.LET(_xlpm.c,_xlfn.SINGLE(Table1[condition]),IF(RIGHT(_xlpm.c,2)="1g",1,0))</f>
        <v>0</v>
      </c>
      <c r="C13" t="s">
        <v>21</v>
      </c>
      <c r="D13" s="2">
        <v>0.91392219117739604</v>
      </c>
      <c r="E13" s="2">
        <v>0.862617067987411</v>
      </c>
      <c r="F13" s="2">
        <v>0.86403826330686295</v>
      </c>
      <c r="G13" s="2">
        <v>0.842083134731751</v>
      </c>
      <c r="H13" s="2">
        <v>0.91457801593146004</v>
      </c>
      <c r="I13" s="2">
        <v>0.90738588800447995</v>
      </c>
      <c r="J13" s="2">
        <v>0.93247614597275796</v>
      </c>
      <c r="K13" s="2">
        <v>0.91237187936632402</v>
      </c>
      <c r="L13" s="2">
        <v>0.88661536542802599</v>
      </c>
      <c r="M13" s="2">
        <v>0.96352863928042098</v>
      </c>
      <c r="N13" s="2">
        <f>_xlfn.LET(_xlpm.d,$D13:$M13,AVERAGE(_xlpm.d))</f>
        <v>0.89996165911868897</v>
      </c>
      <c r="O13" s="2"/>
    </row>
    <row r="14" spans="1:15" ht="30" customHeight="1">
      <c r="A14" t="str">
        <f>_xlfn.LET(_xlpm.c,_xlfn.SINGLE(Table1[condition]),_xlfn.TEXTBEFORE(_xlpm.c,"-"))</f>
        <v>french</v>
      </c>
      <c r="B14">
        <f>_xlfn.LET(_xlpm.c,_xlfn.SINGLE(Table1[condition]),IF(RIGHT(_xlpm.c,2)="1g",1,0))</f>
        <v>0</v>
      </c>
      <c r="C14" t="s">
        <v>20</v>
      </c>
      <c r="D14" s="2">
        <v>0.91658723456998203</v>
      </c>
      <c r="E14" s="2">
        <v>0.85830764604409104</v>
      </c>
      <c r="F14" s="2">
        <v>0.85815175950243705</v>
      </c>
      <c r="G14" s="2">
        <v>0.87282001443347701</v>
      </c>
      <c r="H14" s="2">
        <v>0.88699649762848798</v>
      </c>
      <c r="I14" s="2">
        <v>0.886391486389278</v>
      </c>
      <c r="J14" s="2">
        <v>0.88433794438330604</v>
      </c>
      <c r="K14" s="2">
        <v>0.91974953542127302</v>
      </c>
      <c r="L14" s="2">
        <v>0.89336284679880695</v>
      </c>
      <c r="M14" s="2">
        <v>0.75587292199156997</v>
      </c>
      <c r="N14" s="2">
        <f>_xlfn.LET(_xlpm.d,$D14:$M14,AVERAGE(_xlpm.d))</f>
        <v>0.87325778871627091</v>
      </c>
      <c r="O14" s="2"/>
    </row>
    <row r="15" spans="1:15" ht="30" customHeight="1">
      <c r="A15" t="str">
        <f>_xlfn.LET(_xlpm.c,_xlfn.SINGLE(Table1[condition]),_xlfn.TEXTBEFORE(_xlpm.c,"-"))</f>
        <v>french</v>
      </c>
      <c r="B15">
        <f>_xlfn.LET(_xlpm.c,_xlfn.SINGLE(Table1[condition]),IF(RIGHT(_xlpm.c,2)="1g",1,0))</f>
        <v>0</v>
      </c>
      <c r="C15" t="s">
        <v>19</v>
      </c>
      <c r="D15" s="2">
        <v>0.87066276016021904</v>
      </c>
      <c r="E15" s="2">
        <v>0.88151302525525799</v>
      </c>
      <c r="F15" s="2">
        <v>0.88439010072309798</v>
      </c>
      <c r="G15" s="2">
        <v>0.86822938346599299</v>
      </c>
      <c r="H15" s="2">
        <v>0.86788207273467299</v>
      </c>
      <c r="I15" s="2">
        <v>0.85679209519810795</v>
      </c>
      <c r="J15" s="2">
        <v>0.84389733555232405</v>
      </c>
      <c r="K15" s="2">
        <v>0.84216771116112599</v>
      </c>
      <c r="L15" s="2">
        <v>0.86740908275414597</v>
      </c>
      <c r="M15" s="2">
        <v>0.95339912848577202</v>
      </c>
      <c r="N15" s="2">
        <f>_xlfn.LET(_xlpm.d,$D15:$M15,AVERAGE(_xlpm.d))</f>
        <v>0.87363426954907164</v>
      </c>
      <c r="O15" s="2"/>
    </row>
    <row r="16" spans="1:15" ht="30" customHeight="1">
      <c r="A16" t="str">
        <f>_xlfn.LET(_xlpm.c,_xlfn.SINGLE(Table1[condition]),_xlfn.TEXTBEFORE(_xlpm.c,"-"))</f>
        <v>french</v>
      </c>
      <c r="B16">
        <f>_xlfn.LET(_xlpm.c,_xlfn.SINGLE(Table1[condition]),IF(RIGHT(_xlpm.c,2)="1g",1,0))</f>
        <v>0</v>
      </c>
      <c r="C16" t="s">
        <v>18</v>
      </c>
      <c r="D16" s="2">
        <v>0.80748934890233803</v>
      </c>
      <c r="E16" s="2">
        <v>0.900944971722481</v>
      </c>
      <c r="F16" s="2">
        <v>0.93533963303126499</v>
      </c>
      <c r="G16" s="2">
        <v>0.933224307321319</v>
      </c>
      <c r="H16" s="2">
        <v>0.82672082687135295</v>
      </c>
      <c r="I16" s="2">
        <v>0.82288716500511205</v>
      </c>
      <c r="J16" s="2">
        <v>0.82755285561109604</v>
      </c>
      <c r="K16" s="2">
        <v>0.805254113315653</v>
      </c>
      <c r="L16" s="2">
        <v>0.80785384165755902</v>
      </c>
      <c r="M16" s="2">
        <v>0.83901296714096396</v>
      </c>
      <c r="N16" s="2">
        <f>_xlfn.LET(_xlpm.d,$D16:$M16,AVERAGE(_xlpm.d))</f>
        <v>0.85062800305791408</v>
      </c>
      <c r="O16" s="2"/>
    </row>
    <row r="17" spans="1:15" ht="30" customHeight="1">
      <c r="A17" t="str">
        <f>_xlfn.LET(_xlpm.c,_xlfn.SINGLE(Table1[condition]),_xlfn.TEXTBEFORE(_xlpm.c,"-"))</f>
        <v>german</v>
      </c>
      <c r="B17">
        <f>_xlfn.LET(_xlpm.c,_xlfn.SINGLE(Table1[condition]),IF(RIGHT(_xlpm.c,2)="1g",1,0))</f>
        <v>1</v>
      </c>
      <c r="C17" t="s">
        <v>17</v>
      </c>
      <c r="D17" s="2">
        <v>1</v>
      </c>
      <c r="E17" s="2">
        <v>1</v>
      </c>
      <c r="F17" s="2">
        <v>0.989726001783237</v>
      </c>
      <c r="G17" s="2">
        <v>0.99041089151053296</v>
      </c>
      <c r="H17" s="2">
        <v>0.96218537534048398</v>
      </c>
      <c r="I17" s="2">
        <v>0.96218537534048398</v>
      </c>
      <c r="J17" s="2">
        <v>0.96454674243994099</v>
      </c>
      <c r="K17" s="2">
        <v>0.96972632961139205</v>
      </c>
      <c r="L17" s="2">
        <v>0.96041994109131501</v>
      </c>
      <c r="M17" s="2">
        <v>0.96974859536501901</v>
      </c>
      <c r="N17" s="2">
        <f>_xlfn.LET(_xlpm.d,$D17:$M17,AVERAGE(_xlpm.d))</f>
        <v>0.9768949252482404</v>
      </c>
      <c r="O17" s="2"/>
    </row>
    <row r="18" spans="1:15" ht="30" customHeight="1">
      <c r="A18" t="str">
        <f>_xlfn.LET(_xlpm.c,_xlfn.SINGLE(Table1[condition]),_xlfn.TEXTBEFORE(_xlpm.c,"-"))</f>
        <v>german</v>
      </c>
      <c r="B18">
        <f>_xlfn.LET(_xlpm.c,_xlfn.SINGLE(Table1[condition]),IF(RIGHT(_xlpm.c,2)="1g",1,0))</f>
        <v>0</v>
      </c>
      <c r="C18" t="s">
        <v>16</v>
      </c>
      <c r="D18" s="2">
        <v>0.87883415361349004</v>
      </c>
      <c r="E18" s="2">
        <v>0.86699660164833103</v>
      </c>
      <c r="F18" s="2">
        <v>0.90316057180748099</v>
      </c>
      <c r="G18" s="2">
        <v>0.85762064003824301</v>
      </c>
      <c r="H18" s="2">
        <v>0.99247439095684398</v>
      </c>
      <c r="I18" s="2">
        <v>0.98429413983295599</v>
      </c>
      <c r="J18" s="2">
        <v>0.90761973283942399</v>
      </c>
      <c r="K18" s="2">
        <v>0.98458615289958296</v>
      </c>
      <c r="L18" s="2">
        <v>0.96071596808772897</v>
      </c>
      <c r="M18" s="2">
        <v>0.87125146095084505</v>
      </c>
      <c r="N18" s="2">
        <f>_xlfn.LET(_xlpm.d,$D18:$M18,AVERAGE(_xlpm.d))</f>
        <v>0.92075538126749257</v>
      </c>
      <c r="O18" s="2"/>
    </row>
    <row r="19" spans="1:15" ht="30" customHeight="1">
      <c r="A19" t="str">
        <f>_xlfn.LET(_xlpm.c,_xlfn.SINGLE(Table1[condition]),_xlfn.TEXTBEFORE(_xlpm.c,"-"))</f>
        <v>german</v>
      </c>
      <c r="B19">
        <f>_xlfn.LET(_xlpm.c,_xlfn.SINGLE(Table1[condition]),IF(RIGHT(_xlpm.c,2)="1g",1,0))</f>
        <v>0</v>
      </c>
      <c r="C19" t="s">
        <v>15</v>
      </c>
      <c r="D19" s="2">
        <v>0.88316048875243702</v>
      </c>
      <c r="E19" s="2">
        <v>0.92019157320936096</v>
      </c>
      <c r="F19" s="2">
        <v>0.88932077853570601</v>
      </c>
      <c r="G19" s="2">
        <v>0.890597268644573</v>
      </c>
      <c r="H19" s="2">
        <v>0.88550024638958702</v>
      </c>
      <c r="I19" s="2">
        <v>0.92044157843154994</v>
      </c>
      <c r="J19" s="2">
        <v>0.86435590551298802</v>
      </c>
      <c r="K19" s="2">
        <v>0.79946284556584302</v>
      </c>
      <c r="L19" s="2">
        <v>0.71524008492890301</v>
      </c>
      <c r="M19" s="2">
        <v>0.86327926452168602</v>
      </c>
      <c r="N19" s="2">
        <f>_xlfn.LET(_xlpm.d,$D19:$M19,AVERAGE(_xlpm.d))</f>
        <v>0.86315500344926332</v>
      </c>
      <c r="O19" s="2"/>
    </row>
    <row r="20" spans="1:15" ht="30" customHeight="1">
      <c r="A20" t="str">
        <f>_xlfn.LET(_xlpm.c,_xlfn.SINGLE(Table1[condition]),_xlfn.TEXTBEFORE(_xlpm.c,"-"))</f>
        <v>german</v>
      </c>
      <c r="B20">
        <f>_xlfn.LET(_xlpm.c,_xlfn.SINGLE(Table1[condition]),IF(RIGHT(_xlpm.c,2)="1g",1,0))</f>
        <v>0</v>
      </c>
      <c r="C20" t="s">
        <v>14</v>
      </c>
      <c r="D20" s="2">
        <v>0.91206916759310697</v>
      </c>
      <c r="E20" s="2">
        <v>0.93107709709709496</v>
      </c>
      <c r="F20" s="2">
        <v>0.91620835975400805</v>
      </c>
      <c r="G20" s="2">
        <v>0.91191889963404704</v>
      </c>
      <c r="H20" s="2">
        <v>0.84091775208945996</v>
      </c>
      <c r="I20" s="2">
        <v>0.83493000138764795</v>
      </c>
      <c r="J20" s="2">
        <v>0.82765825214982403</v>
      </c>
      <c r="K20" s="2">
        <v>0.82981001898571904</v>
      </c>
      <c r="L20" s="2">
        <v>0.83038466063632999</v>
      </c>
      <c r="M20" s="2">
        <v>0.77702659043091904</v>
      </c>
      <c r="N20" s="2">
        <f>_xlfn.LET(_xlpm.d,$D20:$M20,AVERAGE(_xlpm.d))</f>
        <v>0.86120007997581582</v>
      </c>
      <c r="O20" s="2"/>
    </row>
    <row r="21" spans="1:15" ht="30" customHeight="1">
      <c r="A21" t="str">
        <f>_xlfn.LET(_xlpm.c,_xlfn.SINGLE(Table1[condition]),_xlfn.TEXTBEFORE(_xlpm.c,"-"))</f>
        <v>german</v>
      </c>
      <c r="B21">
        <f>_xlfn.LET(_xlpm.c,_xlfn.SINGLE(Table1[condition]),IF(RIGHT(_xlpm.c,2)="1g",1,0))</f>
        <v>0</v>
      </c>
      <c r="C21" t="s">
        <v>13</v>
      </c>
      <c r="D21" s="2">
        <v>0.89424866467819497</v>
      </c>
      <c r="E21" s="2">
        <v>0.86906958420064095</v>
      </c>
      <c r="F21" s="2">
        <v>0.88198522093487397</v>
      </c>
      <c r="G21" s="2">
        <v>0.87790961523121103</v>
      </c>
      <c r="H21" s="2">
        <v>0.89497097627153999</v>
      </c>
      <c r="I21" s="2">
        <v>0.890817784481162</v>
      </c>
      <c r="J21" s="2">
        <v>0.88878238604859805</v>
      </c>
      <c r="K21" s="2">
        <v>0.90109483412035596</v>
      </c>
      <c r="L21" s="2">
        <v>0.88730380865295899</v>
      </c>
      <c r="M21" s="2">
        <v>0.83553483416650598</v>
      </c>
      <c r="N21" s="2">
        <f>_xlfn.LET(_xlpm.d,$D21:$M21,AVERAGE(_xlpm.d))</f>
        <v>0.88217177087860432</v>
      </c>
      <c r="O21" s="2"/>
    </row>
    <row r="22" spans="1:15" ht="30" customHeight="1">
      <c r="A22" t="str">
        <f>_xlfn.LET(_xlpm.c,_xlfn.SINGLE(Table1[condition]),_xlfn.TEXTBEFORE(_xlpm.c,"-"))</f>
        <v>russian</v>
      </c>
      <c r="B22">
        <f>_xlfn.LET(_xlpm.c,_xlfn.SINGLE(Table1[condition]),IF(RIGHT(_xlpm.c,2)="1g",1,0))</f>
        <v>1</v>
      </c>
      <c r="C22" t="s">
        <v>12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f>_xlfn.LET(_xlpm.d,$D22:$M22,AVERAGE(_xlpm.d))</f>
        <v>1</v>
      </c>
      <c r="O22" s="2"/>
    </row>
    <row r="23" spans="1:15" ht="30" customHeight="1">
      <c r="A23" t="str">
        <f>_xlfn.LET(_xlpm.c,_xlfn.SINGLE(Table1[condition]),_xlfn.TEXTBEFORE(_xlpm.c,"-"))</f>
        <v>russian</v>
      </c>
      <c r="B23">
        <f>_xlfn.LET(_xlpm.c,_xlfn.SINGLE(Table1[condition]),IF(RIGHT(_xlpm.c,2)="1g",1,0))</f>
        <v>0</v>
      </c>
      <c r="C23" t="s">
        <v>11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f>_xlfn.LET(_xlpm.d,$D23:$M23,AVERAGE(_xlpm.d))</f>
        <v>1</v>
      </c>
      <c r="O23" s="2"/>
    </row>
    <row r="24" spans="1:15" ht="30" customHeight="1">
      <c r="A24" t="str">
        <f>_xlfn.LET(_xlpm.c,_xlfn.SINGLE(Table1[condition]),_xlfn.TEXTBEFORE(_xlpm.c,"-"))</f>
        <v>russian</v>
      </c>
      <c r="B24">
        <f>_xlfn.LET(_xlpm.c,_xlfn.SINGLE(Table1[condition]),IF(RIGHT(_xlpm.c,2)="1g",1,0))</f>
        <v>0</v>
      </c>
      <c r="C24" t="s">
        <v>10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f>_xlfn.LET(_xlpm.d,$D24:$M24,AVERAGE(_xlpm.d))</f>
        <v>1</v>
      </c>
      <c r="O24" s="2"/>
    </row>
    <row r="25" spans="1:15" ht="30" customHeight="1">
      <c r="A25" t="str">
        <f>_xlfn.LET(_xlpm.c,_xlfn.SINGLE(Table1[condition]),_xlfn.TEXTBEFORE(_xlpm.c,"-"))</f>
        <v>russian</v>
      </c>
      <c r="B25">
        <f>_xlfn.LET(_xlpm.c,_xlfn.SINGLE(Table1[condition]),IF(RIGHT(_xlpm.c,2)="1g",1,0))</f>
        <v>0</v>
      </c>
      <c r="C25" t="s">
        <v>9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0.98898968210386295</v>
      </c>
      <c r="M25" s="2">
        <v>0.97487384675336397</v>
      </c>
      <c r="N25" s="2">
        <f>_xlfn.LET(_xlpm.d,$D25:$M25,AVERAGE(_xlpm.d))</f>
        <v>0.99638635288572286</v>
      </c>
      <c r="O25" s="2"/>
    </row>
    <row r="26" spans="1:15" ht="30" customHeight="1">
      <c r="A26" t="str">
        <f>_xlfn.LET(_xlpm.c,_xlfn.SINGLE(Table1[condition]),_xlfn.TEXTBEFORE(_xlpm.c,"-"))</f>
        <v>russian</v>
      </c>
      <c r="B26">
        <f>_xlfn.LET(_xlpm.c,_xlfn.SINGLE(Table1[condition]),IF(RIGHT(_xlpm.c,2)="1g",1,0))</f>
        <v>0</v>
      </c>
      <c r="C26" t="s">
        <v>8</v>
      </c>
      <c r="D26" s="2">
        <v>1</v>
      </c>
      <c r="E26" s="2">
        <v>0.99411091629896997</v>
      </c>
      <c r="F26" s="2">
        <v>0.99332352957322201</v>
      </c>
      <c r="G26" s="2">
        <v>0.99258172538098899</v>
      </c>
      <c r="H26" s="2">
        <v>1</v>
      </c>
      <c r="I26" s="2">
        <v>1</v>
      </c>
      <c r="J26" s="2">
        <v>1</v>
      </c>
      <c r="K26" s="2">
        <v>1</v>
      </c>
      <c r="L26" s="2">
        <v>0.93079607723847202</v>
      </c>
      <c r="M26" s="2">
        <v>0.98822224106601197</v>
      </c>
      <c r="N26" s="2">
        <f>_xlfn.LET(_xlpm.d,$D26:$M26,AVERAGE(_xlpm.d))</f>
        <v>0.98990344895576654</v>
      </c>
      <c r="O26" s="2"/>
    </row>
    <row r="28" spans="1:15" ht="30" customHeight="1">
      <c r="C28" t="s">
        <v>7</v>
      </c>
    </row>
    <row r="29" spans="1:15" ht="30" customHeight="1">
      <c r="C29" t="s">
        <v>5</v>
      </c>
      <c r="D29" s="1">
        <f>_xlfn.LET(_xlpm.d,D$2:D$26,AVERAGE(_xlpm.d))</f>
        <v>0.94063430685575755</v>
      </c>
      <c r="E29" s="1">
        <f>_xlfn.LET(_xlpm.d,E$2:E$26,AVERAGE(_xlpm.d))</f>
        <v>0.93821089838716742</v>
      </c>
      <c r="F29" s="1">
        <f>_xlfn.LET(_xlpm.d,F$2:F$26,AVERAGE(_xlpm.d))</f>
        <v>0.93828072193153877</v>
      </c>
      <c r="G29" s="1">
        <f>_xlfn.LET(_xlpm.d,G$2:G$26,AVERAGE(_xlpm.d))</f>
        <v>0.93461414104041585</v>
      </c>
      <c r="H29" s="1">
        <f>_xlfn.LET(_xlpm.d,H$2:H$26,AVERAGE(_xlpm.d))</f>
        <v>0.94002959942349662</v>
      </c>
      <c r="I29" s="1">
        <f>_xlfn.LET(_xlpm.d,I$2:I$26,AVERAGE(_xlpm.d))</f>
        <v>0.93930983170261695</v>
      </c>
      <c r="J29" s="1">
        <f>_xlfn.LET(_xlpm.d,J$2:J$26,AVERAGE(_xlpm.d))</f>
        <v>0.93591303877636489</v>
      </c>
      <c r="K29" s="1">
        <f>_xlfn.LET(_xlpm.d,K$2:K$26,AVERAGE(_xlpm.d))</f>
        <v>0.93701475614218399</v>
      </c>
      <c r="L29" s="1">
        <f>_xlfn.LET(_xlpm.d,L$2:L$26,AVERAGE(_xlpm.d))</f>
        <v>0.92676022118985169</v>
      </c>
      <c r="M29" s="1">
        <f>_xlfn.LET(_xlpm.d,M$2:M$26,AVERAGE(_xlpm.d))</f>
        <v>0.92148010255685875</v>
      </c>
      <c r="N29" s="1">
        <f>_xlfn.LET(_xlpm.d,N$2:N$26,AVERAGE(_xlpm.d))</f>
        <v>0.9352247618006253</v>
      </c>
    </row>
    <row r="30" spans="1:15" ht="30" customHeight="1">
      <c r="C30" t="s">
        <v>4</v>
      </c>
      <c r="D30" s="1" cm="1">
        <f t="array" ref="D30">_xlfn.LET(_xlpm.d,D$2:D$26,_xlpm.f,$A$2:$A$26,_xlpm.k,$C30,AVERAGE(_xlfn._xlws.FILTER(_xlpm.d,_xlpm.f=_xlpm.k)))</f>
        <v>1</v>
      </c>
      <c r="E30" s="1" cm="1">
        <f t="array" ref="E30">_xlfn.LET(_xlpm.d,E$2:E$26,_xlpm.f,$A$2:$A$26,_xlpm.k,$C30,AVERAGE(_xlfn._xlws.FILTER(_xlpm.d,_xlpm.f=_xlpm.k)))</f>
        <v>1</v>
      </c>
      <c r="F30" s="1" cm="1">
        <f t="array" ref="F30">_xlfn.LET(_xlpm.d,F$2:F$26,_xlpm.f,$A$2:$A$26,_xlpm.k,$C30,AVERAGE(_xlfn._xlws.FILTER(_xlpm.d,_xlpm.f=_xlpm.k)))</f>
        <v>1</v>
      </c>
      <c r="G30" s="1" cm="1">
        <f t="array" ref="G30">_xlfn.LET(_xlpm.d,G$2:G$26,_xlpm.f,$A$2:$A$26,_xlpm.k,$C30,AVERAGE(_xlfn._xlws.FILTER(_xlpm.d,_xlpm.f=_xlpm.k)))</f>
        <v>1</v>
      </c>
      <c r="H30" s="1" cm="1">
        <f t="array" ref="H30">_xlfn.LET(_xlpm.d,H$2:H$26,_xlpm.f,$A$2:$A$26,_xlpm.k,$C30,AVERAGE(_xlfn._xlws.FILTER(_xlpm.d,_xlpm.f=_xlpm.k)))</f>
        <v>1</v>
      </c>
      <c r="I30" s="1" cm="1">
        <f t="array" ref="I30">_xlfn.LET(_xlpm.d,I$2:I$26,_xlpm.f,$A$2:$A$26,_xlpm.k,$C30,AVERAGE(_xlfn._xlws.FILTER(_xlpm.d,_xlpm.f=_xlpm.k)))</f>
        <v>1</v>
      </c>
      <c r="J30" s="1" cm="1">
        <f t="array" ref="J30">_xlfn.LET(_xlpm.d,J$2:J$26,_xlpm.f,$A$2:$A$26,_xlpm.k,$C30,AVERAGE(_xlfn._xlws.FILTER(_xlpm.d,_xlpm.f=_xlpm.k)))</f>
        <v>0.99721953827351162</v>
      </c>
      <c r="K30" s="1" cm="1">
        <f t="array" ref="K30">_xlfn.LET(_xlpm.d,K$2:K$26,_xlpm.f,$A$2:$A$26,_xlpm.k,$C30,AVERAGE(_xlfn._xlws.FILTER(_xlpm.d,_xlpm.f=_xlpm.k)))</f>
        <v>0.99721953827351162</v>
      </c>
      <c r="L30" s="1" cm="1">
        <f t="array" ref="L30">_xlfn.LET(_xlpm.d,L$2:L$26,_xlpm.f,$A$2:$A$26,_xlpm.k,$C30,AVERAGE(_xlfn._xlws.FILTER(_xlpm.d,_xlpm.f=_xlpm.k)))</f>
        <v>0.99138432329048576</v>
      </c>
      <c r="M30" s="1" cm="1">
        <f t="array" ref="M30">_xlfn.LET(_xlpm.d,M$2:M$26,_xlpm.f,$A$2:$A$26,_xlpm.k,$C30,AVERAGE(_xlfn._xlws.FILTER(_xlpm.d,_xlpm.f=_xlpm.k)))</f>
        <v>0.98164343455947711</v>
      </c>
      <c r="N30" s="1" cm="1">
        <f t="array" ref="N30">_xlfn.LET(_xlpm.d,N$2:N$26,_xlpm.f,$A$2:$A$26,_xlpm.k,$C30,AVERAGE(_xlfn._xlws.FILTER(_xlpm.d,_xlpm.f=_xlpm.k)))</f>
        <v>0.99674668343969874</v>
      </c>
    </row>
    <row r="31" spans="1:15" ht="30" customHeight="1">
      <c r="C31" t="s">
        <v>3</v>
      </c>
      <c r="D31" s="1" cm="1">
        <f t="array" ref="D31">_xlfn.LET(_xlpm.d,D$2:D$26,_xlpm.f,$A$2:$A$26,_xlpm.k,$C31,AVERAGE(_xlfn._xlws.FILTER(_xlpm.d,_xlpm.f=_xlpm.k)))</f>
        <v>0.88777673238935451</v>
      </c>
      <c r="E31" s="1" cm="1">
        <f t="array" ref="E31">_xlfn.LET(_xlpm.d,E$2:E$26,_xlpm.f,$A$2:$A$26,_xlpm.k,$C31,AVERAGE(_xlfn._xlws.FILTER(_xlpm.d,_xlpm.f=_xlpm.k)))</f>
        <v>0.87408879524310945</v>
      </c>
      <c r="F31" s="1" cm="1">
        <f t="array" ref="F31">_xlfn.LET(_xlpm.d,F$2:F$26,_xlpm.f,$A$2:$A$26,_xlpm.k,$C31,AVERAGE(_xlfn._xlws.FILTER(_xlpm.d,_xlpm.f=_xlpm.k)))</f>
        <v>0.87532023953926963</v>
      </c>
      <c r="G31" s="1" cm="1">
        <f t="array" ref="G31">_xlfn.LET(_xlpm.d,G$2:G$26,_xlpm.f,$A$2:$A$26,_xlpm.k,$C31,AVERAGE(_xlfn._xlws.FILTER(_xlpm.d,_xlpm.f=_xlpm.k)))</f>
        <v>0.87263700279566547</v>
      </c>
      <c r="H31" s="1" cm="1">
        <f t="array" ref="H31">_xlfn.LET(_xlpm.d,H$2:H$26,_xlpm.f,$A$2:$A$26,_xlpm.k,$C31,AVERAGE(_xlfn._xlws.FILTER(_xlpm.d,_xlpm.f=_xlpm.k)))</f>
        <v>0.88908132074598445</v>
      </c>
      <c r="I31" s="1" cm="1">
        <f t="array" ref="I31">_xlfn.LET(_xlpm.d,I$2:I$26,_xlpm.f,$A$2:$A$26,_xlpm.k,$C31,AVERAGE(_xlfn._xlws.FILTER(_xlpm.d,_xlpm.f=_xlpm.k)))</f>
        <v>0.88644276525162002</v>
      </c>
      <c r="J31" s="1" cm="1">
        <f t="array" ref="J31">_xlfn.LET(_xlpm.d,J$2:J$26,_xlpm.f,$A$2:$A$26,_xlpm.k,$C31,AVERAGE(_xlfn._xlws.FILTER(_xlpm.d,_xlpm.f=_xlpm.k)))</f>
        <v>0.89778582464959222</v>
      </c>
      <c r="K31" s="1" cm="1">
        <f t="array" ref="K31">_xlfn.LET(_xlpm.d,K$2:K$26,_xlpm.f,$A$2:$A$26,_xlpm.k,$C31,AVERAGE(_xlfn._xlws.FILTER(_xlpm.d,_xlpm.f=_xlpm.k)))</f>
        <v>0.89869518749128474</v>
      </c>
      <c r="L31" s="1" cm="1">
        <f t="array" ref="L31">_xlfn.LET(_xlpm.d,L$2:L$26,_xlpm.f,$A$2:$A$26,_xlpm.k,$C31,AVERAGE(_xlfn._xlws.FILTER(_xlpm.d,_xlpm.f=_xlpm.k)))</f>
        <v>0.89949448770432772</v>
      </c>
      <c r="M31" s="1" cm="1">
        <f t="array" ref="M31">_xlfn.LET(_xlpm.d,M$2:M$26,_xlpm.f,$A$2:$A$26,_xlpm.k,$C31,AVERAGE(_xlfn._xlws.FILTER(_xlpm.d,_xlpm.f=_xlpm.k)))</f>
        <v>0.87798000367417328</v>
      </c>
      <c r="N31" s="1" cm="1">
        <f t="array" ref="N31">_xlfn.LET(_xlpm.d,N$2:N$26,_xlpm.f,$A$2:$A$26,_xlpm.k,$C31,AVERAGE(_xlfn._xlws.FILTER(_xlpm.d,_xlpm.f=_xlpm.k)))</f>
        <v>0.88593023594843812</v>
      </c>
    </row>
    <row r="32" spans="1:15" ht="30" customHeight="1">
      <c r="C32" t="s">
        <v>2</v>
      </c>
      <c r="D32" s="1" cm="1">
        <f t="array" ref="D32">_xlfn.LET(_xlpm.d,D$2:D$26,_xlpm.f,$A$2:$A$26,_xlpm.k,$C32,AVERAGE(_xlfn._xlws.FILTER(_xlpm.d,_xlpm.f=_xlpm.k)))</f>
        <v>0.90173230696198703</v>
      </c>
      <c r="E32" s="1" cm="1">
        <f t="array" ref="E32">_xlfn.LET(_xlpm.d,E$2:E$26,_xlpm.f,$A$2:$A$26,_xlpm.k,$C32,AVERAGE(_xlfn._xlws.FILTER(_xlpm.d,_xlpm.f=_xlpm.k)))</f>
        <v>0.90067654220184823</v>
      </c>
      <c r="F32" s="1" cm="1">
        <f t="array" ref="F32">_xlfn.LET(_xlpm.d,F$2:F$26,_xlpm.f,$A$2:$A$26,_xlpm.k,$C32,AVERAGE(_xlfn._xlws.FILTER(_xlpm.d,_xlpm.f=_xlpm.k)))</f>
        <v>0.90133847764071828</v>
      </c>
      <c r="G32" s="1" cm="1">
        <f t="array" ref="G32">_xlfn.LET(_xlpm.d,G$2:G$26,_xlpm.f,$A$2:$A$26,_xlpm.k,$C32,AVERAGE(_xlfn._xlws.FILTER(_xlpm.d,_xlpm.f=_xlpm.k)))</f>
        <v>0.89622589431849364</v>
      </c>
      <c r="H32" s="1" cm="1">
        <f t="array" ref="H32">_xlfn.LET(_xlpm.d,H$2:H$26,_xlpm.f,$A$2:$A$26,_xlpm.k,$C32,AVERAGE(_xlfn._xlws.FILTER(_xlpm.d,_xlpm.f=_xlpm.k)))</f>
        <v>0.89585692816191576</v>
      </c>
      <c r="I32" s="1" cm="1">
        <f t="array" ref="I32">_xlfn.LET(_xlpm.d,I$2:I$26,_xlpm.f,$A$2:$A$26,_xlpm.k,$C32,AVERAGE(_xlfn._xlws.FILTER(_xlpm.d,_xlpm.f=_xlpm.k)))</f>
        <v>0.89157261736670512</v>
      </c>
      <c r="J32" s="1" cm="1">
        <f t="array" ref="J32">_xlfn.LET(_xlpm.d,J$2:J$26,_xlpm.f,$A$2:$A$26,_xlpm.k,$C32,AVERAGE(_xlfn._xlws.FILTER(_xlpm.d,_xlpm.f=_xlpm.k)))</f>
        <v>0.8939672271605662</v>
      </c>
      <c r="K32" s="1" cm="1">
        <f t="array" ref="K32">_xlfn.LET(_xlpm.d,K$2:K$26,_xlpm.f,$A$2:$A$26,_xlpm.k,$C32,AVERAGE(_xlfn._xlws.FILTER(_xlpm.d,_xlpm.f=_xlpm.k)))</f>
        <v>0.89222301870954457</v>
      </c>
      <c r="L32" s="1" cm="1">
        <f t="array" ref="L32">_xlfn.LET(_xlpm.d,L$2:L$26,_xlpm.f,$A$2:$A$26,_xlpm.k,$C32,AVERAGE(_xlfn._xlws.FILTER(_xlpm.d,_xlpm.f=_xlpm.k)))</f>
        <v>0.88815225040653034</v>
      </c>
      <c r="M32" s="1" cm="1">
        <f t="array" ref="M32">_xlfn.LET(_xlpm.d,M$2:M$26,_xlpm.f,$A$2:$A$26,_xlpm.k,$C32,AVERAGE(_xlfn._xlws.FILTER(_xlpm.d,_xlpm.f=_xlpm.k)))</f>
        <v>0.89178970789977341</v>
      </c>
      <c r="N32" s="1" cm="1">
        <f t="array" ref="N32">_xlfn.LET(_xlpm.d,N$2:N$26,_xlpm.f,$A$2:$A$26,_xlpm.k,$C32,AVERAGE(_xlfn._xlws.FILTER(_xlpm.d,_xlpm.f=_xlpm.k)))</f>
        <v>0.8953534970828082</v>
      </c>
    </row>
    <row r="33" spans="3:14" ht="30" customHeight="1">
      <c r="C33" t="s">
        <v>1</v>
      </c>
      <c r="D33" s="1" cm="1">
        <f t="array" ref="D33">_xlfn.LET(_xlpm.d,D$2:D$26,_xlpm.f,$A$2:$A$26,_xlpm.k,$C33,AVERAGE(_xlfn._xlws.FILTER(_xlpm.d,_xlpm.f=_xlpm.k)))</f>
        <v>0.91366249492744589</v>
      </c>
      <c r="E33" s="1" cm="1">
        <f t="array" ref="E33">_xlfn.LET(_xlpm.d,E$2:E$26,_xlpm.f,$A$2:$A$26,_xlpm.k,$C33,AVERAGE(_xlfn._xlws.FILTER(_xlpm.d,_xlpm.f=_xlpm.k)))</f>
        <v>0.91746697123108556</v>
      </c>
      <c r="F33" s="1" cm="1">
        <f t="array" ref="F33">_xlfn.LET(_xlpm.d,F$2:F$26,_xlpm.f,$A$2:$A$26,_xlpm.k,$C33,AVERAGE(_xlfn._xlws.FILTER(_xlpm.d,_xlpm.f=_xlpm.k)))</f>
        <v>0.91608018656306123</v>
      </c>
      <c r="G33" s="1" cm="1">
        <f t="array" ref="G33">_xlfn.LET(_xlpm.d,G$2:G$26,_xlpm.f,$A$2:$A$26,_xlpm.k,$C33,AVERAGE(_xlfn._xlws.FILTER(_xlpm.d,_xlpm.f=_xlpm.k)))</f>
        <v>0.90569146301172121</v>
      </c>
      <c r="H33" s="1" cm="1">
        <f t="array" ref="H33">_xlfn.LET(_xlpm.d,H$2:H$26,_xlpm.f,$A$2:$A$26,_xlpm.k,$C33,AVERAGE(_xlfn._xlws.FILTER(_xlpm.d,_xlpm.f=_xlpm.k)))</f>
        <v>0.9152097482095829</v>
      </c>
      <c r="I33" s="1" cm="1">
        <f t="array" ref="I33">_xlfn.LET(_xlpm.d,I$2:I$26,_xlpm.f,$A$2:$A$26,_xlpm.k,$C33,AVERAGE(_xlfn._xlws.FILTER(_xlpm.d,_xlpm.f=_xlpm.k)))</f>
        <v>0.91853377589476004</v>
      </c>
      <c r="J33" s="1" cm="1">
        <f t="array" ref="J33">_xlfn.LET(_xlpm.d,J$2:J$26,_xlpm.f,$A$2:$A$26,_xlpm.k,$C33,AVERAGE(_xlfn._xlws.FILTER(_xlpm.d,_xlpm.f=_xlpm.k)))</f>
        <v>0.89059260379815508</v>
      </c>
      <c r="K33" s="1" cm="1">
        <f t="array" ref="K33">_xlfn.LET(_xlpm.d,K$2:K$26,_xlpm.f,$A$2:$A$26,_xlpm.k,$C33,AVERAGE(_xlfn._xlws.FILTER(_xlpm.d,_xlpm.f=_xlpm.k)))</f>
        <v>0.89693603623657869</v>
      </c>
      <c r="L33" s="1" cm="1">
        <f t="array" ref="L33">_xlfn.LET(_xlpm.d,L$2:L$26,_xlpm.f,$A$2:$A$26,_xlpm.k,$C33,AVERAGE(_xlfn._xlws.FILTER(_xlpm.d,_xlpm.f=_xlpm.k)))</f>
        <v>0.87081289267944728</v>
      </c>
      <c r="M33" s="1" cm="1">
        <f t="array" ref="M33">_xlfn.LET(_xlpm.d,M$2:M$26,_xlpm.f,$A$2:$A$26,_xlpm.k,$C33,AVERAGE(_xlfn._xlws.FILTER(_xlpm.d,_xlpm.f=_xlpm.k)))</f>
        <v>0.863368149086995</v>
      </c>
      <c r="N33" s="1" cm="1">
        <f t="array" ref="N33">_xlfn.LET(_xlpm.d,N$2:N$26,_xlpm.f,$A$2:$A$26,_xlpm.k,$C33,AVERAGE(_xlfn._xlws.FILTER(_xlpm.d,_xlpm.f=_xlpm.k)))</f>
        <v>0.9008354321638834</v>
      </c>
    </row>
    <row r="34" spans="3:14" ht="30" customHeight="1">
      <c r="C34" t="s">
        <v>0</v>
      </c>
      <c r="D34" s="1" cm="1">
        <f t="array" ref="D34">_xlfn.LET(_xlpm.d,D$2:D$26,_xlpm.f,$A$2:$A$26,_xlpm.k,$C34,AVERAGE(_xlfn._xlws.FILTER(_xlpm.d,_xlpm.f=_xlpm.k)))</f>
        <v>1</v>
      </c>
      <c r="E34" s="1" cm="1">
        <f t="array" ref="E34">_xlfn.LET(_xlpm.d,E$2:E$26,_xlpm.f,$A$2:$A$26,_xlpm.k,$C34,AVERAGE(_xlfn._xlws.FILTER(_xlpm.d,_xlpm.f=_xlpm.k)))</f>
        <v>0.99882218325979399</v>
      </c>
      <c r="F34" s="1" cm="1">
        <f t="array" ref="F34">_xlfn.LET(_xlpm.d,F$2:F$26,_xlpm.f,$A$2:$A$26,_xlpm.k,$C34,AVERAGE(_xlfn._xlws.FILTER(_xlpm.d,_xlpm.f=_xlpm.k)))</f>
        <v>0.9986647059146444</v>
      </c>
      <c r="G34" s="1" cm="1">
        <f t="array" ref="G34">_xlfn.LET(_xlpm.d,G$2:G$26,_xlpm.f,$A$2:$A$26,_xlpm.k,$C34,AVERAGE(_xlfn._xlws.FILTER(_xlpm.d,_xlpm.f=_xlpm.k)))</f>
        <v>0.99851634507619769</v>
      </c>
      <c r="H34" s="1" cm="1">
        <f t="array" ref="H34">_xlfn.LET(_xlpm.d,H$2:H$26,_xlpm.f,$A$2:$A$26,_xlpm.k,$C34,AVERAGE(_xlfn._xlws.FILTER(_xlpm.d,_xlpm.f=_xlpm.k)))</f>
        <v>1</v>
      </c>
      <c r="I34" s="1" cm="1">
        <f t="array" ref="I34">_xlfn.LET(_xlpm.d,I$2:I$26,_xlpm.f,$A$2:$A$26,_xlpm.k,$C34,AVERAGE(_xlfn._xlws.FILTER(_xlpm.d,_xlpm.f=_xlpm.k)))</f>
        <v>1</v>
      </c>
      <c r="J34" s="1" cm="1">
        <f t="array" ref="J34">_xlfn.LET(_xlpm.d,J$2:J$26,_xlpm.f,$A$2:$A$26,_xlpm.k,$C34,AVERAGE(_xlfn._xlws.FILTER(_xlpm.d,_xlpm.f=_xlpm.k)))</f>
        <v>1</v>
      </c>
      <c r="K34" s="1" cm="1">
        <f t="array" ref="K34">_xlfn.LET(_xlpm.d,K$2:K$26,_xlpm.f,$A$2:$A$26,_xlpm.k,$C34,AVERAGE(_xlfn._xlws.FILTER(_xlpm.d,_xlpm.f=_xlpm.k)))</f>
        <v>1</v>
      </c>
      <c r="L34" s="1" cm="1">
        <f t="array" ref="L34">_xlfn.LET(_xlpm.d,L$2:L$26,_xlpm.f,$A$2:$A$26,_xlpm.k,$C34,AVERAGE(_xlfn._xlws.FILTER(_xlpm.d,_xlpm.f=_xlpm.k)))</f>
        <v>0.98395715186846699</v>
      </c>
      <c r="M34" s="1" cm="1">
        <f t="array" ref="M34">_xlfn.LET(_xlpm.d,M$2:M$26,_xlpm.f,$A$2:$A$26,_xlpm.k,$C34,AVERAGE(_xlfn._xlws.FILTER(_xlpm.d,_xlpm.f=_xlpm.k)))</f>
        <v>0.99261921756387517</v>
      </c>
      <c r="N34" s="1" cm="1">
        <f t="array" ref="N34">_xlfn.LET(_xlpm.d,N$2:N$26,_xlpm.f,$A$2:$A$26,_xlpm.k,$C34,AVERAGE(_xlfn._xlws.FILTER(_xlpm.d,_xlpm.f=_xlpm.k)))</f>
        <v>0.99725796036829784</v>
      </c>
    </row>
    <row r="36" spans="3:14" ht="30" customHeight="1">
      <c r="C36" t="s">
        <v>6</v>
      </c>
    </row>
    <row r="37" spans="3:14" ht="30" customHeight="1">
      <c r="C37" t="s">
        <v>5</v>
      </c>
      <c r="D37" s="1" cm="1">
        <f t="array" ref="D37">_xlfn.LET(_xlpm.d,D$2:D$26,_xlpm.g,$B$2:$B$26,_xlpm.k,$C37,AVERAGE(_xlfn._xlws.FILTER(_xlpm.d,(_xlpm.g=0))))</f>
        <v>0.92579288356969691</v>
      </c>
      <c r="E37" s="1" cm="1">
        <f t="array" ref="E37">_xlfn.LET(_xlpm.d,E$2:E$26,_xlpm.g,$B$2:$B$26,_xlpm.k,$C37,AVERAGE(_xlfn._xlws.FILTER(_xlpm.d,(_xlpm.g=0))))</f>
        <v>0.92276362298395909</v>
      </c>
      <c r="F37" s="1" cm="1">
        <f t="array" ref="F37">_xlfn.LET(_xlpm.d,F$2:F$26,_xlpm.g,$B$2:$B$26,_xlpm.k,$C37,AVERAGE(_xlfn._xlws.FILTER(_xlpm.d,(_xlpm.g=0))))</f>
        <v>0.92512597074326508</v>
      </c>
      <c r="G37" s="1" cm="1">
        <f t="array" ref="G37">_xlfn.LET(_xlpm.d,G$2:G$26,_xlpm.g,$B$2:$B$26,_xlpm.k,$C37,AVERAGE(_xlfn._xlws.FILTER(_xlpm.d,(_xlpm.g=0))))</f>
        <v>0.92261995961305399</v>
      </c>
      <c r="H37" s="1" cm="1">
        <f t="array" ref="H37">_xlfn.LET(_xlpm.d,H$2:H$26,_xlpm.g,$B$2:$B$26,_xlpm.k,$C37,AVERAGE(_xlfn._xlws.FILTER(_xlpm.d,(_xlpm.g=0))))</f>
        <v>0.92777236913016625</v>
      </c>
      <c r="I37" s="1" cm="1">
        <f t="array" ref="I37">_xlfn.LET(_xlpm.d,I$2:I$26,_xlpm.g,$B$2:$B$26,_xlpm.k,$C37,AVERAGE(_xlfn._xlws.FILTER(_xlpm.d,(_xlpm.g=0))))</f>
        <v>0.92680769824941966</v>
      </c>
      <c r="J37" s="1" cm="1">
        <f t="array" ref="J37">_xlfn.LET(_xlpm.d,J$2:J$26,_xlpm.g,$B$2:$B$26,_xlpm.k,$C37,AVERAGE(_xlfn._xlws.FILTER(_xlpm.d,(_xlpm.g=0))))</f>
        <v>0.92258536863429197</v>
      </c>
      <c r="K37" s="1" cm="1">
        <f t="array" ref="K37">_xlfn.LET(_xlpm.d,K$2:K$26,_xlpm.g,$B$2:$B$26,_xlpm.k,$C37,AVERAGE(_xlfn._xlws.FILTER(_xlpm.d,(_xlpm.g=0))))</f>
        <v>0.92370353598299315</v>
      </c>
      <c r="L37" s="1" cm="1">
        <f t="array" ref="L37">_xlfn.LET(_xlpm.d,L$2:L$26,_xlpm.g,$B$2:$B$26,_xlpm.k,$C37,AVERAGE(_xlfn._xlws.FILTER(_xlpm.d,(_xlpm.g=0))))</f>
        <v>0.91115327366304322</v>
      </c>
      <c r="M37" s="1" cm="1">
        <f t="array" ref="M37">_xlfn.LET(_xlpm.d,M$2:M$26,_xlpm.g,$B$2:$B$26,_xlpm.k,$C37,AVERAGE(_xlfn._xlws.FILTER(_xlpm.d,(_xlpm.g=0))))</f>
        <v>0.90787273816107028</v>
      </c>
      <c r="N37" s="1" cm="1">
        <f t="array" ref="N37">_xlfn.LET(_xlpm.d,N$2:N$26,_xlpm.g,$B$2:$B$26,_xlpm.k,$C37,AVERAGE(_xlfn._xlws.FILTER(_xlpm.d,(_xlpm.g=0))))</f>
        <v>0.92161974207309583</v>
      </c>
    </row>
    <row r="38" spans="3:14" ht="30" customHeight="1">
      <c r="C38" t="s">
        <v>4</v>
      </c>
      <c r="D38" s="1" cm="1">
        <f t="array" ref="D38">_xlfn.LET(_xlpm.d,D$2:D$26,_xlpm.f,$A$2:$A$26,_xlpm.g,$B$2:$B$26,_xlpm.k,$C38,AVERAGE(_xlfn._xlws.FILTER(_xlpm.d,(_xlpm.f=_xlpm.k)*(_xlpm.g=0))))</f>
        <v>1</v>
      </c>
      <c r="E38" s="1" cm="1">
        <f t="array" ref="E38">_xlfn.LET(_xlpm.d,E$2:E$26,_xlpm.f,$A$2:$A$26,_xlpm.g,$B$2:$B$26,_xlpm.k,$C38,AVERAGE(_xlfn._xlws.FILTER(_xlpm.d,(_xlpm.f=_xlpm.k)*(_xlpm.g=0))))</f>
        <v>1</v>
      </c>
      <c r="F38" s="1" cm="1">
        <f t="array" ref="F38">_xlfn.LET(_xlpm.d,F$2:F$26,_xlpm.f,$A$2:$A$26,_xlpm.g,$B$2:$B$26,_xlpm.k,$C38,AVERAGE(_xlfn._xlws.FILTER(_xlpm.d,(_xlpm.f=_xlpm.k)*(_xlpm.g=0))))</f>
        <v>1</v>
      </c>
      <c r="G38" s="1" cm="1">
        <f t="array" ref="G38">_xlfn.LET(_xlpm.d,G$2:G$26,_xlpm.f,$A$2:$A$26,_xlpm.g,$B$2:$B$26,_xlpm.k,$C38,AVERAGE(_xlfn._xlws.FILTER(_xlpm.d,(_xlpm.f=_xlpm.k)*(_xlpm.g=0))))</f>
        <v>1</v>
      </c>
      <c r="H38" s="1" cm="1">
        <f t="array" ref="H38">_xlfn.LET(_xlpm.d,H$2:H$26,_xlpm.f,$A$2:$A$26,_xlpm.g,$B$2:$B$26,_xlpm.k,$C38,AVERAGE(_xlfn._xlws.FILTER(_xlpm.d,(_xlpm.f=_xlpm.k)*(_xlpm.g=0))))</f>
        <v>1</v>
      </c>
      <c r="I38" s="1" cm="1">
        <f t="array" ref="I38">_xlfn.LET(_xlpm.d,I$2:I$26,_xlpm.f,$A$2:$A$26,_xlpm.g,$B$2:$B$26,_xlpm.k,$C38,AVERAGE(_xlfn._xlws.FILTER(_xlpm.d,(_xlpm.f=_xlpm.k)*(_xlpm.g=0))))</f>
        <v>1</v>
      </c>
      <c r="J38" s="1" cm="1">
        <f t="array" ref="J38">_xlfn.LET(_xlpm.d,J$2:J$26,_xlpm.f,$A$2:$A$26,_xlpm.g,$B$2:$B$26,_xlpm.k,$C38,AVERAGE(_xlfn._xlws.FILTER(_xlpm.d,(_xlpm.f=_xlpm.k)*(_xlpm.g=0))))</f>
        <v>0.99652442284188947</v>
      </c>
      <c r="K38" s="1" cm="1">
        <f t="array" ref="K38">_xlfn.LET(_xlpm.d,K$2:K$26,_xlpm.f,$A$2:$A$26,_xlpm.g,$B$2:$B$26,_xlpm.k,$C38,AVERAGE(_xlfn._xlws.FILTER(_xlpm.d,(_xlpm.f=_xlpm.k)*(_xlpm.g=0))))</f>
        <v>0.99652442284188947</v>
      </c>
      <c r="L38" s="1" cm="1">
        <f t="array" ref="L38">_xlfn.LET(_xlpm.d,L$2:L$26,_xlpm.f,$A$2:$A$26,_xlpm.g,$B$2:$B$26,_xlpm.k,$C38,AVERAGE(_xlfn._xlws.FILTER(_xlpm.d,(_xlpm.f=_xlpm.k)*(_xlpm.g=0))))</f>
        <v>0.98923040411310725</v>
      </c>
      <c r="M38" s="1" cm="1">
        <f t="array" ref="M38">_xlfn.LET(_xlpm.d,M$2:M$26,_xlpm.f,$A$2:$A$26,_xlpm.g,$B$2:$B$26,_xlpm.k,$C38,AVERAGE(_xlfn._xlws.FILTER(_xlpm.d,(_xlpm.f=_xlpm.k)*(_xlpm.g=0))))</f>
        <v>0.97705429319934645</v>
      </c>
      <c r="N38" s="1" cm="1">
        <f t="array" ref="N38">_xlfn.LET(_xlpm.d,N$2:N$26,_xlpm.f,$A$2:$A$26,_xlpm.g,$B$2:$B$26,_xlpm.k,$C38,AVERAGE(_xlfn._xlws.FILTER(_xlpm.d,(_xlpm.f=_xlpm.k)*(_xlpm.g=0))))</f>
        <v>0.99593335429962337</v>
      </c>
    </row>
    <row r="39" spans="3:14" ht="30" customHeight="1">
      <c r="C39" t="s">
        <v>3</v>
      </c>
      <c r="D39" s="1" cm="1">
        <f t="array" ref="D39">_xlfn.LET(_xlpm.d,D$2:D$26,_xlpm.f,$A$2:$A$26,_xlpm.g,$B$2:$B$26,_xlpm.k,$C39,AVERAGE(_xlfn._xlws.FILTER(_xlpm.d,(_xlpm.f=_xlpm.k)*(_xlpm.g=0))))</f>
        <v>0.85972091548669327</v>
      </c>
      <c r="E39" s="1" cm="1">
        <f t="array" ref="E39">_xlfn.LET(_xlpm.d,E$2:E$26,_xlpm.f,$A$2:$A$26,_xlpm.g,$B$2:$B$26,_xlpm.k,$C39,AVERAGE(_xlfn._xlws.FILTER(_xlpm.d,(_xlpm.f=_xlpm.k)*(_xlpm.g=0))))</f>
        <v>0.84261099405388684</v>
      </c>
      <c r="F39" s="1" cm="1">
        <f t="array" ref="F39">_xlfn.LET(_xlpm.d,F$2:F$26,_xlpm.f,$A$2:$A$26,_xlpm.g,$B$2:$B$26,_xlpm.k,$C39,AVERAGE(_xlfn._xlws.FILTER(_xlpm.d,(_xlpm.f=_xlpm.k)*(_xlpm.g=0))))</f>
        <v>0.84415029942408704</v>
      </c>
      <c r="G39" s="1" cm="1">
        <f t="array" ref="G39">_xlfn.LET(_xlpm.d,G$2:G$26,_xlpm.f,$A$2:$A$26,_xlpm.g,$B$2:$B$26,_xlpm.k,$C39,AVERAGE(_xlfn._xlws.FILTER(_xlpm.d,(_xlpm.f=_xlpm.k)*(_xlpm.g=0))))</f>
        <v>0.85135355084486797</v>
      </c>
      <c r="H39" s="1" cm="1">
        <f t="array" ref="H39">_xlfn.LET(_xlpm.d,H$2:H$26,_xlpm.f,$A$2:$A$26,_xlpm.g,$B$2:$B$26,_xlpm.k,$C39,AVERAGE(_xlfn._xlws.FILTER(_xlpm.d,(_xlpm.f=_xlpm.k)*(_xlpm.g=0))))</f>
        <v>0.86135165093248045</v>
      </c>
      <c r="I39" s="1" cm="1">
        <f t="array" ref="I39">_xlfn.LET(_xlpm.d,I$2:I$26,_xlpm.f,$A$2:$A$26,_xlpm.g,$B$2:$B$26,_xlpm.k,$C39,AVERAGE(_xlfn._xlws.FILTER(_xlpm.d,(_xlpm.f=_xlpm.k)*(_xlpm.g=0))))</f>
        <v>0.85805345656452503</v>
      </c>
      <c r="J39" s="1" cm="1">
        <f t="array" ref="J39">_xlfn.LET(_xlpm.d,J$2:J$26,_xlpm.f,$A$2:$A$26,_xlpm.g,$B$2:$B$26,_xlpm.k,$C39,AVERAGE(_xlfn._xlws.FILTER(_xlpm.d,(_xlpm.f=_xlpm.k)*(_xlpm.g=0))))</f>
        <v>0.87223228081199022</v>
      </c>
      <c r="K39" s="1" cm="1">
        <f t="array" ref="K39">_xlfn.LET(_xlpm.d,K$2:K$26,_xlpm.f,$A$2:$A$26,_xlpm.g,$B$2:$B$26,_xlpm.k,$C39,AVERAGE(_xlfn._xlws.FILTER(_xlpm.d,(_xlpm.f=_xlpm.k)*(_xlpm.g=0))))</f>
        <v>0.87336898436410593</v>
      </c>
      <c r="L39" s="1" cm="1">
        <f t="array" ref="L39">_xlfn.LET(_xlpm.d,L$2:L$26,_xlpm.f,$A$2:$A$26,_xlpm.g,$B$2:$B$26,_xlpm.k,$C39,AVERAGE(_xlfn._xlws.FILTER(_xlpm.d,(_xlpm.f=_xlpm.k)*(_xlpm.g=0))))</f>
        <v>0.87436810963040967</v>
      </c>
      <c r="M39" s="1" cm="1">
        <f t="array" ref="M39">_xlfn.LET(_xlpm.d,M$2:M$26,_xlpm.f,$A$2:$A$26,_xlpm.g,$B$2:$B$26,_xlpm.k,$C39,AVERAGE(_xlfn._xlws.FILTER(_xlpm.d,(_xlpm.f=_xlpm.k)*(_xlpm.g=0))))</f>
        <v>0.85680892390899055</v>
      </c>
      <c r="N39" s="1" cm="1">
        <f t="array" ref="N39">_xlfn.LET(_xlpm.d,N$2:N$26,_xlpm.f,$A$2:$A$26,_xlpm.g,$B$2:$B$26,_xlpm.k,$C39,AVERAGE(_xlfn._xlws.FILTER(_xlpm.d,(_xlpm.f=_xlpm.k)*(_xlpm.g=0))))</f>
        <v>0.85940191660220366</v>
      </c>
    </row>
    <row r="40" spans="3:14" ht="30" customHeight="1">
      <c r="C40" t="s">
        <v>2</v>
      </c>
      <c r="D40" s="1" cm="1">
        <f t="array" ref="D40">_xlfn.LET(_xlpm.d,D$2:D$26,_xlpm.f,$A$2:$A$26,_xlpm.g,$B$2:$B$26,_xlpm.k,$C40,AVERAGE(_xlfn._xlws.FILTER(_xlpm.d,(_xlpm.f=_xlpm.k)*(_xlpm.g=0))))</f>
        <v>0.87716538370248376</v>
      </c>
      <c r="E40" s="1" cm="1">
        <f t="array" ref="E40">_xlfn.LET(_xlpm.d,E$2:E$26,_xlpm.f,$A$2:$A$26,_xlpm.g,$B$2:$B$26,_xlpm.k,$C40,AVERAGE(_xlfn._xlws.FILTER(_xlpm.d,(_xlpm.f=_xlpm.k)*(_xlpm.g=0))))</f>
        <v>0.87584567775231026</v>
      </c>
      <c r="F40" s="1" cm="1">
        <f t="array" ref="F40">_xlfn.LET(_xlpm.d,F$2:F$26,_xlpm.f,$A$2:$A$26,_xlpm.g,$B$2:$B$26,_xlpm.k,$C40,AVERAGE(_xlfn._xlws.FILTER(_xlpm.d,(_xlpm.f=_xlpm.k)*(_xlpm.g=0))))</f>
        <v>0.88547993914091583</v>
      </c>
      <c r="G40" s="1" cm="1">
        <f t="array" ref="G40">_xlfn.LET(_xlpm.d,G$2:G$26,_xlpm.f,$A$2:$A$26,_xlpm.g,$B$2:$B$26,_xlpm.k,$C40,AVERAGE(_xlfn._xlws.FILTER(_xlpm.d,(_xlpm.f=_xlpm.k)*(_xlpm.g=0))))</f>
        <v>0.879089209988135</v>
      </c>
      <c r="H40" s="1" cm="1">
        <f t="array" ref="H40">_xlfn.LET(_xlpm.d,H$2:H$26,_xlpm.f,$A$2:$A$26,_xlpm.g,$B$2:$B$26,_xlpm.k,$C40,AVERAGE(_xlfn._xlws.FILTER(_xlpm.d,(_xlpm.f=_xlpm.k)*(_xlpm.g=0))))</f>
        <v>0.87404435329149355</v>
      </c>
      <c r="I40" s="1" cm="1">
        <f t="array" ref="I40">_xlfn.LET(_xlpm.d,I$2:I$26,_xlpm.f,$A$2:$A$26,_xlpm.g,$B$2:$B$26,_xlpm.k,$C40,AVERAGE(_xlfn._xlws.FILTER(_xlpm.d,(_xlpm.f=_xlpm.k)*(_xlpm.g=0))))</f>
        <v>0.86836415864924443</v>
      </c>
      <c r="J40" s="1" cm="1">
        <f t="array" ref="J40">_xlfn.LET(_xlpm.d,J$2:J$26,_xlpm.f,$A$2:$A$26,_xlpm.g,$B$2:$B$26,_xlpm.k,$C40,AVERAGE(_xlfn._xlws.FILTER(_xlpm.d,(_xlpm.f=_xlpm.k)*(_xlpm.g=0))))</f>
        <v>0.87206607037987094</v>
      </c>
      <c r="K40" s="1" cm="1">
        <f t="array" ref="K40">_xlfn.LET(_xlpm.d,K$2:K$26,_xlpm.f,$A$2:$A$26,_xlpm.g,$B$2:$B$26,_xlpm.k,$C40,AVERAGE(_xlfn._xlws.FILTER(_xlpm.d,(_xlpm.f=_xlpm.k)*(_xlpm.g=0))))</f>
        <v>0.86988580981609398</v>
      </c>
      <c r="L40" s="1" cm="1">
        <f t="array" ref="L40">_xlfn.LET(_xlpm.d,L$2:L$26,_xlpm.f,$A$2:$A$26,_xlpm.g,$B$2:$B$26,_xlpm.k,$C40,AVERAGE(_xlfn._xlws.FILTER(_xlpm.d,(_xlpm.f=_xlpm.k)*(_xlpm.g=0))))</f>
        <v>0.86381028415963446</v>
      </c>
      <c r="M40" s="1" cm="1">
        <f t="array" ref="M40">_xlfn.LET(_xlpm.d,M$2:M$26,_xlpm.f,$A$2:$A$26,_xlpm.g,$B$2:$B$26,_xlpm.k,$C40,AVERAGE(_xlfn._xlws.FILTER(_xlpm.d,(_xlpm.f=_xlpm.k)*(_xlpm.g=0))))</f>
        <v>0.87795341422468176</v>
      </c>
      <c r="N40" s="1" cm="1">
        <f t="array" ref="N40">_xlfn.LET(_xlpm.d,N$2:N$26,_xlpm.f,$A$2:$A$26,_xlpm.g,$B$2:$B$26,_xlpm.k,$C40,AVERAGE(_xlfn._xlws.FILTER(_xlpm.d,(_xlpm.f=_xlpm.k)*(_xlpm.g=0))))</f>
        <v>0.87437043011048643</v>
      </c>
    </row>
    <row r="41" spans="3:14" ht="30" customHeight="1">
      <c r="C41" t="s">
        <v>1</v>
      </c>
      <c r="D41" s="1" cm="1">
        <f t="array" ref="D41">_xlfn.LET(_xlpm.d,D$2:D$26,_xlpm.f,$A$2:$A$26,_xlpm.g,$B$2:$B$26,_xlpm.k,$C41,AVERAGE(_xlfn._xlws.FILTER(_xlpm.d,(_xlpm.f=_xlpm.k)*(_xlpm.g=0))))</f>
        <v>0.89207811865930731</v>
      </c>
      <c r="E41" s="1" cm="1">
        <f t="array" ref="E41">_xlfn.LET(_xlpm.d,E$2:E$26,_xlpm.f,$A$2:$A$26,_xlpm.g,$B$2:$B$26,_xlpm.k,$C41,AVERAGE(_xlfn._xlws.FILTER(_xlpm.d,(_xlpm.f=_xlpm.k)*(_xlpm.g=0))))</f>
        <v>0.89683371403885692</v>
      </c>
      <c r="F41" s="1" cm="1">
        <f t="array" ref="F41">_xlfn.LET(_xlpm.d,F$2:F$26,_xlpm.f,$A$2:$A$26,_xlpm.g,$B$2:$B$26,_xlpm.k,$C41,AVERAGE(_xlfn._xlws.FILTER(_xlpm.d,(_xlpm.f=_xlpm.k)*(_xlpm.g=0))))</f>
        <v>0.89766873275801728</v>
      </c>
      <c r="G41" s="1" cm="1">
        <f t="array" ref="G41">_xlfn.LET(_xlpm.d,G$2:G$26,_xlpm.f,$A$2:$A$26,_xlpm.g,$B$2:$B$26,_xlpm.k,$C41,AVERAGE(_xlfn._xlws.FILTER(_xlpm.d,(_xlpm.f=_xlpm.k)*(_xlpm.g=0))))</f>
        <v>0.88451160588701849</v>
      </c>
      <c r="H41" s="1" cm="1">
        <f t="array" ref="H41">_xlfn.LET(_xlpm.d,H$2:H$26,_xlpm.f,$A$2:$A$26,_xlpm.g,$B$2:$B$26,_xlpm.k,$C41,AVERAGE(_xlfn._xlws.FILTER(_xlpm.d,(_xlpm.f=_xlpm.k)*(_xlpm.g=0))))</f>
        <v>0.90346584142685771</v>
      </c>
      <c r="I41" s="1" cm="1">
        <f t="array" ref="I41">_xlfn.LET(_xlpm.d,I$2:I$26,_xlpm.f,$A$2:$A$26,_xlpm.g,$B$2:$B$26,_xlpm.k,$C41,AVERAGE(_xlfn._xlws.FILTER(_xlpm.d,(_xlpm.f=_xlpm.k)*(_xlpm.g=0))))</f>
        <v>0.90762087603332897</v>
      </c>
      <c r="J41" s="1" cm="1">
        <f t="array" ref="J41">_xlfn.LET(_xlpm.d,J$2:J$26,_xlpm.f,$A$2:$A$26,_xlpm.g,$B$2:$B$26,_xlpm.k,$C41,AVERAGE(_xlfn._xlws.FILTER(_xlpm.d,(_xlpm.f=_xlpm.k)*(_xlpm.g=0))))</f>
        <v>0.87210406913770855</v>
      </c>
      <c r="K41" s="1" cm="1">
        <f t="array" ref="K41">_xlfn.LET(_xlpm.d,K$2:K$26,_xlpm.f,$A$2:$A$26,_xlpm.g,$B$2:$B$26,_xlpm.k,$C41,AVERAGE(_xlfn._xlws.FILTER(_xlpm.d,(_xlpm.f=_xlpm.k)*(_xlpm.g=0))))</f>
        <v>0.87873846289287527</v>
      </c>
      <c r="L41" s="1" cm="1">
        <f t="array" ref="L41">_xlfn.LET(_xlpm.d,L$2:L$26,_xlpm.f,$A$2:$A$26,_xlpm.g,$B$2:$B$26,_xlpm.k,$C41,AVERAGE(_xlfn._xlws.FILTER(_xlpm.d,(_xlpm.f=_xlpm.k)*(_xlpm.g=0))))</f>
        <v>0.84841113057648021</v>
      </c>
      <c r="M41" s="1" cm="1">
        <f t="array" ref="M41">_xlfn.LET(_xlpm.d,M$2:M$26,_xlpm.f,$A$2:$A$26,_xlpm.g,$B$2:$B$26,_xlpm.k,$C41,AVERAGE(_xlfn._xlws.FILTER(_xlpm.d,(_xlpm.f=_xlpm.k)*(_xlpm.g=0))))</f>
        <v>0.83677303751748899</v>
      </c>
      <c r="N41" s="1" cm="1">
        <f t="array" ref="N41">_xlfn.LET(_xlpm.d,N$2:N$26,_xlpm.f,$A$2:$A$26,_xlpm.g,$B$2:$B$26,_xlpm.k,$C41,AVERAGE(_xlfn._xlws.FILTER(_xlpm.d,(_xlpm.f=_xlpm.k)*(_xlpm.g=0))))</f>
        <v>0.88182055889279409</v>
      </c>
    </row>
    <row r="42" spans="3:14" ht="30" customHeight="1">
      <c r="C42" t="s">
        <v>0</v>
      </c>
      <c r="D42" s="1" cm="1">
        <f t="array" ref="D42">_xlfn.LET(_xlpm.d,D$2:D$26,_xlpm.f,$A$2:$A$26,_xlpm.g,$B$2:$B$26,_xlpm.k,$C42,AVERAGE(_xlfn._xlws.FILTER(_xlpm.d,(_xlpm.f=_xlpm.k)*(_xlpm.g=0))))</f>
        <v>1</v>
      </c>
      <c r="E42" s="1" cm="1">
        <f t="array" ref="E42">_xlfn.LET(_xlpm.d,E$2:E$26,_xlpm.f,$A$2:$A$26,_xlpm.g,$B$2:$B$26,_xlpm.k,$C42,AVERAGE(_xlfn._xlws.FILTER(_xlpm.d,(_xlpm.f=_xlpm.k)*(_xlpm.g=0))))</f>
        <v>0.99852772907474252</v>
      </c>
      <c r="F42" s="1" cm="1">
        <f t="array" ref="F42">_xlfn.LET(_xlpm.d,F$2:F$26,_xlpm.f,$A$2:$A$26,_xlpm.g,$B$2:$B$26,_xlpm.k,$C42,AVERAGE(_xlfn._xlws.FILTER(_xlpm.d,(_xlpm.f=_xlpm.k)*(_xlpm.g=0))))</f>
        <v>0.99833088239330547</v>
      </c>
      <c r="G42" s="1" cm="1">
        <f t="array" ref="G42">_xlfn.LET(_xlpm.d,G$2:G$26,_xlpm.f,$A$2:$A$26,_xlpm.g,$B$2:$B$26,_xlpm.k,$C42,AVERAGE(_xlfn._xlws.FILTER(_xlpm.d,(_xlpm.f=_xlpm.k)*(_xlpm.g=0))))</f>
        <v>0.99814543134524725</v>
      </c>
      <c r="H42" s="1" cm="1">
        <f t="array" ref="H42">_xlfn.LET(_xlpm.d,H$2:H$26,_xlpm.f,$A$2:$A$26,_xlpm.g,$B$2:$B$26,_xlpm.k,$C42,AVERAGE(_xlfn._xlws.FILTER(_xlpm.d,(_xlpm.f=_xlpm.k)*(_xlpm.g=0))))</f>
        <v>1</v>
      </c>
      <c r="I42" s="1" cm="1">
        <f t="array" ref="I42">_xlfn.LET(_xlpm.d,I$2:I$26,_xlpm.f,$A$2:$A$26,_xlpm.g,$B$2:$B$26,_xlpm.k,$C42,AVERAGE(_xlfn._xlws.FILTER(_xlpm.d,(_xlpm.f=_xlpm.k)*(_xlpm.g=0))))</f>
        <v>1</v>
      </c>
      <c r="J42" s="1" cm="1">
        <f t="array" ref="J42">_xlfn.LET(_xlpm.d,J$2:J$26,_xlpm.f,$A$2:$A$26,_xlpm.g,$B$2:$B$26,_xlpm.k,$C42,AVERAGE(_xlfn._xlws.FILTER(_xlpm.d,(_xlpm.f=_xlpm.k)*(_xlpm.g=0))))</f>
        <v>1</v>
      </c>
      <c r="K42" s="1" cm="1">
        <f t="array" ref="K42">_xlfn.LET(_xlpm.d,K$2:K$26,_xlpm.f,$A$2:$A$26,_xlpm.g,$B$2:$B$26,_xlpm.k,$C42,AVERAGE(_xlfn._xlws.FILTER(_xlpm.d,(_xlpm.f=_xlpm.k)*(_xlpm.g=0))))</f>
        <v>1</v>
      </c>
      <c r="L42" s="1" cm="1">
        <f t="array" ref="L42">_xlfn.LET(_xlpm.d,L$2:L$26,_xlpm.f,$A$2:$A$26,_xlpm.g,$B$2:$B$26,_xlpm.k,$C42,AVERAGE(_xlfn._xlws.FILTER(_xlpm.d,(_xlpm.f=_xlpm.k)*(_xlpm.g=0))))</f>
        <v>0.97994643983558372</v>
      </c>
      <c r="M42" s="1" cm="1">
        <f t="array" ref="M42">_xlfn.LET(_xlpm.d,M$2:M$26,_xlpm.f,$A$2:$A$26,_xlpm.g,$B$2:$B$26,_xlpm.k,$C42,AVERAGE(_xlfn._xlws.FILTER(_xlpm.d,(_xlpm.f=_xlpm.k)*(_xlpm.g=0))))</f>
        <v>0.99077402195484399</v>
      </c>
      <c r="N42" s="1" cm="1">
        <f t="array" ref="N42">_xlfn.LET(_xlpm.d,N$2:N$26,_xlpm.f,$A$2:$A$26,_xlpm.g,$B$2:$B$26,_xlpm.k,$C42,AVERAGE(_xlfn._xlws.FILTER(_xlpm.d,(_xlpm.f=_xlpm.k)*(_xlpm.g=0))))</f>
        <v>0.99657245046037235</v>
      </c>
    </row>
  </sheetData>
  <conditionalFormatting sqref="D2:N26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N3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N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N4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aNA.r1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Kow Kuroda</dc:creator>
  <cp:keywords/>
  <dc:description/>
  <cp:lastModifiedBy>Kow Kuroda</cp:lastModifiedBy>
  <dcterms:created xsi:type="dcterms:W3CDTF">2025-09-11T04:26:27Z</dcterms:created>
  <dcterms:modified xsi:type="dcterms:W3CDTF">2025-09-11T04:26:58Z</dcterms:modified>
  <cp:category/>
</cp:coreProperties>
</file>